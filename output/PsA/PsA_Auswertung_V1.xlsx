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robin/PycharmProjects/fapi_pet/output/PsA/"/>
    </mc:Choice>
  </mc:AlternateContent>
  <xr:revisionPtr revIDLastSave="0" documentId="13_ncr:1_{67A954A9-50B5-1244-BF73-FB767AF80FBA}" xr6:coauthVersionLast="47" xr6:coauthVersionMax="47" xr10:uidLastSave="{00000000-0000-0000-0000-000000000000}"/>
  <bookViews>
    <workbookView xWindow="-38400" yWindow="-1100" windowWidth="38400" windowHeight="23400" xr2:uid="{00000000-000D-0000-FFFF-FFFF00000000}"/>
  </bookViews>
  <sheets>
    <sheet name="PsA" sheetId="1" r:id="rId1"/>
  </sheets>
  <definedNames>
    <definedName name="_xlnm._FilterDatabase" localSheetId="0" hidden="1">PsA!$A$2:$AB$36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1" l="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alcChain>
</file>

<file path=xl/sharedStrings.xml><?xml version="1.0" encoding="utf-8"?>
<sst xmlns="http://schemas.openxmlformats.org/spreadsheetml/2006/main" count="429" uniqueCount="283">
  <si>
    <t>Identifikation</t>
  </si>
  <si>
    <t>Scores</t>
  </si>
  <si>
    <t>Labor</t>
  </si>
  <si>
    <t>Therapie</t>
  </si>
  <si>
    <t>Klinische Befunde</t>
  </si>
  <si>
    <t>Patient</t>
  </si>
  <si>
    <t>Erkrankung</t>
  </si>
  <si>
    <t>Zeitpunkt</t>
  </si>
  <si>
    <t>Scan-Datum</t>
  </si>
  <si>
    <t>Klinisches Datum</t>
  </si>
  <si>
    <t>Abstand zum Scan (Tage)</t>
  </si>
  <si>
    <t>DAPSA</t>
  </si>
  <si>
    <t>cDAPSA</t>
  </si>
  <si>
    <t>TJC</t>
  </si>
  <si>
    <t>SJC</t>
  </si>
  <si>
    <t>LEI</t>
  </si>
  <si>
    <t>PASI</t>
  </si>
  <si>
    <t>HAQ</t>
  </si>
  <si>
    <t>CRP-Wert</t>
  </si>
  <si>
    <t>CRP-Vergleichszeichen</t>
  </si>
  <si>
    <t>CRP-Einheit</t>
  </si>
  <si>
    <t>BSG (mm nach 1 h)</t>
  </si>
  <si>
    <t>Aktuelle Therapie</t>
  </si>
  <si>
    <t>Klinische Hauptmanifestation</t>
  </si>
  <si>
    <t>Periphere Gelenkbeschwerden</t>
  </si>
  <si>
    <t>Axiale Beschwerden / ISG</t>
  </si>
  <si>
    <t>Enthesitis</t>
  </si>
  <si>
    <t>Daktylitis</t>
  </si>
  <si>
    <t>Hautbeteiligung</t>
  </si>
  <si>
    <t>Nagelbeteiligung</t>
  </si>
  <si>
    <t>Verlauf</t>
  </si>
  <si>
    <t>Ansprechen (Ja/Nein)</t>
  </si>
  <si>
    <t>Hinweise</t>
  </si>
  <si>
    <t>PsA</t>
  </si>
  <si>
    <t>Baseline</t>
  </si>
  <si>
    <t>&lt;</t>
  </si>
  <si>
    <t>mg/l</t>
  </si>
  <si>
    <t>Certolizumab und Leflunomid, zuletzt auf 20 mg erhöht; unter Leflunomid Übelkeit und Erbrechen.</t>
  </si>
  <si>
    <t>Persistierende Gelenkschmerzen und chronische Gelenkschwellungen bei postarthritischen Deformitäten; zunehmende Psoriasis-Hautläsionen.</t>
  </si>
  <si>
    <t>Arthralgien der PIP-Gelenke, Handgelenke und Schultern. Postarthritische Deformitäten mehrerer Gelenke, TJC 10 und drei chronisch geschwollene Gelenke.</t>
  </si>
  <si>
    <t>Vermehrte Psoriasis-Läsionen an Kopfhaut, Ohrgängen, Brust, Bauch und Genitalbereich.</t>
  </si>
  <si>
    <t>Zunehmende Hautaktivität bei persistierenden Gelenkschmerzen und chronischen Schwellungen. Leflunomid wird schlecht vertragen; Absetzen und Umstellung auf Bimekizumab empfohlen.</t>
  </si>
  <si>
    <t>Labordatum nicht angegeben.
Zählbereich von TJC und SJC nicht angegeben; SJC bezeichnet ausdrücklich chronische Schwellungen.
Der Diagnoseeintrag nennt bereits Beginn Bimekizumab; Anamnese und Beurteilung beschreiben die Umstellung erst als Empfehlung. Ein tatsächlicher Beginn am Referenztermin ist nicht belegt.</t>
  </si>
  <si>
    <t>Follow-up</t>
  </si>
  <si>
    <t>Bimekizumab 160 mg alle 4 Wochen seit Oktober 2023.</t>
  </si>
  <si>
    <t>Seit vier Wochen anhaltende Schmerzen der linken Hüfte beziehungsweise Gesäßregion, tagsüber ständig und nachts mit Schlafstörung. Klinischer Verdacht auf entzündlichen Rückenschmerz beziehungsweise linksseitige Hüftschmerzen.</t>
  </si>
  <si>
    <t>Linke Hüftrotation schmerzhaft, kein Trochanterdruckschmerz. Ansonsten keine Gelenkprobleme und keine weiteren druckschmerzhaften oder geschwollenen Gelenke.</t>
  </si>
  <si>
    <t>Linksseitige Gesäßschmerzen mit nächtlichem Erwachen; Verdacht auf entzündlichen Rückenschmerz. Mennell unauffällig.</t>
  </si>
  <si>
    <t>Keine druckschmerzhaften oder geschwollenen Enthesen.</t>
  </si>
  <si>
    <t>Einzelne Psoriasisläsionen links parietal; übrige Haut unauffällig.</t>
  </si>
  <si>
    <t>Unter Bimekizumab aktuell keine sonstigen Gelenkprobleme, jedoch seit vier Wochen linksseitige Hüft-/Gesäßschmerzen mit Verdacht auf Krankheitsaktivität. Einzelne Psoriasisläsionen bestehen fort. Probatorischer Wechsel auf Etanercept empfohlen; ein klinischer Nutzen von Bimekizumab wird nicht ausdrücklich beurteilt.</t>
  </si>
  <si>
    <t>Labordatum für CRP und BKS nicht angegeben.
Etanercept 50 mg einmal wöchentlich ist empfohlen; ein bereits erfolgter Therapiebeginn ist nicht belegt.
Ansprechen nicht eindeutig beurteilbar: neue Hüft-/Gesäßschmerzen bei lediglich vermuteter entzündlicher Aktivität; keine ausdrückliche Aussage zu klinischer Besserung, guter Krankheitskontrolle oder fehlendem Ansprechen.</t>
  </si>
  <si>
    <t>Apremilast 30 mg zweimal täglich; Enstilar-Schaum bei Bedarf.</t>
  </si>
  <si>
    <t>Arthralgien der Hände, Ellenbogen und Füße bei Verdacht auf PsA, ohne sicheren klinischen Arthritisnachweis. Keine Bewegungseinschränkung.</t>
  </si>
  <si>
    <t>Arthralgien der Hände, Ellenbogen und Füße, Schmerzstärke 3–4/10, in Ruhe und unter Belastung, morgens am stärksten; anamnestisch MCP-Schwellungen. Klinisch 12 druckschmerzhafte und keine geschwollenen Gelenke, Druckschmerz der lateralen Epicondylen beidseits, keine Bewegungseinschränkung.</t>
  </si>
  <si>
    <t>Druckschmerz der lateralen Epicondylen beidseits; rechts Befund vereinbar mit Epicondylitis, differenzialdiagnostisch Enthesitis.</t>
  </si>
  <si>
    <t>Großfleckige floride Psoriasis-Plaques an den Streckseiten beider Ellenbogen und Knie; Verschlechterung unter Apremilast.</t>
  </si>
  <si>
    <t>Weiterhin diffuse Arthralgien ohne sicheren klinischen oder arthrosonographischen Arthritisnachweis. Frühere Prednisolontherapie und Schnappfingeroperation rechts ohne Besserung. Zunehmender Wirkverlust von Apremilast mit Verschlechterung der Psoriasis; Arcoxia-Einleitung empfohlen und mögliche Therapieumstellung nach weiterer Abklärung erwogen.</t>
  </si>
  <si>
    <t>Klinischer Referenztermin gemäß Baseline-Briefgruppe am 11.01.2024, nach dem Baseline-Scan vom 20.10.2023.
Labordatum nicht angegeben. PASI und LEI ohne ausdrücklich genanntes Messdatum; TJC-/SJC-Zählbereich nicht angegeben.
Weitere Scores aus 33_Baseline.docx ohne ausdrücklich genanntes Messdatum: „BASDAI: 2.8“ und „MASES: 0“.
PsA im klinischen Baseline-Befund weiterhin Verdachtsdiagnose; Bildgebungsbefunde nicht als klinische Arthritis oder Enthesitis übernommen.</t>
  </si>
  <si>
    <t>Bimekizumab 160 mg subkutan alle 28 Tage seit 08/2024, aktuell wegen wiederholter Infekte und Mukositis pausiert; letzte Gabe am 28.01.</t>
  </si>
  <si>
    <t>Seit der Therapiepause vermehrte Gelenkbeschwerden vor allem an Händen und Knien. Keine Bewegungseinschränkung.</t>
  </si>
  <si>
    <t>Vermehrte Beschwerden an Händen und Knien seit der Bimekizumab-Pause; Schwellungen verneint, Morgensteifigkeit unter 15 Minuten. Klinisch 12 druckschmerzhafte und keine geschwollenen Gelenke, keine Bewegungseinschränkung.</t>
  </si>
  <si>
    <t>Kein Druckschmerz der Enthesen.</t>
  </si>
  <si>
    <t>Aktueller Hautbefund unauffällig.</t>
  </si>
  <si>
    <t>Unter Bimekizumab zuvor guter klinischer Nutzen; seit der Pause vermehrte Gelenkbeschwerden. Mukositis nach Pausierung rückläufig, aktueller Hautbefund unauffällig. Einmalige erneute Bimekizumab-Gabe empfohlen; bei erneuter Mukositis Umstellung auf Guselkumab erwogen.</t>
  </si>
  <si>
    <t>Ja</t>
  </si>
  <si>
    <t>CRP vom 21.03.2025. PASI ohne ausdrücklich genanntes Messdatum; TJC-/SJC-Zählbereich nicht angegeben.
Mehrdeutige gemeinsame Scoreangabe aus 33_FollowUp.docx: „MASES/LEI 0“; LEI deshalb null.
Weitere Angabe aus 33_FollowUp.docx: „MDA nicht erreicht“.
Ansprechen bezieht sich auf den dokumentierten bisherigen Nutzen von Bimekizumab; zum Referenztermin war die Therapie pausiert und die Gelenkbeschwerden hatten zugenommen. Die empfohlene erneute Gabe und Guselkumab sind keine bereits laufenden Behandlungen.</t>
  </si>
  <si>
    <t>Bei Vorstellung Secukinumab-Monotherapie, 300 mg s.c.; im weiteren Verlauf abgesetzt.</t>
  </si>
  <si>
    <t>Führend schmerzhaft geschwollenes linkes Knie sowie Schmerzen der linken Schulter mit Bewegungseinschränkung. Zusätzlich Beschwerden an Händen und Beugesehnen.</t>
  </si>
  <si>
    <t>Linkes Knie schmerzhaft, druckschmerzhaft und geschwollen; Schmerzen der Beugesehnen beider Hände und persistierende Morgensteifigkeit ohne dokumentierte Dauer. Druckschmerz am rechten MCP IV sowie an der linken Schulter mit Bewegungseinschränkung und Schmerz-VAS 9.</t>
  </si>
  <si>
    <t>Psoriasis aktuell gut kontrolliert, leicht aktiv zwischen den Fingern beider Hände.</t>
  </si>
  <si>
    <t>Seit Umstellung auf Secukinumab im März 2023 keine deutliche Verbesserung der Gelenksymptomatik. Beim linken Knie wird zusätzlich eine mechanische Komponente beschrieben. Secukinumab im weiteren Verlauf abgesetzt; Umstellung auf Adalimumab 40 mg alle zwei Wochen empfohlen.</t>
  </si>
  <si>
    <t>CRP und BKS: Labordatum nicht angegeben; BKS gemäß Studienkonvention als BSG nach einer Stunde in mm übernommen.
Secukinumab ist in der Anamnese als laufend, in der späteren Therapieempfehlung als abgesetzt dokumentiert. Adalimumab ist als Umstellung empfohlen; ein tatsächlicher Beginn bis zum Referenzbesuch ist nicht belegt.
Schmerz-VAS der Schulter: 9; Beleg: 34_Baseline.docx, „DS li. Schulter mit Bewegungseinschränkung, VAS 9 in Schulter“. Skalenbereich nicht angegeben.</t>
  </si>
  <si>
    <t>=</t>
  </si>
  <si>
    <t>Risankizumab, Injektionen am 28.07. und 28.08.2025; Dosis nicht angegeben. Zusätzlich Ibuprofen 600 mg täglich.</t>
  </si>
  <si>
    <t>Aktive Gelenkbeschwerden mit starken, persistierenden Schmerzen beider Handgelenke und Finger, besonders der Daumengelenke, sowie des linken Knies. Eingeschränkte Handflexion, ganztägige Morgensteifigkeit und nächtliches Erwachen durch Gelenkbeschwerden.</t>
  </si>
  <si>
    <t>Starke Dauerschmerzen beider Handgelenke und Finger, besonders der Daumengelenke, sowie des linken Knies; keine Besserung durch Bewegung. Linkes Knie geschwollen, unter Belastung zunehmend; Druckschmerz beider Handgelenke und Daumengrundgelenke sowie am linken oberen Sprunggelenk. Handflexion besonders links eingeschränkt. Im Beurteilungstext abweichend Erguss des rechten Knies dokumentiert.</t>
  </si>
  <si>
    <t>Gute Hautwirkung unter Risankizumab; aktuell keine psoriatischen Hautläsionen. Einige Wochen zuvor aktive Psoriasis beider Unterschenkel, topisch dermatologisch behandelt.</t>
  </si>
  <si>
    <t>Unter Risankizumab gute Hautwirkung, jedoch zunehmende Gelenkbeschwerden ohne dokumentierten muskuloskelettalen Nutzen. Weiterhin aktive PsA mit starken Hand- und Kniebeschwerden und funktioneller Einschränkung. Umstellung auf Golimumab empfohlen; Beginn nicht belegt.</t>
  </si>
  <si>
    <t>Nein</t>
  </si>
  <si>
    <t>Referenzbesuch 11.09.2025 liegt dem Scan am nächsten. Anamnese, Gelenkstatus, DAPSA, PASI und Therapieangaben sind im zusammenfassenden Brief nicht eindeutig einem der beiden Besuche zugeordnet.
TJC 6 und SJC 1 ausdrücklich dokumentiert; standardisierter Zählbereich nicht angegeben.
CRP 8,0 mg/l vom 11.09.2025 gewählt. Weiterer Wert vom 12.12.2025: „C-reaktives Protein 6,1 mg/l (-&lt;5,5 mg/l)“ (34_FollowUp.docx).
Widersprüchliche Knieseite: Anamnese und Gelenkstatus nennen links, die Beurteilung einen Erguss rechts. Keine zusätzliche Gelenkzahl daraus abgeleitet.
Golimumab nur empfohlen; widersprüchliches Intervall: „Daher empfehlen wir die Umstellung der Therapie auf Golimumab 50 mg einmal wöchentlich.“ gegenüber „Beginn Golimumab 50mg 1x monatlich“ (34_FollowUp.docx).
Das Ansprechen bezieht sich auf die muskuloskelettale PsA unter Risankizumab; die dokumentierte Hautbesserung bleibt davon getrennt.</t>
  </si>
  <si>
    <t>Tildrakizumab 100 mg s.c. alle 12 Wochen.</t>
  </si>
  <si>
    <t>Langjährige Knie- und Fußschmerzen beidseits mit etwa 10 Minuten Morgensteifigkeit sowie druckschmerzhafte Gelenke und Enthesen ohne synovitische Schwellungen.</t>
  </si>
  <si>
    <t>Seit Jahren Schmerzen in Knien und Füßen beidseits, Morgensteifigkeit etwa 10 Minuten. Druckschmerz am linken oberen Sprunggelenk und an beiden Knien; keine Gelenkschwellungen.</t>
  </si>
  <si>
    <t>Rezidivierende Sehnenansatzentzündungen an beiden Ellenbogen anamnestisch. Klinisch entheseale Druckschmerzen am rechten medialen Epikondylus, an beiden Achillessehnen und beidseits sternoklavikulär.</t>
  </si>
  <si>
    <t>Psoriasis unter Tildrakizumab aktuell in Remission; Hautbefund unauffällig.</t>
  </si>
  <si>
    <t>Seit Jahren Gelenkschmerzen und rezidivierende Sehnenansatzbeschwerden. Bei der Vorstellung kein klarer Hinweis auf Psoriasis-Arthritis; unveränderte Fortführung von Tildrakizumab empfohlen.</t>
  </si>
  <si>
    <t>Labordatum sowie gesonderte Erhebungsdaten von LEI und PASI nicht angegeben.
Weitere Scores: „DAS28: 2,99“ und „LEI: 3, MASES: 2“ (35_Baseline.docx).
Klinische Enthesendruckschmerzen; sonographisch keine Enthesitiszeichen: „Keine Zeichen von Enthesitis, kein PD-Signal.“ (35_Baseline.docx).</t>
  </si>
  <si>
    <t>Gelegentliche, vor allem belastungsabhängige Arthralgien und Schmerzen an Knien und linker Achillessehne. Keine Gelenkschwellungen oder Morgensteifigkeit.</t>
  </si>
  <si>
    <t>Gelegentliche Arthralgien und vor allem belastungsabhängige Knieschmerzen; Druckschmerz am linken Knie. Keine Gelenkschwellungen und keine Morgensteifigkeit.</t>
  </si>
  <si>
    <t>Keine Rückenschmerzen.</t>
  </si>
  <si>
    <t>Gelegentliche Schmerzen und Druckschmerz an der linken Achillessehne, sonst keine Enthesendruckschmerzen; keine ausdrücklich gesicherte Enthesitis.</t>
  </si>
  <si>
    <t>Keine Daktylitis.</t>
  </si>
  <si>
    <t>Retroaurikuläre Psoriasis im aktuellen Hautbefund; anamnestisch als in Remission beschrieben.</t>
  </si>
  <si>
    <t>Unter fortgeführtem Tildrakizumab Wohlbefinden mit gelegentlichen, vor allem belastungsabhängigen Beschwerden an Knien und linker Achillessehne. Keine Gelenkschwellungen, Morgensteifigkeit oder Rückenschmerzen; weiterhin kein Anhalt für Psoriasis-Arthritis. Retroaurikuläre Psoriasis im Untersuchungsbefund.</t>
  </si>
  <si>
    <t>Klinischer Referenztermin 12.02.2024 aus der Follow-up-Briefgruppe trotz Scan am 17.11.2023.
Labordatum und gesondertes PASI-Erhebungsdatum nicht angegeben.
LEI nicht eindeutig zuordenbar: „MASES/LEI: 1“ (35_FollowUp.docx).
Weiterer Score: „BASDAI: 2.02“ (35_FollowUp.docx).
Ansprechen nicht beurteilbar: Wohlbefinden ohne ausdrückliche muskuloskelettale Besserung oder gute Gelenkbeschwerdekontrolle unter Therapie.
Anamnestische Hautremission und aktuell retroaurikuläre Psoriasis im Untersuchungsbefund.</t>
  </si>
  <si>
    <t>Methotrexat seit 2016; Dosis nicht angegeben.</t>
  </si>
  <si>
    <t>Gelenk- und Sehnenschmerzen mit beidseits druckschmerzhaften Ellenbogenansätzen unter unzureichender Kontrolle durch Methotrexat. Bewegungsabhängige Schmerzen erforderten zuletzt eine Schiene.</t>
  </si>
  <si>
    <t>Gelenkschmerzen, ein geschwollenes und ein druckschmerzhaftes Gelenk ohne Ortsangabe; Morgensteifigkeit ohne dokumentierte Dauer.</t>
  </si>
  <si>
    <t>Druckschmerzhafte Sehnenansätze an beiden Ellenbogen.</t>
  </si>
  <si>
    <t>Gegenüber initial 80 % Körperoberfläche etwas gebessert, weiterhin ausgeprägte Psoriasis-Plaques beider Beine und diskrete Rötung am Haaransatz.</t>
  </si>
  <si>
    <t>Unter Methotrexat etwas gebesserte Haut, jedoch weiterhin Gelenk- und Sehnenbeschwerden und insgesamt klar unzureichende PsA-Kontrolle. Therapieerweiterung durch ein Biologikum empfohlen, bevorzugt IL-17-Hemmung.</t>
  </si>
  <si>
    <t>Labordatum nicht angegeben; auch HAQ und Gelenkzählung ohne gesondertes Erhebungsdatum.
Zählbereich von TJC und SJC nicht angegeben.
Nagelbeteiligung nur in der Diagnosehistorie genannt; aktueller Nagelstatus unklar.
Weitere Scores in 36_Baseline.docx, jeweils ohne gesondertes Datum: „FACIT: 12“, „BASFI: 0,2“, „BASDI: 3,65“, „SPARCC: 2“, „DAS28: 2,95“. Bezeichnung BASDI unverändert übernommen.</t>
  </si>
  <si>
    <t>Secukinumab 300 mg monatlich und Methotrexat 10 mg subkutan wöchentlich; Folsäure 5 mg am Folgetag. Topisch Enstilar-Schaum und Silkis.</t>
  </si>
  <si>
    <t>Sehr gute klinische Krankheitskontrolle unter Secukinumab und Methotrexat bei gelegentlichen Beschwerden am rechten Ellenbogen ohne erforderliche NSAR-Einnahme.</t>
  </si>
  <si>
    <t>Gelegentliche Beschwerden am rechten Ellenbogen; keine druckschmerzhaften oder geschwollenen Gelenke im klinischen Status.</t>
  </si>
  <si>
    <t>Nächtliche Rückenschmerzen verneint.</t>
  </si>
  <si>
    <t>Klinisch kein Hinweis auf Enthesitis.</t>
  </si>
  <si>
    <t>Deutlich gebessert, anamnestisch keine Psoriasis-Plaques mehr; geringe Schuppung und Rötung vor allem an den Unterschenkeln. Im Hautstatus Rötungen an Stamm, Kopfhaut und beiden Unterschenkeln.</t>
  </si>
  <si>
    <t>Sehr gute klinische Krankheitskontrolle unter Secukinumab und Methotrexat, bei gelegentlichen rechten Ellenbogenbeschwerden und klinisch fehlenden druckschmerzhaften oder geschwollenen Gelenken, Enthesitiszeichen und Daktylitis. Haut deutlich gebessert mit verbleibenden Rötungen und geringer Schuppung. Sonographisch am 31.05.2021 weiterhin aktive Enthesitis am rechten Ellenbogen; MDA nicht erreicht.</t>
  </si>
  <si>
    <t>Referenztermin 31.05.2021 ist der scan-nächste belegte Besuch; zusätzlich Besuch am 09.07.2021. Anamnese, klinischer Status und Therapiebeurteilung im zusammenfassenden Brief keinem einzelnen Besuch eindeutig zugeordnet.
Labordatum nicht angegeben.
Klinisch kein Hinweis auf Enthesitis; abweichend sonographisch am 31.05.2021 weiterhin aktive Enthesitis rechts: „Ellbogen rechts: Epic. Humeri lat.: Osteoproliferation und Erosionen“, „PD Grad 3“, „weiterhin aktive Enthesitis i.R. der GE“ (36_FollowUp.docx).
Hautstatus enthält die unvollständige Formulierung „Plaques mehr“; anamnestisch ausdrücklich keine Plaques mehr.
Weitere Aktivitätsangabe in 36_FollowUp.docx ohne eindeutiges Einzeldatum: „MDA nicht erreicht VAS &gt;20/100,“. VAS-Domäne nicht angegeben.</t>
  </si>
  <si>
    <t>Prednisolon 10 mg zur Überbrückung.</t>
  </si>
  <si>
    <t>Klinisch aktive PsA mit dauerhaften Arthralgien, Gelenkschwellungen, Arthritis, Enthesitis und Daktylitis.</t>
  </si>
  <si>
    <t>Dauerhafte Arthralgien; Gelenkschwellungen an multiplen Stellen berichtet, ohne klinische Einzelgelenkzuordnung.</t>
  </si>
  <si>
    <t>Klinisch dokumentierte Enthesitis ohne eindeutige klinische Lokalisation.</t>
  </si>
  <si>
    <t>Klinisch dokumentierte Daktylitis ohne Seiten- oder Strahlangabe.</t>
  </si>
  <si>
    <t>Frühere Basistherapeutika wegen Unverträglichkeit abgesetzt; aktuell Überbrückung mit Prednisolon bei aktiver PsA. Beginn mit Secukinumab 300 mg alle 4 Wochen für den 13.11.2020 geplant.</t>
  </si>
  <si>
    <t>CRP: Labordatum nicht angegeben.
Secukinumab am Referenztermin nur geplant, daher nicht als laufende Therapie erfasst.</t>
  </si>
  <si>
    <t>Secukinumab 300 mg alle 4 Wochen seit 11/2020; aktuell prednisolonfrei.</t>
  </si>
  <si>
    <t>Weiterhin starke Rückenschmerzen einschließlich beider ISG, vor allem in Ruhe. Periphere Gelenkschmerzen und Schwellungen unter Secukinumab gebessert.</t>
  </si>
  <si>
    <t>Schwellungen und Schmerzen der peripheren Gelenke gebessert; keine klinische Einzelgelenkzuordnung dokumentiert.</t>
  </si>
  <si>
    <t>Weiterhin starke Rückenschmerzen und Beschwerden beider ISG, vor allem in Ruhe.</t>
  </si>
  <si>
    <t>Periphere Enthesitis unter Secukinumab deutlich gebessert; klinische Lokalisation nicht angegeben.</t>
  </si>
  <si>
    <t>Daktylitis unter Secukinumab deutlich gebessert; Seite und betroffene Strahlen nicht angegeben.</t>
  </si>
  <si>
    <t>Hautbeteiligung unter Secukinumab deutlich gebessert.</t>
  </si>
  <si>
    <t>Nagelbeteiligung unter Secukinumab deutlich gebessert; Art und Lokalisation nicht angegeben.</t>
  </si>
  <si>
    <t>Deutliche Besserung des peripheren Befalls einschließlich Arthritis, Daktylitis und Enthesitis sowie der Haut- und Nagelbeteiligung unter Secukinumab; prednisolonfrei. Starke Rücken- und ISG-Beschwerden bestehen fort. Unveränderte Fortführung empfohlen.</t>
  </si>
  <si>
    <t>CRP vom 07.05.2021 wegen eindeutiger Zuordnung zum klinischen Referenztermin bevorzugt; der scannähere Wert vom 21.05.2021 beträgt 3,9 mg/l.
Prednisolon 10 mg steht weiterhin in der Diagnoseliste; die aktuelle Beurteilung dokumentiert ausdrücklich Prednisolonfreiheit.</t>
  </si>
  <si>
    <t>Keine immunsuppressive Basistherapie.</t>
  </si>
  <si>
    <t>Aktive Gelenkbeschwerden mit druckschmerzhaften und geschwollenen Gelenken sowie Enthesenbeschwerden. Schmerzen im Fußbett beim Gehen; bestehende Schwanenhalsdeformitäten.</t>
  </si>
  <si>
    <t>Mehrere druckschmerzhafte und geschwollene Gelenke, insbesondere rechtes Handgelenk. Schwanenhalsdeformitäten, links am dritten und vierten Strahl; Schmerzen im Fußbett beim Gehen.</t>
  </si>
  <si>
    <t>Seit wenigen Wochen Beschwerden im Steißbereich nach Ruhe oder längerem Sitzen; Wirbelsäule frei beweglich.</t>
  </si>
  <si>
    <t>Enthesialer Druckschmerz über beiden Ellenbogen und über der Plantarfaszie.</t>
  </si>
  <si>
    <t>Psoriasiforme Plaques am Capillitium.</t>
  </si>
  <si>
    <t>Nach früherer MTX-Therapie seit Jahren ohne Basistherapie wegen verminderter Wirksamkeit; aktuell klinisch aktive Erkrankung. Einleitung einer Biologika-Therapie empfohlen.</t>
  </si>
  <si>
    <t>CRP: Labordatum nicht angegeben.
Der Diagnoseeintrag „seit 11/20: Beginn Secukinumab im Rahmen eBio-Studie“ liegt nach dem Referenztermin und bezeichnet keine am 05.10.2020 laufende Therapie.
Seite der Plantarfaszienbeschwerden nicht angegeben.</t>
  </si>
  <si>
    <t>Secukinumab 300 mg alle 4 Wochen, regelmäßig angewendet.</t>
  </si>
  <si>
    <t>Unter Secukinumab insgesamt gut kontrollierte Erkrankung mit verbleibenden Schmerzen an Ellenbogen-Sehnenansätzen und einigen Fingergelenken. Zehen aktuell schmerzfrei.</t>
  </si>
  <si>
    <t>Weiterhin Schmerzen einiger Fingergelenke; Zehen aktuell schmerzfrei.</t>
  </si>
  <si>
    <t>Weiterhin Schmerzen an den Sehnenansätzen der Ellenbogen.</t>
  </si>
  <si>
    <t>Haut deutlich gebessert.</t>
  </si>
  <si>
    <t>Unter Secukinumab insgesamt gute klinische Kontrolle bei verbleibenden Finger- und Ellenbogen-Enthesenbeschwerden; Zehen aktuell schmerzfrei. Haut deutlich gebessert.</t>
  </si>
  <si>
    <t>CRP vom 12.04.2021.
Seiten und einzelne betroffene Fingergelenke beziehungsweise Ellenbogen-Sehnenansätze nicht näher angegeben.</t>
  </si>
  <si>
    <t>Diclofenac 75 mg in fester Einnahme seit über vier Wochen.</t>
  </si>
  <si>
    <t>Anhaltende periphere Gelenkbeschwerden sowie Schmerzen im tiefen Rücken und in der HWS mit klinisch weiterhin entzündlicher PsA-Aktivität.</t>
  </si>
  <si>
    <t>Beschwerden am rechten OSG, an der linken Großzehe, linken Schulter und am Knie. Druckschmerzhafte linke Schulter, linker Ellenbogen und Kniegelenke; SJC 0. Morgensteifigkeit eine Stunde, teilweise ganztägig.</t>
  </si>
  <si>
    <t>Schmerzen im tiefen Rücken und in der HWS; Patrick-Zeichen beidseits positiv.</t>
  </si>
  <si>
    <t>Aktive schuppenflechtenartige Veränderungen der Kopfhaut und kleine blassrosa psoriasiforme Läsionen beider Arme.</t>
  </si>
  <si>
    <t>Seit etwa 15 Jahren Beschwerden; weiterhin entzündliche Aktivität. Einleitung von MTX 15 mg s.c. wöchentlich und Umstellung auf Etoricoxib 90 mg täglich empfohlen; bei unzureichender Wirkung zügige Erweiterung um einen TNF-Blocker empfohlen.</t>
  </si>
  <si>
    <t>Labordatum für CRP und BKS nicht angegeben; BKS 04/21 gemäß Studienkonvention als 4 mm nach einer Stunde erfasst.
TJC-/SJC-Zählbereich nicht angegeben; Scores und Gelenkbefund ohne eigenständiges Untersuchungsdatum.
Später ergänzte Therapieangaben ab 05/2020 nicht als laufende Therapie am 30.04.2020 erfasst. Widersprüchliche Angaben: „aktuelle Therapie: MTX 15 mg per os und Etoricoxib 90 mg 1x tgl. seit 05/2020“ gegenüber „MTX 15 mg pro Woche s.c. neu seit 05/2020“ und empfohlenem Therapiebeginn.
Weitere Scores: BASMI 2, belegt durch „Patrick-Zeichen bds. positiv, BASMI 2, PASI 0,6“; BAS-G 7, belegt durch „HAQ 1,75; BAS-G 7“ (39_Baseline.docx).</t>
  </si>
  <si>
    <t>Adalimumab 40 mg alle zwei Wochen; MTX 15 mg bisher oral irrtümlich nur alle zwei Wochen, am Vorstellungstag auf 15 mg s.c. wöchentlich umgestellt. Etoricoxib 90 mg bei Bedarf; Folsäure 5 mg 24 Stunden nach MTX.</t>
  </si>
  <si>
    <t>Weiterhin Schmerzen im tiefen Rücken, in der HWS und in den Knien bei nur leichter, subjektiv unzureichender Besserung unter MTX und Adalimumab.</t>
  </si>
  <si>
    <t>Weiterhin Knieschmerzen, insgesamt weniger Schwellungen; TJC 3 und SJC 0.</t>
  </si>
  <si>
    <t>Weiterhin Schmerzen im tiefen Rücken und in der HWS; Patrick-Zeichen beidseits positiv.</t>
  </si>
  <si>
    <t>Kopfhautpsoriasis deutlich gebessert; blutige, verkrustete Läsionen fast vollständig abgeheilt, weiterhin Kopfhautpsoriasis im Untersuchungsbefund.</t>
  </si>
  <si>
    <t>Unter MTX und Adalimumab leichte, aber unzureichende Gelenkbesserung und weniger Schwellungen; Rücken-, HWS- und Knieschmerzen bestehen fort. Kopfhautpsoriasis deutlich gebessert. Wegen unzureichender Krankheitskontrolle Therapieumstellung geprüft; fehlerhafte zweiwöchentliche MTX-Einnahme aufgedeckt und auf wöchentliche subkutane Gabe umgestellt.</t>
  </si>
  <si>
    <t>Labordatum für CRP und BKS nicht angegeben; BKS 6/22 gemäß Studienkonvention als 6 mm nach einer Stunde erfasst.
TJC-/SJC-Zählbereich nicht angegeben; Scores und Gelenkbefund ohne eigenständiges Untersuchungsdatum.
MTX-Angaben widersprüchlich: Dauermedikation nennt „MTX 15 mg pro Woche s.c. neu seit 05/2020“; aktuelle Anamnese dokumentiert tatsächlich zweiwöchentliche Einnahme und erst heutige Umstellung auf subkutane Gabe. Tatsächliches bisheriges Folsäureintervall unklar.
Weitere Scores: VAS Arzt 4, BASFI 9,4 und BASDAI 8,15; Originalbeleg: „VAS Arzt 4; BASFI 9,4; BASDAI 8,15, HAQ 1,88“ (39_FollowUp.docx).
Scan-Datumsabweichung: Patientenliste 31.10.2020; Brief nennt „FAPI PET/CT mit CT low dose vom 30.10.2020:“ (39_FollowUp.docx).
Ansprechen Ja bezeichnet die ausdrücklich dokumentierte klinische Teilbesserung bei weiterhin unzureichender Krankheitskontrolle.</t>
  </si>
  <si>
    <t>Apremilast seit 10/2019; Naproxen 500 mg und Novaminsulfon 500 mg bei Bedarf. Bei der Vorstellung Absetzen von Apremilast und Einleitung von Sulfasalazin empfohlen.</t>
  </si>
  <si>
    <t>Persistierende Gelenkbeschwerden, besonders an den Händen rechts mehr als links, sowie lumbale Rückenschmerzen bei bekannten degenerativen Veränderungen. Gleichzeitig aktive plantare Psoriasis.</t>
  </si>
  <si>
    <t>Handschmerzen rechts mehr als links, VAS 3–4; Morgensteifigkeit etwa 15 Minuten. Druckschmerz an MTT 1–2 beidseits, allen PIP der rechten Hand und rechtem Knie; anamnestisch und klinisch keine Schwellungen.</t>
  </si>
  <si>
    <t>Lumbale Rückenschmerzen bei bekannter Spondylolyse; Schmerzen in Ruhe und bei Bewegung mit nächtlichem Erwachen. Kein Wirbelsäulenklopfschmerz, Patrick-Test negativ; axiale PsA-Beteiligung ungeklärt.</t>
  </si>
  <si>
    <t>Anamnestisch aktuell keine Enthesitis; im Enthesenbefund jedoch Druckschmerz an beiden lateralen Ellbogen.</t>
  </si>
  <si>
    <t>Aktive Psoriasis mit beidseits trocken schuppenden Fußsohlen.</t>
  </si>
  <si>
    <t>Unter Apremilast keine berichtete Verbesserung und persistierende klinische Erkrankungsaktivität. Absetzen von Apremilast und einschleichende Einleitung von Sulfasalazin empfohlen; degenerative Beschwerden bestehen zusätzlich.</t>
  </si>
  <si>
    <t>Labordatum für CRP und BSG nicht angegeben; auch Scores und Untersuchungsbefunde sind nicht eigenständig datiert.
BSG gemäß Studienkonvention aus dem ersten Wert von „BSG 5/12 mm“ übernommen.
Anamnestische Enthesitis-Verneinung und Druckschmerz im Enthesenbefund stehen nebeneinander.
Weiterer Score: MASES 2; 40_Baseline.docx: „Enthesen: DS: Ellbogen lateral bds. MASES 2.“</t>
  </si>
  <si>
    <t>Secukinumab 150 mg subkutan alle vier Wochen nach Aufsättigung, seit 11/2020, zusätzlich Sulfasalazin 1000 mg zweimal täglich. Umstellung auf Adalimumab 40 mg subkutan alle 14 Tage empfohlen.</t>
  </si>
  <si>
    <t>Deutliche Gelenk- und Sehnenschmerzen unter Secukinumab bei unzureichendem klinischem Ansprechen.</t>
  </si>
  <si>
    <t>Deutliche Gelenkschmerzen; TJC 20 und SJC 0. Im Verlauf ausdrücklich Zunahme der schmerzhaften Gelenke beschrieben.</t>
  </si>
  <si>
    <t>Aktuelle Sehnenschmerzen ohne genannte Lokalisation; LEI 2 und SPARCC 4 dokumentiert.</t>
  </si>
  <si>
    <t>Subjektiv insgesamt gebesserte Haut; weiterhin beidseits trocken schuppende Fußsohlen, ansonsten unauffällig.</t>
  </si>
  <si>
    <t>Nach Wechsel von Apremilast auf Sulfasalazin und zusätzlicher Secukinumab-Therapie weiterhin deutliche Gelenk- und Sehnenschmerzen; ausdrücklich unzureichendes klinisches Ansprechen mit Zunahme schmerzhafter Gelenke. Haut gebessert. Umstellung auf Adalimumab empfohlen.</t>
  </si>
  <si>
    <t>Referenzbesuch 11.03.2021 liegt dem Scan vom 05.02.2021 näher als der Besuch vom 13.11.2020.
DAPSA, LEI, HAQ-DI und BSG aus „Untersuchung vom 11.3.2021“; CRP aus „Laborwerte vom 11.03.2021“. HAQ-DI unter HAQ erfasst.
TJC 20 und SJC 0 sind im zusammenfassenden Untersuchungsbefund nicht eigenständig datiert; Zählbereich nicht angegeben. TJC 20 zusätzlich in der aktuellen Beurteilung bestätigt.
PASI zeitlich nicht auflösbar widersprüchlich: 40_FollowUp.docx, „Haut: Fußsohlen bds trocken schuppend, ansonsten unauffällig, PASI 0“ gegenüber „PASI: 1 (Vorwert 1.3)“ unter Untersuchung vom 11.3.2021; deshalb PASI null.
Abweichende TJC-Vorwerte: 40_FollowUp.docx, „Gelenke: SJC 0 (Vorwert 4), TJC 20 (Vorwert 29)“ gegenüber „Zunahme der schmerzhaften Gelenke auf 20 (Vorwert 7)“. Aktueller Wert übereinstimmend 20; frühere Zählungen zeitlich unklar.
Zusätzlicher Befundblock ausdrücklich „Untersuchung vom 13.11.2021“ datiert, während die Einleitung 13.11.2020 nennt; Datum nicht korrigiert. Dort DAPSA 36, LEI 2, PASI 1 und HAQ-DI 0.63 dokumentiert; für datierte Felder wurden die eindeutig dem Referenzbesuch zugeordneten Werte bevorzugt.
Weitere Scores vom 11.03.2021, jeweils 40_FollowUp.docx: „DAS28: 3,68 (Vorwert 4.21)“, „MASES: 2 (Vorwert 2)“, „SPARCC: 4 (Vorwert 6“, „DLQI: 1 (Vorwert 0)“, „PsAQoL: 3 (Vorwert 8)“, „PSAID: 4.1 (Vorwert 6.8)“.
Therapiedauer im Text uneinheitlich mit drei beziehungsweise vier Monaten angegeben. Adalimumab als empfohlene Umstellung, nicht als bereits laufende Therapie erfasst.
Ansprechen Nein aufgrund ausdrücklich zunehmender schmerzhafter Gelenke und unzureichenden klinischen Ansprechens; reine Hautbesserung und niedrigere numerische Vorwerte belegen hier keinen ausdrücklich beschriebenen muskuloskelettalen Nutzen.</t>
  </si>
  <si>
    <t>MTX 25 mg s.c. wöchentlich, Folsäure 5 mg am Folgetag, Prednisolon 5 mg täglich und Naproxen 500 mg abends. Abatacept am 02.04.2020 begonnen; Fortbestehen am Referenztermin nicht eindeutig belegt.</t>
  </si>
  <si>
    <t>Ausgeprägte Gelenkschmerzen und Schwellungen an Händen, Knien und Füßen mit Morgensteifigkeit über zwei Stunden sowie generalisierte Haut- und ausgeprägte Nagelpsoriasis; bis Juni deutliche Besserung.</t>
  </si>
  <si>
    <t>Anfangs ausgeprägte Schmerzen und Schwellungen an Händen, Knien und Füßen, Morgensteifigkeit über zwei Stunden. Am 02.04.2020 acht druckschmerzhafte und acht geschwollene Gelenke; am 22.06.2020 zwei druckschmerzhafte und keine geschwollenen Gelenke.</t>
  </si>
  <si>
    <t>Am 02.04.2020 und 22.06.2020 ausdrücklich keine Enthesitis.</t>
  </si>
  <si>
    <t>Am 02.04.2020 und 22.06.2020 ausdrücklich keine Daktylitis.</t>
  </si>
  <si>
    <t>Anfangs generalisierte Psoriasisplaques, unter Abatacept verschlechtert mit Juckreiz, Brennen und offenen Stellen. Am 22.06.2020 regrediente Plaques mit generalisiertem residualem Erythem.</t>
  </si>
  <si>
    <t>Ausgeprägte Nagelpsoriasis an Händen und Füßen am 02.04.2020 und 22.06.2020.</t>
  </si>
  <si>
    <t>Nach Absetzen von Ixekizumab wegen Wirkungsverlust Verschlechterung von Haut und Gelenken. Unter Abatacept deutliche Gelenkbesserung bei Hautverschlechterung; anschließend Tofacitinib ohne klinisches Ansprechen nach vier Wochen. Nach erneutem Ixekizumab-Beginn bis 22.06.2020 regrediente Hautläsionen und gut kontrollierter Gelenkstatus.</t>
  </si>
  <si>
    <t>Referenzbesuch 20.04.2020; TJC/SJC, PASI, CRP und BSG stammen vom 02.04.2020 als jeweils nächste eigenständig datierte Messungen zum Scan. TJC/SJC-Zählbereich nicht angegeben; DS als druckschmerzhafte Gelenke erfasst.
Weitere Werte: 26.05.2020 BSG 7 mm/h, PASI 5 und CRP 5,8 mg/l; 22.06.2020 TJC 2, SJC 0 und CRP 6,3 mg/l. Diese späteren Befunde gehören zur Baseline-Episode.
Weitere Scores: 02.04.2020 „DAS28: 5,82“; 26.05.2020 „DAS28: 1,46“ (41_Baseline.docx).
Therapieumstellungen innerhalb der Episode; Absetzdatum von Abatacept und Beginn von Tofacitinib bzw. erneutem Ixekizumab im Baseline-Brief nicht eindeutig datiert. Ixekizumab daher nicht als laufende Therapie am 20.04.2020 erfasst.
Widersprüchliche Anamnese: Neben ausgeprägten Gelenkschmerzen steht „Keine Schleimhautveränderungen, keine Gelenkschmerzen, kein Raynaud, keine kardiopulmonalen oder gastrointestinalen Beschwerden, kein schäumender Urin, keine B-Symptomatik, VA: opB.“ (41_Baseline.docx). Konkrete Beschwerden und Untersuchungsbefunde wurden bevorzugt.</t>
  </si>
  <si>
    <t>Ixekizumab 80 mg s.c. alle vier Wochen, MTX 25 mg s.c. wöchentlich, Folsäure 5 mg am Folgetag, Prednisolon 4 mg täglich und Naproxen 500 mg abends.</t>
  </si>
  <si>
    <t>Unter Ixekizumab erneut zunehmende Arthralgien und Gelenkschwellungen mit Morgensteifigkeit von etwa 90 Minuten; gleichzeitig deutlich rückläufige Psoriasis.</t>
  </si>
  <si>
    <t>Zunehmende Arthralgien seit Umstellung von Abatacept auf Ixekizumab; leichte MCP4-Schwellung nach Verletzung. Mehrere druckschmerzhafte Gelenke und zwei geschwollene Gelenke, MCP4 rechts und PIP3 mit unklarer Seite; Morgensteifigkeit etwa 90 Minuten.</t>
  </si>
  <si>
    <t>Aktuell wenige Plaques an Steiß und Rücken. Generalisierte Psoriasisläsionen regredient, mit Rhagaden, Schuppung und generalisierter Hyperpigmentation; unter Ixekizumab sehr gutes Abheilen.</t>
  </si>
  <si>
    <t>Gegenüber der im Baseline-Brief zuletzt beschriebenen Gelenkkontrolle erneut vermehrte Arthralgien und Gelenkschwellungen unter Ixekizumab, während die Psoriasisläsionen sehr gut abheilen. Aktuelle Therapie zunächst beibehalten; weitere Umstellung nach geplanter MRT-Kontrolle zu diskutieren.</t>
  </si>
  <si>
    <t>Labordatum nicht angegeben.
TJC nicht numerisch angegeben („mehrere DS“); SJC-Zählbereich nicht angegeben. Seite von PIP3 nicht eindeutig.
MCP4-Schwellung anamnestisch nach Verletzung; entzündlicher Anteil nicht eindeutig abgrenzbar.
Weiterer Befund: „MDA nicht erreicht“ (41_FollowUp.docx).
Ansprechen bezieht sich auf die muskuloskelettale PsA; die ausdrücklich gute Hautentwicklung ist separat erhalten.</t>
  </si>
  <si>
    <t>Bei Vorstellung Etanercept seit 09/2019, MTX 25 mg s.c., Folsäure 5 mg, Prednisolon 5 mg und Diclofenac bei Bedarf. Im Rahmen der Vorstellung Etanercept abgesetzt und Tofacitinib 5 mg zweimal täglich begonnen.</t>
  </si>
  <si>
    <t>Aktive periphere Gelenkbeschwerden mit persistierenden Schmerzen an Händen, Knien und Füßen sowie Schwellungen an Händen und Füßen.</t>
  </si>
  <si>
    <t>Bewegungsunabhängige Schmerzen an Händen, Knien und Füßen; Morgensteifigkeit etwa eine Stunde. Druckschmerz beider Handgelenke, PIP 2 rechts, PIP 2, 3 und 5 links, MCP 3 links sowie MTT 3 und 4 rechts und MTT 3 links. Schwellungen der PIP 2 und 3 links sowie des linken Handgelenks.</t>
  </si>
  <si>
    <t>Anamnestisch verneint.</t>
  </si>
  <si>
    <t>Aktive Psoriasis an Kopfhaut und beiden Gehörgängen.</t>
  </si>
  <si>
    <t>Keine Nagelpsoriasis.</t>
  </si>
  <si>
    <t>Persistierende Beschwerden und erhöhte Krankheitsaktivität unter Etanercept; Umstellung auf Tofacitinib eingeleitet.</t>
  </si>
  <si>
    <t>Labordatum für CRP und BKS nicht angegeben.
BKS 1/2: erster Wert gemäß Studienkonvention als BSG nach einer Stunde übernommen.
MASES 0, nicht als LEI übernommen. Originalbeleg: 42_Baseline.docx: „MASES:0“.
Die Therapie bei Vorstellung und die unmittelbar eingeleitete Umstellung sind getrennt dargestellt. Prednisolon anschließend vorübergehend erhöht und ausgeschlichen: 42_Baseline.docx: „Prednisolon 10 mg für 2 Woche, dann wöchentliche schrittweise Reduktion der Dosis auf 2.5 mg, bis Stopp“.</t>
  </si>
  <si>
    <t>Secukinumab 150 mg s.c.; zusätzlich MTX 25 mg s.c., Folsäure 5 mg, Prednisolon 5 mg und Diclofenac bei Bedarf.</t>
  </si>
  <si>
    <t>Persistierende periphere Gelenkschmerzen und Schwellungen unter Secukinumab; zusätzlich LWS-Beschwerden mit nächtlichem Erwachen.</t>
  </si>
  <si>
    <t>Persistierende Schmerzen beider Daumengrundgelenke und Handgelenke sowie Morgensteifigkeit ohne Dauerangabe; zusätzlich rechte Schulter betroffen. Druckschmerz beider Handgelenke, PIP 2 rechts, PIP 2, 3 und 5 links, MCP 3 links sowie MTT 3 und 4 rechts und MTT 3 links. Schwellungen der PIP 2 und 3 links sowie des linken Handgelenks.</t>
  </si>
  <si>
    <t>LWS-Beschwerden mit nächtlichem Erwachen; klinisch persistierende axiale Aktivität beschrieben.</t>
  </si>
  <si>
    <t>Aktuell keine psoriasiformen Läsionen; minimale Rötung beider Ellenbogen.</t>
  </si>
  <si>
    <t>Nach unzureichender Wirkung von Tofacitinib Umstellung auf Secukinumab. Darunter weiterhin periphere und axiale Beschwerden ohne ausdrücklich belegte klinische Besserung. Aktuell keine psoriasiformen Läsionen. Erhöhung von Secukinumab auf 300 mg monatlich empfohlen.</t>
  </si>
  <si>
    <t>Labordatum nicht angegeben.
Ansprechen unter Secukinumab nicht eindeutig beurteilbar: persistierende Beschwerden allein belegen kein Nein; die bildgebende Befundbesserung belegt kein klinisches Ansprechen.
Secukinumab 150 mg s.c. ist in der aktuellen Anamnese belegt; die Erhöhung auf 300 mg monatlich wird im Verlauf empfohlen und ist für den Untersuchungstag nicht als bereits umgesetzt gesichert.</t>
  </si>
  <si>
    <t>Methotrexat 10 mg einmal wöchentlich mit Folsäure 5 mg im Anschluss; Prednisolon 10 mg.</t>
  </si>
  <si>
    <t>Rezidivierende Beschwerden der MCP-Gelenke beidseits mit deutlicher Morgensteifigkeit und eingeschränkter Fingerbeweglichkeit; begleitende Enthesenbeschwerden.</t>
  </si>
  <si>
    <t>MCP-Beschwerden beidseits mit Morgensteifigkeit ohne dokumentierte Dauer und eingeschränkter Fingerbeweglichkeit. Diskrete Schwellungen MCP 2/3 beidseits ohne direkten Gelenkdruckschmerz; zusätzlich Schmerzen an Knien, Ellbogen, Schultern und Hüften.</t>
  </si>
  <si>
    <t>Langjährige Beschwerden der unteren LWS, auch in Ruhe.</t>
  </si>
  <si>
    <t>Rezidivierende Enthesitiden der Plantarfaszien, Achillessehnen und Ellbogen beidseits; aktuell Druckschmerz der Plantarfaszien und leichter Druckschmerz der Achillessehnen beidseits.</t>
  </si>
  <si>
    <t>Psoriasiforme Läsionen am gesamten Kapillitium und diskret an beiden Ellbogen; übriges Integument unauffällig.</t>
  </si>
  <si>
    <t>Seit August 2018 rezidivierende Gelenk- und Enthesenbeschwerden. Prednisolon und anschließend Methotrexat bisher nur eingeschränkt wirksam; persistierende Haut- und muskuloskelettale Beschwerden. Einleitung von Secukinumab empfohlen.</t>
  </si>
  <si>
    <t>CRP: Labordatum nicht angegeben.
Secukinumab ist in der Diagnoseliste mit Beginn 12/2019 nachgetragen und war am Referenztermin 11.11.2019 keine laufende Therapie.
Abweichendes Baseline-PET-Datum: Patientenliste 25.11.2019, Befundüberschrift im Brief 26.11.2019.</t>
  </si>
  <si>
    <t>Methotrexat einmal wöchentlich, Dosis nicht angegeben, mit Folsäure 5 mg am Folgetag; Adalimumab, Dosis und Intervall nicht angegeben.</t>
  </si>
  <si>
    <t>Erneut zunehmende Schmerzen beider Hände, Ellbogen und Schultern mit Kraftlosigkeit der Hände und Unfähigkeit zu Überkopfarbeiten; klinisch druckschmerzhafte und geschwollene Gelenke.</t>
  </si>
  <si>
    <t>Seit etwa drei Wochen vermehrte Schmerzen beider Hände, Ellbogen und Schultern; keine Überkopfarbeiten möglich, Kraftlosigkeit beider Hände. Fünf druckschmerzhafte und drei geschwollene Gelenke.</t>
  </si>
  <si>
    <t>Druckschmerzhafte Enthesen an Achillessehnen und Ellbogen beidseits.</t>
  </si>
  <si>
    <t>Zunehmende psoriasiforme Läsionen am Kopf und an den Streckseiten beider Ellbogen.</t>
  </si>
  <si>
    <t>Unter Adalimumab zunächst deutlicher klinischer Nutzen, seit etwa drei Wochen erneut zunehmende Gelenkschmerzen mit funktionellen Einschränkungen und verschlechterter Hautbeteiligung. Aktuell persistierende Erkrankungsaktivität unter TNF-Inhibition mit Enthesenbeschwerden; Umstellung auf Upadacitinib bei Fortführung von Methotrexat empfohlen.</t>
  </si>
  <si>
    <t>TJC/SJC: Zählbereich nicht angegeben.
Ansprechen Ja bezeichnet den ausdrücklich dokumentierten anfänglichen klinischen Nutzen unter Adalimumab; aktuell erneute Verschlechterung, keine anhaltend ausreichende Kontrolle.
Upadacitinib war am Referenztermin noch keine laufende Therapie. Zur Umstellung heißt es: „Da Adalimumab zuletzt am 18.12. gespritzt wurde, sollte bis zur Therapieumstellung noch ein Sicherheitsabstand bis 28.12.2020 eingehalten werden.“
Keine aktuellen Laborwerte: „Eine laborchemische Kontrolle konnte leider nicht durchgeführt werden, da der Pat. vorzeitig gegangen war.“</t>
  </si>
  <si>
    <t>Keine rheumatologische Medikation.</t>
  </si>
  <si>
    <t>Führend anhaltender Enthesendruckschmerz; Synovitiden nicht vordergründig. Zusätzlich dokumentierte Schmerzen an Finger-, Daumensattel- und Zehengelenken.</t>
  </si>
  <si>
    <t>Keine Synovitiden vordergründig. Im PET-Bericht klinisch dokumentierte Schmerzen und sichtbare Schwellung am PIP II links sowie Schmerzen am DIP V links, PIP V rechts, an beiden Daumensattelgelenken und am PIP der IV. Zehe rechts.</t>
  </si>
  <si>
    <t>Enthesendruckschmerz am rechten Ellenbogen, rechten Handgelenk und beidseits an der Patella; Achillessehnen beidseits unauffällig.</t>
  </si>
  <si>
    <t>Haut gebessert; aktuell keine psoriasiformen Plaques.</t>
  </si>
  <si>
    <t>Weiterhin klinische Krankheitsaktivität mit Enthesendruckschmerz bei gebesserter Haut. Einleitung von MTX und einer Steroidstoßtherapie empfohlen.</t>
  </si>
  <si>
    <t>Labordatum für CRP und BKS nicht angegeben; BKS 4/9 mm gemäß Studienkonvention als 4 mm nach 1 h erfasst.
Zusätzliche anamnestische Gelenkschmerzen und die inspektorische Schwellung stammen aus dem PET-Bericht vom 03.06.2019; keine Zuordnung zum Referenzbesuch am 09.05.2019.
MTX 15 mg wöchentlich, Folsäure und Steroidstoßtherapie sind Empfehlungen, keine belegte laufende Therapie.</t>
  </si>
  <si>
    <t>Adalimumab 40 mg alle 2 Wochen; nach Pause seit April 2020 wieder eingenommen.</t>
  </si>
  <si>
    <t>Fortbestehende Schmerzen und Schwellungen an Fingern und Klavikula sowie Schmerzen an linker Schulter und beiden ISG. Nächtliche Rückenschmerzen bei deutlich gebesserter Steifigkeit.</t>
  </si>
  <si>
    <t>Anamnestisch Schmerzen und Schwellungen am rechten kleinen Finger und Daumen. Klinisch Druckschmerz und Schwellung an MCP II links, PIP II/III rechts und Klavikula sowie Druckschmerz der linken Schulter; Morgensteifigkeit nach Sitzen ohne Dauerangabe.</t>
  </si>
  <si>
    <t>Vor allem nächtliche Rückenschmerzen im unteren LWS-Bereich; beidseitiger ISG-Druckschmerz.</t>
  </si>
  <si>
    <t>Keine aktuellen Hauterscheinungen.</t>
  </si>
  <si>
    <t>Seit erneuter regelmäßiger Adalimumab-Einnahme im April 2020 besteht fast keine Steifigkeit mehr. Insgesamt subjektiv unverändert mit fortbestehenden Gelenkschmerzen, Schwellungen und nächtlichen Rückenschmerzen; wegen klinischer Restaktivität Umstellung auf Ustekinumab erwogen, noch nicht begonnen.</t>
  </si>
  <si>
    <t>Labordatum für CRP und BKS nicht angegeben; BKS 4/14 mm/h gemäß Studienkonvention als 4 mm nach 1 h erfasst.
Ansprechen als klinische Teilbesserung der Steifigkeit gewertet; fortbestehende Krankheitsaktivität und insgesamt unverändertes Befinden bleiben erhalten.
Die Therapiehistorie nennt Cosentyx bis 12/20 und widerspricht damit der aktuellen Adalimumab-Dokumentation; aktuelle Anamnese und Dauermedikation haben Vorrang.</t>
  </si>
  <si>
    <t>Arcoxia 90 mg für weitere vier Wochen eingeleitet; bisher Lokal- und Lichttherapie der Haut. Keine bisherige immunsuppressive Basistherapie.</t>
  </si>
  <si>
    <t>Axiale und periphere Beschwerden mit entzündlichem nächtlichem Rückenschmerz und Ruhearthralgien beider Knie. Morgendliche Achillessehnenschmerzen beidseits erschweren das Treppensteigen.</t>
  </si>
  <si>
    <t>Ruhearthralgien beider Kniegelenke; dokumentierter TJC 0 und SJC 0.</t>
  </si>
  <si>
    <t>Entzündlicher Rückenschmerz mit nächtlichem Erwachen seit Ende 2018; Wirbelsäule frei beweglich.</t>
  </si>
  <si>
    <t>Morgendliche Schmerzen beider Achillessehnen mit erschwertem Treppensteigen bei dokumentierter rezidivierender Enthesitis; aktuell im Untersuchungsbefund keine Enthesitis.</t>
  </si>
  <si>
    <t>Keine Daktylitis dokumentiert.</t>
  </si>
  <si>
    <t>Psoriasiforme Plaques an Ober- und Unterarmen beidseits, Ober- und Unterschenkeln beidseits, Rücken und Gesäß.</t>
  </si>
  <si>
    <t>Langjährige Hautmanifestation, seit Ende 2018 entzündlicher Rückenschmerz; NSAR und Ibuprofen ohne durchschlagenden Effekt. Arcoxia eingeleitet; Einleitung von MTX 15 mg wöchentlich mit Folsäure 5 mg am Folgetag empfohlen.</t>
  </si>
  <si>
    <t>Labordatum für CRP und BKS nicht angegeben; Untersuchungsdatum von TJC, SJC und PASI nicht gesondert angegeben.
TJC-/SJC-Zählbereich nicht angegeben.
BKS 26/47: erster Wert 26 gemäß Studienkonvention als BSG nach einer Stunde übernommen.
Enthesitis widersprüchlich dokumentiert: Diagnoseliste „Enthesitis: bestehende Enthesitis“, Untersuchungsbefund „Enthesitis aktuell keine.“; Achillessehnenschmerzen anamnestisch vorhanden, genaue Enthesenlokalisation nicht genannt.
Beginn von Arcoxia innerhalb der Episode nicht gesondert datiert; MTX lediglich empfohlen.</t>
  </si>
  <si>
    <t>Secukinumab 150 mg seit August 2019; Dosierungsintervall nicht angegeben.</t>
  </si>
  <si>
    <t>Zufriedenstellende Krankheitskontrolle unter Secukinumab bei gelegentlichen Rückenschmerzen und bewegungsabhängigen Arthralgien.</t>
  </si>
  <si>
    <t>Gelegentliche bewegungsabhängige Arthralgien, keine Schwellungen; klinisch keine druckschmerzhaften oder geschwollenen Gelenke. Morgensteifigkeit wenige Minuten.</t>
  </si>
  <si>
    <t>Gelegentliche Rückenschmerzen ohne nächtliches Erwachen; Wirbelsäule und ISG ohne Druckschmerz.</t>
  </si>
  <si>
    <t>Enthesitiden in letzter Zeit verneint.</t>
  </si>
  <si>
    <t>Daktylitis in letzter Zeit verneint.</t>
  </si>
  <si>
    <t>Psoriasis aktuell gut kontrolliert; kleine rötliche Reststellen an den Beinen ohne Schuppung.</t>
  </si>
  <si>
    <t>Keine Nagelbeteiligung laut Diagnoseliste.</t>
  </si>
  <si>
    <t>Unter Secukinumab zufriedenstellende Krankheitskontrolle. Gegenüber Baseline kein nächtliches Erwachen mehr bei verbleibenden gelegentlichen Rückenschmerzen und bewegungsabhängigen Arthralgien; keine aktuellen Schwellungen, Enthesitiden oder Daktylitis. Haut gut kontrolliert mit kleinen Reststellen an den Beinen.</t>
  </si>
  <si>
    <t>Labordatum für CRP und BSG nicht angegeben.
BSG 16/29 mm: erster Wert 16 gemäß Studienkonvention übernommen.
Weitere dokumentierte Angaben: BASMI 0 und MASES 0; Originalbeleg aus 45_FollowUp.docx: „WS/ISG kein DS, BASMI 0 MASES 0“. Nicht als LEI übernommen.
Schmerzangabe ohne näher bezeichnete VAS-Skala aus 45_FollowUp.docx: „Aktuell stabiler Zustand, ggl. Rückenschmerzen, VAS max. 4, ohne nächtliches Erwachen.“
Nagelbefund nur in der Diagnoseliste dokumentiert.</t>
  </si>
  <si>
    <t>Methotrexat 15 mg freitags, Naproxen 500 mg zweimal täglich und Ibuprofen bei Bedarf.</t>
  </si>
  <si>
    <t>Aktive PsA mit führenden Enthesenbeschwerden und Daktylitis rechts; Synovitis der kleinen Fingergelenke nach Prednisolonstoß rückläufig.</t>
  </si>
  <si>
    <t>Rückläufige Synovitis der kleinen Fingergelenke; Druckschmerz und Schwellung am PIP IV rechts. Beschwerden an beiden Ellenbogen und Schultergelenken.</t>
  </si>
  <si>
    <t>Kostovertebrale Beschwerden; Wirbelsäule frei beweglich.</t>
  </si>
  <si>
    <t>Klinisch alle Enthesen betroffen; Beschwerden insbesondere an beiden Achillessehnen und Plantarfaszien.</t>
  </si>
  <si>
    <t>Daktylitis am rechten Finger IV.</t>
  </si>
  <si>
    <t>Keine aktuelle Psoriasis der Haut.</t>
  </si>
  <si>
    <t>Nagelpsoriasis an allen Nägeln.</t>
  </si>
  <si>
    <t>Nach Prednisolonstoß deutlicher Rückgang der Fingergelenksynovitis, jedoch persistierende PsA-Aktivität mit führenden Enthesenbeschwerden unter Methotrexat. Erweiterung um Tofacitinib 5 mg zweimal täglich empfohlen.</t>
  </si>
  <si>
    <t>Labordatum nicht angegeben.
Zählbereich von TJC und SJC nicht angegeben.
Diagnoseliste nennt „aktuelle Therapie: MTX + Beginn Tofacitinib“; die aktuelle Beurteilung empfiehlt erst die Erweiterung. Tofacitinib daher nicht als bereits laufend erfasst.
Prednisolonstoß zuletzt erfolgt; fortbestehende Einnahme und Dosis nicht dokumentiert.</t>
  </si>
  <si>
    <t>Aktuell keine laufende Basistherapie: Methotrexat und Etanercept seit 14 Tagen pausiert.</t>
  </si>
  <si>
    <t>Persistierende Schmerzen an Händen, Füßen und ISG sowie Morgensteifigkeit von etwa einer Stunde bei pausierter Basistherapie.</t>
  </si>
  <si>
    <t>Schmerzen an Händen und Füßen mit gelegentlichen Schwellungen, Morgensteifigkeit etwa eine Stunde. Leichte Schwellung des linken Knies und Schmerzen sowie Druckschmerz der rechten Schulter; im Gelenkstatus zugleich allgemein keine Druckschmerzen angegeben.</t>
  </si>
  <si>
    <t>ISG-Schmerzen rechts stärker als links; rechts Druckschmerz und positiver Patrick-Test.</t>
  </si>
  <si>
    <t>Aktuelle Psoriasis verneint.</t>
  </si>
  <si>
    <t>Unter inzwischen seit 14 Tagen pausiertem Methotrexat und Etanercept persistierende periphere und ISG-Schmerzen. Weitere Therapiepause bis zur Wundheilung empfohlen; überbrückend Etoricoxib 60 mg täglich empfohlen. Ein klinischer Nutzen der zuvor laufenden Therapie ist nicht beurteilbar dokumentiert.</t>
  </si>
  <si>
    <t>Labordatum für CRP und BSG nicht angegeben.
BSG-Originalangabe „26/44 mm/h“: gemäß Studienkonvention erster Wert als BSG nach einer Stunde übernommen.
Gelenkstatus nennt allgemein „keine DS“, zugleich aber rechtsseitigen Schulterdruckschmerz; beide Angaben erhalten.
Ansprechen nicht beurteilbar: persistierende Beschwerden bei Therapiepause, keine ausdrückliche klinische Nutzenbewertung; PET-Rückgang nicht als klinisches Ansprechen gewertet.
Nagelbeteiligung, rezidivierende Enthesitiden und Daktylitis stehen nur in der Diagnoseliste; aktueller klinischer Status dieser Domänen nicht beschrieben.</t>
  </si>
  <si>
    <t>Keine Auswertung: ValueError: Originalzitat nicht gefunden: berichtet von noch immer glg. in den Handgelengen auftretenden Schmerzen.</t>
  </si>
  <si>
    <t>Cosentyx 300 mg s.c. alle vier Wochen; Prednisolon 5 mg täglich; topische Therapie mit Flucidine seit 09/2020.</t>
  </si>
  <si>
    <t>Führende Hautbeschwerden bei geringen Gelenkbeschwerden; Schwellung am PIP 3 rechts ohne Druckschmerz.</t>
  </si>
  <si>
    <t>Wenig Gelenkbeschwerden; kein Druckschmerz, Schwellung am PIP 3 rechts.</t>
  </si>
  <si>
    <t>Psoriasis an beiden Unterschenkeln und einem Ellenbogen; Seitenangabe des Ellenbogens widersprüchlich. Zunächst zunehmend, unter Flucidine gebessert.</t>
  </si>
  <si>
    <t>Hautbeschwerden zunächst zunehmend, dann gutes Ansprechen auf die begonnene topische Therapie mit Flucidine. Gelenkbeschwerden gering.</t>
  </si>
  <si>
    <t>Labordatum für CRP und BKS nicht angegeben.
Ellenbogenbefall: Diagnosen links, Untersuchungsbefund rechts.
Weiterer Score: BAS-G 6; Originalbeleg: 48_Baseline.docx: „HAQ 1,75; BAS-G 6“.</t>
  </si>
  <si>
    <t>Guselkumab seit 06/2021, seit etwa 14 Wochen angewendet; Dosis und Intervall nicht angegeben. Prednisolon 5 mg und 2,5 mg im täglichen Wechsel; topische Therapie mit Flucidine.</t>
  </si>
  <si>
    <t>Ausreichend kontrollierte Gelenkbeschwerden bei kurzzeitigen Schmerzen und fünf Minuten Morgensteifigkeit; unklare Kiefergelenkbeschwerden in Abklärung. Weiterhin ausgeprägt aktive Hautplaques trotz berichteter Besserung.</t>
  </si>
  <si>
    <t>Minimale subjektive Besserung, Schmerzen nur kurzzeitig und Morgensteifigkeit fünf Minuten. Keine Schwellung und kein Druckschmerz im Gelenkstatus; unklare Kiefersperre in kieferorthopädischer Abklärung.</t>
  </si>
  <si>
    <t>Unter Guselkumab deutlich gebesserte, anamnestisch abheilende und weniger floride Psoriasisläsionen. Im Untersuchungsbefund weiterhin ausgeprägt aktive Plaques an beiden Beinen, Unterschenkeln und Füßen; keine offenen Wunden.</t>
  </si>
  <si>
    <t>Keine Nagelveränderungen.</t>
  </si>
  <si>
    <t>Nach etwa 14 Wochen Guselkumab minimale subjektive Gelenkbesserung und ausreichend kontrollierter Gelenkstatus ohne Schwellung oder Druckschmerz. Kurzzeitige Schmerzen, fünf Minuten Morgensteifigkeit und unklare Kiefergelenkbeschwerden verbleiben. Haut deutlich gebessert, jedoch weiterhin aktive Plaques; keine Nagelveränderungen.</t>
  </si>
  <si>
    <t>Labordatum für CRP und BKS nicht angegeben.
Cosentyx steht noch in der häuslichen Medikation; aktuelle Anamnese und Beurteilung bestätigen Guselkumab als laufende Therapie.
Prednisolon wird im Zusammenhang mit der Lungenfibrose genannt; eine rheumatologische Indikation ist nicht eindeutig belegt.
Anamnestisch gebesserte Haut bei weiterhin ausgeprägt aktivem Hautbefund in der Untersuchung.</t>
  </si>
  <si>
    <t xml:space="preserve">unklar </t>
  </si>
  <si>
    <t>unklar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</si>
</sst>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4" x14ac:knownFonts="1">
    <font>
      <sz val="11"/>
      <color theme="1"/>
      <name val="Calibri"/>
      <family val="2"/>
      <scheme val="minor"/>
    </font>
    <font>
      <b/>
      <sz val="11"/>
      <name val="Calibri"/>
      <family val="2"/>
    </font>
    <font>
      <b/>
      <sz val="12"/>
      <name val="Calibri"/>
      <family val="2"/>
    </font>
    <font>
      <sz val="11"/>
      <name val="Calibri"/>
      <family val="2"/>
    </font>
  </fonts>
  <fills count="9">
    <fill>
      <patternFill patternType="none"/>
    </fill>
    <fill>
      <patternFill patternType="gray125"/>
    </fill>
    <fill>
      <patternFill patternType="solid">
        <fgColor rgb="FFD9EA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CBEAF5"/>
      </patternFill>
    </fill>
    <fill>
      <patternFill patternType="solid">
        <fgColor rgb="FFF2F6FA"/>
      </patternFill>
    </fill>
    <fill>
      <patternFill patternType="solid">
        <fgColor rgb="FFFFFFFF"/>
      </patternFill>
    </fill>
  </fills>
  <borders count="2">
    <border>
      <left/>
      <right/>
      <top/>
      <bottom/>
      <diagonal/>
    </border>
    <border>
      <left/>
      <right/>
      <top/>
      <bottom style="thin">
        <color rgb="FFD9E2F3"/>
      </bottom>
      <diagonal/>
    </border>
  </borders>
  <cellStyleXfs count="1">
    <xf numFmtId="0" fontId="0" fillId="0" borderId="0"/>
  </cellStyleXfs>
  <cellXfs count="20">
    <xf numFmtId="0" fontId="0" fillId="0" borderId="0" xfId="0"/>
    <xf numFmtId="0" fontId="2" fillId="5" borderId="0" xfId="0" applyFont="1" applyFill="1" applyAlignment="1">
      <alignment vertical="center"/>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1" fontId="3" fillId="7" borderId="1" xfId="0" applyNumberFormat="1" applyFont="1" applyFill="1" applyBorder="1" applyAlignment="1">
      <alignment vertical="top" wrapText="1"/>
    </xf>
    <xf numFmtId="0" fontId="3" fillId="7" borderId="1" xfId="0" applyFont="1" applyFill="1" applyBorder="1" applyAlignment="1">
      <alignment vertical="top" wrapText="1"/>
    </xf>
    <xf numFmtId="164" fontId="3" fillId="7" borderId="1" xfId="0" applyNumberFormat="1" applyFont="1" applyFill="1" applyBorder="1" applyAlignment="1">
      <alignment vertical="top" wrapText="1"/>
    </xf>
    <xf numFmtId="165" fontId="3" fillId="7" borderId="1" xfId="0" applyNumberFormat="1" applyFont="1" applyFill="1" applyBorder="1" applyAlignment="1">
      <alignment vertical="top" wrapText="1"/>
    </xf>
    <xf numFmtId="1" fontId="3" fillId="8" borderId="1" xfId="0" applyNumberFormat="1" applyFont="1" applyFill="1" applyBorder="1" applyAlignment="1">
      <alignment vertical="top" wrapText="1"/>
    </xf>
    <xf numFmtId="0" fontId="3" fillId="8" borderId="1" xfId="0" applyFont="1" applyFill="1" applyBorder="1" applyAlignment="1">
      <alignment vertical="top" wrapText="1"/>
    </xf>
    <xf numFmtId="164" fontId="3" fillId="8" borderId="1" xfId="0" applyNumberFormat="1" applyFont="1" applyFill="1" applyBorder="1" applyAlignment="1">
      <alignment vertical="top" wrapText="1"/>
    </xf>
    <xf numFmtId="165" fontId="3" fillId="8" borderId="1" xfId="0" applyNumberFormat="1" applyFont="1" applyFill="1" applyBorder="1" applyAlignment="1">
      <alignment vertical="top" wrapText="1"/>
    </xf>
    <xf numFmtId="0" fontId="2" fillId="6" borderId="0" xfId="0" applyFont="1" applyFill="1" applyAlignment="1">
      <alignment vertical="center"/>
    </xf>
    <xf numFmtId="0" fontId="0" fillId="0" borderId="0" xfId="0"/>
    <xf numFmtId="0" fontId="2" fillId="3" borderId="0" xfId="0" applyFont="1" applyFill="1" applyAlignment="1">
      <alignment vertical="center"/>
    </xf>
    <xf numFmtId="0" fontId="2" fillId="2" borderId="0" xfId="0" applyFont="1" applyFill="1" applyAlignment="1">
      <alignment vertical="center"/>
    </xf>
    <xf numFmtId="0" fontId="2" fillId="4" borderId="0" xfId="0" applyFont="1" applyFill="1" applyAlignment="1">
      <alignment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
  <sheetViews>
    <sheetView tabSelected="1" workbookViewId="0">
      <pane xSplit="3" ySplit="2" topLeftCell="D26" activePane="bottomRight" state="frozen"/>
      <selection pane="topRight"/>
      <selection pane="bottomLeft"/>
      <selection pane="bottomRight" activeCell="AA36" sqref="AA36"/>
    </sheetView>
  </sheetViews>
  <sheetFormatPr baseColWidth="10" defaultColWidth="8.83203125" defaultRowHeight="15" x14ac:dyDescent="0.2"/>
  <cols>
    <col min="1" max="1" width="10" customWidth="1"/>
    <col min="2" max="2" width="12" customWidth="1"/>
    <col min="3" max="3" width="15" customWidth="1"/>
    <col min="4" max="4" width="14" customWidth="1"/>
    <col min="5" max="5" width="16" customWidth="1"/>
    <col min="6" max="6" width="18" customWidth="1"/>
    <col min="7" max="13" width="12" customWidth="1"/>
    <col min="14" max="14" width="13" customWidth="1"/>
    <col min="15" max="15" width="18" customWidth="1"/>
    <col min="16" max="16" width="14" customWidth="1"/>
    <col min="17" max="17" width="18" customWidth="1"/>
    <col min="18" max="25" width="55" customWidth="1"/>
    <col min="26" max="26" width="65" customWidth="1"/>
    <col min="27" max="27" width="22" customWidth="1"/>
    <col min="28" max="28" width="65" customWidth="1"/>
  </cols>
  <sheetData>
    <row r="1" spans="1:28" ht="24" customHeight="1" x14ac:dyDescent="0.2">
      <c r="A1" s="18" t="s">
        <v>0</v>
      </c>
      <c r="B1" s="16"/>
      <c r="C1" s="16"/>
      <c r="D1" s="16"/>
      <c r="E1" s="16"/>
      <c r="F1" s="16"/>
      <c r="G1" s="17" t="s">
        <v>1</v>
      </c>
      <c r="H1" s="16"/>
      <c r="I1" s="16"/>
      <c r="J1" s="16"/>
      <c r="K1" s="16"/>
      <c r="L1" s="16"/>
      <c r="M1" s="16"/>
      <c r="N1" s="19" t="s">
        <v>2</v>
      </c>
      <c r="O1" s="16"/>
      <c r="P1" s="16"/>
      <c r="Q1" s="16"/>
      <c r="R1" s="1" t="s">
        <v>3</v>
      </c>
      <c r="S1" s="15" t="s">
        <v>4</v>
      </c>
      <c r="T1" s="16"/>
      <c r="U1" s="16"/>
      <c r="V1" s="16"/>
      <c r="W1" s="16"/>
      <c r="X1" s="16"/>
      <c r="Y1" s="16"/>
      <c r="Z1" s="16"/>
      <c r="AA1" s="16"/>
      <c r="AB1" s="16"/>
    </row>
    <row r="2" spans="1:28" ht="46" customHeight="1" x14ac:dyDescent="0.2">
      <c r="A2" s="2" t="s">
        <v>5</v>
      </c>
      <c r="B2" s="2" t="s">
        <v>6</v>
      </c>
      <c r="C2" s="2" t="s">
        <v>7</v>
      </c>
      <c r="D2" s="2" t="s">
        <v>8</v>
      </c>
      <c r="E2" s="2" t="s">
        <v>9</v>
      </c>
      <c r="F2" s="2" t="s">
        <v>10</v>
      </c>
      <c r="G2" s="3" t="s">
        <v>11</v>
      </c>
      <c r="H2" s="3" t="s">
        <v>12</v>
      </c>
      <c r="I2" s="3" t="s">
        <v>13</v>
      </c>
      <c r="J2" s="3" t="s">
        <v>14</v>
      </c>
      <c r="K2" s="3" t="s">
        <v>15</v>
      </c>
      <c r="L2" s="3" t="s">
        <v>16</v>
      </c>
      <c r="M2" s="3" t="s">
        <v>17</v>
      </c>
      <c r="N2" s="4" t="s">
        <v>18</v>
      </c>
      <c r="O2" s="4" t="s">
        <v>19</v>
      </c>
      <c r="P2" s="4" t="s">
        <v>20</v>
      </c>
      <c r="Q2" s="4" t="s">
        <v>21</v>
      </c>
      <c r="R2" s="5" t="s">
        <v>22</v>
      </c>
      <c r="S2" s="6" t="s">
        <v>23</v>
      </c>
      <c r="T2" s="6" t="s">
        <v>24</v>
      </c>
      <c r="U2" s="6" t="s">
        <v>25</v>
      </c>
      <c r="V2" s="6" t="s">
        <v>26</v>
      </c>
      <c r="W2" s="6" t="s">
        <v>27</v>
      </c>
      <c r="X2" s="6" t="s">
        <v>28</v>
      </c>
      <c r="Y2" s="6" t="s">
        <v>29</v>
      </c>
      <c r="Z2" s="6" t="s">
        <v>30</v>
      </c>
      <c r="AA2" s="6" t="s">
        <v>31</v>
      </c>
      <c r="AB2" s="6" t="s">
        <v>32</v>
      </c>
    </row>
    <row r="3" spans="1:28" ht="105" customHeight="1" x14ac:dyDescent="0.2">
      <c r="A3" s="7">
        <v>32</v>
      </c>
      <c r="B3" s="8" t="s">
        <v>33</v>
      </c>
      <c r="C3" s="8" t="s">
        <v>34</v>
      </c>
      <c r="D3" s="9">
        <v>45223</v>
      </c>
      <c r="E3" s="9">
        <v>45204</v>
      </c>
      <c r="F3" s="7">
        <f t="shared" ref="F3:F36" si="0">IF(E3="","",E3-D3)</f>
        <v>-19</v>
      </c>
      <c r="G3" s="10"/>
      <c r="H3" s="10"/>
      <c r="I3" s="10">
        <v>10</v>
      </c>
      <c r="J3" s="10">
        <v>3</v>
      </c>
      <c r="K3" s="10"/>
      <c r="L3" s="10"/>
      <c r="M3" s="10"/>
      <c r="N3" s="10">
        <v>5.2</v>
      </c>
      <c r="O3" s="8" t="s">
        <v>35</v>
      </c>
      <c r="P3" s="8" t="s">
        <v>36</v>
      </c>
      <c r="Q3" s="10"/>
      <c r="R3" s="8" t="s">
        <v>37</v>
      </c>
      <c r="S3" s="8" t="s">
        <v>38</v>
      </c>
      <c r="T3" s="8" t="s">
        <v>39</v>
      </c>
      <c r="U3" s="8"/>
      <c r="V3" s="8"/>
      <c r="W3" s="8"/>
      <c r="X3" s="8" t="s">
        <v>40</v>
      </c>
      <c r="Y3" s="8"/>
      <c r="Z3" s="8" t="s">
        <v>41</v>
      </c>
      <c r="AA3" s="8"/>
      <c r="AB3" s="8" t="s">
        <v>42</v>
      </c>
    </row>
    <row r="4" spans="1:28" ht="105" customHeight="1" x14ac:dyDescent="0.2">
      <c r="A4" s="11">
        <v>32</v>
      </c>
      <c r="B4" s="12" t="s">
        <v>33</v>
      </c>
      <c r="C4" s="12" t="s">
        <v>43</v>
      </c>
      <c r="D4" s="13">
        <v>45964</v>
      </c>
      <c r="E4" s="13">
        <v>45742</v>
      </c>
      <c r="F4" s="11">
        <f t="shared" si="0"/>
        <v>-222</v>
      </c>
      <c r="G4" s="14"/>
      <c r="H4" s="14"/>
      <c r="I4" s="14"/>
      <c r="J4" s="14"/>
      <c r="K4" s="14"/>
      <c r="L4" s="14"/>
      <c r="M4" s="14"/>
      <c r="N4" s="14">
        <v>5.0999999999999996</v>
      </c>
      <c r="O4" s="12" t="s">
        <v>35</v>
      </c>
      <c r="P4" s="12" t="s">
        <v>36</v>
      </c>
      <c r="Q4" s="14">
        <v>12</v>
      </c>
      <c r="R4" s="12" t="s">
        <v>44</v>
      </c>
      <c r="S4" s="12" t="s">
        <v>45</v>
      </c>
      <c r="T4" s="12" t="s">
        <v>46</v>
      </c>
      <c r="U4" s="12" t="s">
        <v>47</v>
      </c>
      <c r="V4" s="12" t="s">
        <v>48</v>
      </c>
      <c r="W4" s="12"/>
      <c r="X4" s="12" t="s">
        <v>49</v>
      </c>
      <c r="Y4" s="12"/>
      <c r="Z4" s="12" t="s">
        <v>50</v>
      </c>
      <c r="AA4" s="12" t="s">
        <v>281</v>
      </c>
      <c r="AB4" s="12" t="s">
        <v>51</v>
      </c>
    </row>
    <row r="5" spans="1:28" ht="135" customHeight="1" x14ac:dyDescent="0.2">
      <c r="A5" s="7">
        <v>33</v>
      </c>
      <c r="B5" s="8" t="s">
        <v>33</v>
      </c>
      <c r="C5" s="8" t="s">
        <v>34</v>
      </c>
      <c r="D5" s="9">
        <v>45219</v>
      </c>
      <c r="E5" s="9">
        <v>45302</v>
      </c>
      <c r="F5" s="7">
        <f t="shared" si="0"/>
        <v>83</v>
      </c>
      <c r="G5" s="10"/>
      <c r="H5" s="10"/>
      <c r="I5" s="10">
        <v>12</v>
      </c>
      <c r="J5" s="10">
        <v>0</v>
      </c>
      <c r="K5" s="10">
        <v>2</v>
      </c>
      <c r="L5" s="10">
        <v>3.2</v>
      </c>
      <c r="M5" s="10"/>
      <c r="N5" s="10">
        <v>5.2</v>
      </c>
      <c r="O5" s="8" t="s">
        <v>35</v>
      </c>
      <c r="P5" s="8" t="s">
        <v>36</v>
      </c>
      <c r="Q5" s="10"/>
      <c r="R5" s="8" t="s">
        <v>52</v>
      </c>
      <c r="S5" s="8" t="s">
        <v>53</v>
      </c>
      <c r="T5" s="8" t="s">
        <v>54</v>
      </c>
      <c r="U5" s="8"/>
      <c r="V5" s="8" t="s">
        <v>55</v>
      </c>
      <c r="W5" s="8"/>
      <c r="X5" s="8" t="s">
        <v>56</v>
      </c>
      <c r="Y5" s="8"/>
      <c r="Z5" s="8" t="s">
        <v>57</v>
      </c>
      <c r="AA5" s="8"/>
      <c r="AB5" s="8" t="s">
        <v>58</v>
      </c>
    </row>
    <row r="6" spans="1:28" ht="150" customHeight="1" x14ac:dyDescent="0.2">
      <c r="A6" s="11">
        <v>33</v>
      </c>
      <c r="B6" s="12" t="s">
        <v>33</v>
      </c>
      <c r="C6" s="12" t="s">
        <v>43</v>
      </c>
      <c r="D6" s="13">
        <v>45737</v>
      </c>
      <c r="E6" s="13">
        <v>45737</v>
      </c>
      <c r="F6" s="11">
        <f t="shared" si="0"/>
        <v>0</v>
      </c>
      <c r="G6" s="14"/>
      <c r="H6" s="14"/>
      <c r="I6" s="14">
        <v>12</v>
      </c>
      <c r="J6" s="14">
        <v>0</v>
      </c>
      <c r="K6" s="14"/>
      <c r="L6" s="14">
        <v>0</v>
      </c>
      <c r="M6" s="14"/>
      <c r="N6" s="14">
        <v>5.0999999999999996</v>
      </c>
      <c r="O6" s="12" t="s">
        <v>35</v>
      </c>
      <c r="P6" s="12" t="s">
        <v>36</v>
      </c>
      <c r="Q6" s="14"/>
      <c r="R6" s="12" t="s">
        <v>59</v>
      </c>
      <c r="S6" s="12" t="s">
        <v>60</v>
      </c>
      <c r="T6" s="12" t="s">
        <v>61</v>
      </c>
      <c r="U6" s="12"/>
      <c r="V6" s="12" t="s">
        <v>62</v>
      </c>
      <c r="W6" s="12"/>
      <c r="X6" s="12" t="s">
        <v>63</v>
      </c>
      <c r="Y6" s="12"/>
      <c r="Z6" s="12" t="s">
        <v>64</v>
      </c>
      <c r="AA6" s="12" t="s">
        <v>65</v>
      </c>
      <c r="AB6" s="12" t="s">
        <v>66</v>
      </c>
    </row>
    <row r="7" spans="1:28" ht="135" customHeight="1" x14ac:dyDescent="0.2">
      <c r="A7" s="7">
        <v>34</v>
      </c>
      <c r="B7" s="8" t="s">
        <v>33</v>
      </c>
      <c r="C7" s="8" t="s">
        <v>34</v>
      </c>
      <c r="D7" s="9">
        <v>45128</v>
      </c>
      <c r="E7" s="9">
        <v>45117</v>
      </c>
      <c r="F7" s="7">
        <f t="shared" si="0"/>
        <v>-11</v>
      </c>
      <c r="G7" s="10"/>
      <c r="H7" s="10"/>
      <c r="I7" s="10"/>
      <c r="J7" s="10"/>
      <c r="K7" s="10"/>
      <c r="L7" s="10"/>
      <c r="M7" s="10"/>
      <c r="N7" s="10">
        <v>5.2</v>
      </c>
      <c r="O7" s="8" t="s">
        <v>35</v>
      </c>
      <c r="P7" s="8" t="s">
        <v>36</v>
      </c>
      <c r="Q7" s="10">
        <v>6</v>
      </c>
      <c r="R7" s="8" t="s">
        <v>67</v>
      </c>
      <c r="S7" s="8" t="s">
        <v>68</v>
      </c>
      <c r="T7" s="8" t="s">
        <v>69</v>
      </c>
      <c r="U7" s="8"/>
      <c r="V7" s="8"/>
      <c r="W7" s="8"/>
      <c r="X7" s="8" t="s">
        <v>70</v>
      </c>
      <c r="Y7" s="8"/>
      <c r="Z7" s="8" t="s">
        <v>71</v>
      </c>
      <c r="AA7" s="8"/>
      <c r="AB7" s="8" t="s">
        <v>72</v>
      </c>
    </row>
    <row r="8" spans="1:28" ht="285" customHeight="1" x14ac:dyDescent="0.2">
      <c r="A8" s="11">
        <v>34</v>
      </c>
      <c r="B8" s="12" t="s">
        <v>33</v>
      </c>
      <c r="C8" s="12" t="s">
        <v>43</v>
      </c>
      <c r="D8" s="13">
        <v>45923</v>
      </c>
      <c r="E8" s="13">
        <v>45911</v>
      </c>
      <c r="F8" s="11">
        <f t="shared" si="0"/>
        <v>-12</v>
      </c>
      <c r="G8" s="14">
        <v>16</v>
      </c>
      <c r="H8" s="14"/>
      <c r="I8" s="14">
        <v>6</v>
      </c>
      <c r="J8" s="14">
        <v>1</v>
      </c>
      <c r="K8" s="14"/>
      <c r="L8" s="14">
        <v>0</v>
      </c>
      <c r="M8" s="14"/>
      <c r="N8" s="14">
        <v>8</v>
      </c>
      <c r="O8" s="12" t="s">
        <v>73</v>
      </c>
      <c r="P8" s="12" t="s">
        <v>36</v>
      </c>
      <c r="Q8" s="14"/>
      <c r="R8" s="12" t="s">
        <v>74</v>
      </c>
      <c r="S8" s="12" t="s">
        <v>75</v>
      </c>
      <c r="T8" s="12" t="s">
        <v>76</v>
      </c>
      <c r="U8" s="12"/>
      <c r="V8" s="12"/>
      <c r="W8" s="12"/>
      <c r="X8" s="12" t="s">
        <v>77</v>
      </c>
      <c r="Y8" s="12"/>
      <c r="Z8" s="12" t="s">
        <v>78</v>
      </c>
      <c r="AA8" s="12" t="s">
        <v>79</v>
      </c>
      <c r="AB8" s="12" t="s">
        <v>80</v>
      </c>
    </row>
    <row r="9" spans="1:28" ht="105" customHeight="1" x14ac:dyDescent="0.2">
      <c r="A9" s="7">
        <v>35</v>
      </c>
      <c r="B9" s="8" t="s">
        <v>33</v>
      </c>
      <c r="C9" s="8" t="s">
        <v>34</v>
      </c>
      <c r="D9" s="9">
        <v>44953</v>
      </c>
      <c r="E9" s="9">
        <v>44945</v>
      </c>
      <c r="F9" s="7">
        <f t="shared" si="0"/>
        <v>-8</v>
      </c>
      <c r="G9" s="10"/>
      <c r="H9" s="10"/>
      <c r="I9" s="10"/>
      <c r="J9" s="10"/>
      <c r="K9" s="10">
        <v>3</v>
      </c>
      <c r="L9" s="10">
        <v>0</v>
      </c>
      <c r="M9" s="10"/>
      <c r="N9" s="10">
        <v>8.6999999999999993</v>
      </c>
      <c r="O9" s="8" t="s">
        <v>73</v>
      </c>
      <c r="P9" s="8" t="s">
        <v>36</v>
      </c>
      <c r="Q9" s="10"/>
      <c r="R9" s="8" t="s">
        <v>81</v>
      </c>
      <c r="S9" s="8" t="s">
        <v>82</v>
      </c>
      <c r="T9" s="8" t="s">
        <v>83</v>
      </c>
      <c r="U9" s="8"/>
      <c r="V9" s="8" t="s">
        <v>84</v>
      </c>
      <c r="W9" s="8"/>
      <c r="X9" s="8" t="s">
        <v>85</v>
      </c>
      <c r="Y9" s="8"/>
      <c r="Z9" s="8" t="s">
        <v>86</v>
      </c>
      <c r="AA9" s="8"/>
      <c r="AB9" s="8" t="s">
        <v>87</v>
      </c>
    </row>
    <row r="10" spans="1:28" ht="180" customHeight="1" x14ac:dyDescent="0.2">
      <c r="A10" s="11">
        <v>35</v>
      </c>
      <c r="B10" s="12" t="s">
        <v>33</v>
      </c>
      <c r="C10" s="12" t="s">
        <v>43</v>
      </c>
      <c r="D10" s="13">
        <v>45247</v>
      </c>
      <c r="E10" s="13">
        <v>45334</v>
      </c>
      <c r="F10" s="11">
        <f t="shared" si="0"/>
        <v>87</v>
      </c>
      <c r="G10" s="14"/>
      <c r="H10" s="14"/>
      <c r="I10" s="14"/>
      <c r="J10" s="14"/>
      <c r="K10" s="14"/>
      <c r="L10" s="14">
        <v>0.3</v>
      </c>
      <c r="M10" s="14"/>
      <c r="N10" s="14">
        <v>5.4</v>
      </c>
      <c r="O10" s="12" t="s">
        <v>35</v>
      </c>
      <c r="P10" s="12" t="s">
        <v>36</v>
      </c>
      <c r="Q10" s="14"/>
      <c r="R10" s="12" t="s">
        <v>81</v>
      </c>
      <c r="S10" s="12" t="s">
        <v>88</v>
      </c>
      <c r="T10" s="12" t="s">
        <v>89</v>
      </c>
      <c r="U10" s="12" t="s">
        <v>90</v>
      </c>
      <c r="V10" s="12" t="s">
        <v>91</v>
      </c>
      <c r="W10" s="12" t="s">
        <v>92</v>
      </c>
      <c r="X10" s="12" t="s">
        <v>93</v>
      </c>
      <c r="Y10" s="12"/>
      <c r="Z10" s="12" t="s">
        <v>94</v>
      </c>
      <c r="AA10" s="12" t="s">
        <v>282</v>
      </c>
      <c r="AB10" s="12" t="s">
        <v>95</v>
      </c>
    </row>
    <row r="11" spans="1:28" ht="120" customHeight="1" x14ac:dyDescent="0.2">
      <c r="A11" s="7">
        <v>36</v>
      </c>
      <c r="B11" s="8" t="s">
        <v>33</v>
      </c>
      <c r="C11" s="8" t="s">
        <v>34</v>
      </c>
      <c r="D11" s="9">
        <v>44179</v>
      </c>
      <c r="E11" s="9">
        <v>44166</v>
      </c>
      <c r="F11" s="7">
        <f t="shared" si="0"/>
        <v>-13</v>
      </c>
      <c r="G11" s="10"/>
      <c r="H11" s="10"/>
      <c r="I11" s="10">
        <v>1</v>
      </c>
      <c r="J11" s="10">
        <v>1</v>
      </c>
      <c r="K11" s="10"/>
      <c r="L11" s="10"/>
      <c r="M11" s="10">
        <v>0.25</v>
      </c>
      <c r="N11" s="10">
        <v>5.0999999999999996</v>
      </c>
      <c r="O11" s="8" t="s">
        <v>35</v>
      </c>
      <c r="P11" s="8" t="s">
        <v>36</v>
      </c>
      <c r="Q11" s="10">
        <v>6</v>
      </c>
      <c r="R11" s="8" t="s">
        <v>96</v>
      </c>
      <c r="S11" s="8" t="s">
        <v>97</v>
      </c>
      <c r="T11" s="8" t="s">
        <v>98</v>
      </c>
      <c r="U11" s="8"/>
      <c r="V11" s="8" t="s">
        <v>99</v>
      </c>
      <c r="W11" s="8"/>
      <c r="X11" s="8" t="s">
        <v>100</v>
      </c>
      <c r="Y11" s="8"/>
      <c r="Z11" s="8" t="s">
        <v>101</v>
      </c>
      <c r="AA11" s="8"/>
      <c r="AB11" s="8" t="s">
        <v>102</v>
      </c>
    </row>
    <row r="12" spans="1:28" ht="225" customHeight="1" x14ac:dyDescent="0.2">
      <c r="A12" s="11">
        <v>36</v>
      </c>
      <c r="B12" s="12" t="s">
        <v>33</v>
      </c>
      <c r="C12" s="12" t="s">
        <v>43</v>
      </c>
      <c r="D12" s="13">
        <v>44347</v>
      </c>
      <c r="E12" s="13">
        <v>44347</v>
      </c>
      <c r="F12" s="11">
        <f t="shared" si="0"/>
        <v>0</v>
      </c>
      <c r="G12" s="14"/>
      <c r="H12" s="14"/>
      <c r="I12" s="14"/>
      <c r="J12" s="14"/>
      <c r="K12" s="14"/>
      <c r="L12" s="14"/>
      <c r="M12" s="14"/>
      <c r="N12" s="14">
        <v>1.3</v>
      </c>
      <c r="O12" s="12" t="s">
        <v>73</v>
      </c>
      <c r="P12" s="12" t="s">
        <v>36</v>
      </c>
      <c r="Q12" s="14"/>
      <c r="R12" s="12" t="s">
        <v>103</v>
      </c>
      <c r="S12" s="12" t="s">
        <v>104</v>
      </c>
      <c r="T12" s="12" t="s">
        <v>105</v>
      </c>
      <c r="U12" s="12" t="s">
        <v>106</v>
      </c>
      <c r="V12" s="12" t="s">
        <v>107</v>
      </c>
      <c r="W12" s="12" t="s">
        <v>92</v>
      </c>
      <c r="X12" s="12" t="s">
        <v>108</v>
      </c>
      <c r="Y12" s="12"/>
      <c r="Z12" s="12" t="s">
        <v>109</v>
      </c>
      <c r="AA12" s="12" t="s">
        <v>65</v>
      </c>
      <c r="AB12" s="12" t="s">
        <v>110</v>
      </c>
    </row>
    <row r="13" spans="1:28" ht="45" customHeight="1" x14ac:dyDescent="0.2">
      <c r="A13" s="7">
        <v>37</v>
      </c>
      <c r="B13" s="8" t="s">
        <v>33</v>
      </c>
      <c r="C13" s="8" t="s">
        <v>34</v>
      </c>
      <c r="D13" s="9">
        <v>44137</v>
      </c>
      <c r="E13" s="9">
        <v>44137</v>
      </c>
      <c r="F13" s="7">
        <f t="shared" si="0"/>
        <v>0</v>
      </c>
      <c r="G13" s="10"/>
      <c r="H13" s="10"/>
      <c r="I13" s="10"/>
      <c r="J13" s="10"/>
      <c r="K13" s="10"/>
      <c r="L13" s="10"/>
      <c r="M13" s="10"/>
      <c r="N13" s="10">
        <v>9.1</v>
      </c>
      <c r="O13" s="8" t="s">
        <v>73</v>
      </c>
      <c r="P13" s="8" t="s">
        <v>36</v>
      </c>
      <c r="Q13" s="10"/>
      <c r="R13" s="8" t="s">
        <v>111</v>
      </c>
      <c r="S13" s="8" t="s">
        <v>112</v>
      </c>
      <c r="T13" s="8" t="s">
        <v>113</v>
      </c>
      <c r="U13" s="8"/>
      <c r="V13" s="8" t="s">
        <v>114</v>
      </c>
      <c r="W13" s="8" t="s">
        <v>115</v>
      </c>
      <c r="X13" s="8"/>
      <c r="Y13" s="8"/>
      <c r="Z13" s="8" t="s">
        <v>116</v>
      </c>
      <c r="AA13" s="8"/>
      <c r="AB13" s="8" t="s">
        <v>117</v>
      </c>
    </row>
    <row r="14" spans="1:28" ht="90" customHeight="1" x14ac:dyDescent="0.2">
      <c r="A14" s="11">
        <v>37</v>
      </c>
      <c r="B14" s="12" t="s">
        <v>33</v>
      </c>
      <c r="C14" s="12" t="s">
        <v>43</v>
      </c>
      <c r="D14" s="13">
        <v>44337</v>
      </c>
      <c r="E14" s="13">
        <v>44323</v>
      </c>
      <c r="F14" s="11">
        <f t="shared" si="0"/>
        <v>-14</v>
      </c>
      <c r="G14" s="14"/>
      <c r="H14" s="14"/>
      <c r="I14" s="14"/>
      <c r="J14" s="14"/>
      <c r="K14" s="14"/>
      <c r="L14" s="14"/>
      <c r="M14" s="14"/>
      <c r="N14" s="14">
        <v>1.5</v>
      </c>
      <c r="O14" s="12" t="s">
        <v>73</v>
      </c>
      <c r="P14" s="12" t="s">
        <v>36</v>
      </c>
      <c r="Q14" s="14"/>
      <c r="R14" s="12" t="s">
        <v>118</v>
      </c>
      <c r="S14" s="12" t="s">
        <v>119</v>
      </c>
      <c r="T14" s="12" t="s">
        <v>120</v>
      </c>
      <c r="U14" s="12" t="s">
        <v>121</v>
      </c>
      <c r="V14" s="12" t="s">
        <v>122</v>
      </c>
      <c r="W14" s="12" t="s">
        <v>123</v>
      </c>
      <c r="X14" s="12" t="s">
        <v>124</v>
      </c>
      <c r="Y14" s="12" t="s">
        <v>125</v>
      </c>
      <c r="Z14" s="12" t="s">
        <v>126</v>
      </c>
      <c r="AA14" s="12" t="s">
        <v>65</v>
      </c>
      <c r="AB14" s="12" t="s">
        <v>127</v>
      </c>
    </row>
    <row r="15" spans="1:28" ht="75" customHeight="1" x14ac:dyDescent="0.2">
      <c r="A15" s="7">
        <v>38</v>
      </c>
      <c r="B15" s="8" t="s">
        <v>33</v>
      </c>
      <c r="C15" s="8" t="s">
        <v>34</v>
      </c>
      <c r="D15" s="9">
        <v>44109</v>
      </c>
      <c r="E15" s="9">
        <v>44109</v>
      </c>
      <c r="F15" s="7">
        <f t="shared" si="0"/>
        <v>0</v>
      </c>
      <c r="G15" s="10"/>
      <c r="H15" s="10"/>
      <c r="I15" s="10"/>
      <c r="J15" s="10"/>
      <c r="K15" s="10"/>
      <c r="L15" s="10"/>
      <c r="M15" s="10"/>
      <c r="N15" s="10">
        <v>12.4</v>
      </c>
      <c r="O15" s="8" t="s">
        <v>73</v>
      </c>
      <c r="P15" s="8" t="s">
        <v>36</v>
      </c>
      <c r="Q15" s="10"/>
      <c r="R15" s="8" t="s">
        <v>128</v>
      </c>
      <c r="S15" s="8" t="s">
        <v>129</v>
      </c>
      <c r="T15" s="8" t="s">
        <v>130</v>
      </c>
      <c r="U15" s="8" t="s">
        <v>131</v>
      </c>
      <c r="V15" s="8" t="s">
        <v>132</v>
      </c>
      <c r="W15" s="8"/>
      <c r="X15" s="8" t="s">
        <v>133</v>
      </c>
      <c r="Y15" s="8"/>
      <c r="Z15" s="8" t="s">
        <v>134</v>
      </c>
      <c r="AA15" s="8"/>
      <c r="AB15" s="8" t="s">
        <v>135</v>
      </c>
    </row>
    <row r="16" spans="1:28" ht="60" customHeight="1" x14ac:dyDescent="0.2">
      <c r="A16" s="11">
        <v>38</v>
      </c>
      <c r="B16" s="12" t="s">
        <v>33</v>
      </c>
      <c r="C16" s="12" t="s">
        <v>43</v>
      </c>
      <c r="D16" s="13">
        <v>44298</v>
      </c>
      <c r="E16" s="13">
        <v>44298</v>
      </c>
      <c r="F16" s="11">
        <f t="shared" si="0"/>
        <v>0</v>
      </c>
      <c r="G16" s="14"/>
      <c r="H16" s="14"/>
      <c r="I16" s="14"/>
      <c r="J16" s="14"/>
      <c r="K16" s="14"/>
      <c r="L16" s="14"/>
      <c r="M16" s="14"/>
      <c r="N16" s="14">
        <v>5.5</v>
      </c>
      <c r="O16" s="12" t="s">
        <v>73</v>
      </c>
      <c r="P16" s="12" t="s">
        <v>36</v>
      </c>
      <c r="Q16" s="14"/>
      <c r="R16" s="12" t="s">
        <v>136</v>
      </c>
      <c r="S16" s="12" t="s">
        <v>137</v>
      </c>
      <c r="T16" s="12" t="s">
        <v>138</v>
      </c>
      <c r="U16" s="12"/>
      <c r="V16" s="12" t="s">
        <v>139</v>
      </c>
      <c r="W16" s="12"/>
      <c r="X16" s="12" t="s">
        <v>140</v>
      </c>
      <c r="Y16" s="12"/>
      <c r="Z16" s="12" t="s">
        <v>141</v>
      </c>
      <c r="AA16" s="12" t="s">
        <v>65</v>
      </c>
      <c r="AB16" s="12" t="s">
        <v>142</v>
      </c>
    </row>
    <row r="17" spans="1:28" ht="180" customHeight="1" x14ac:dyDescent="0.2">
      <c r="A17" s="7">
        <v>39</v>
      </c>
      <c r="B17" s="8" t="s">
        <v>33</v>
      </c>
      <c r="C17" s="8" t="s">
        <v>34</v>
      </c>
      <c r="D17" s="9">
        <v>43973</v>
      </c>
      <c r="E17" s="9">
        <v>43951</v>
      </c>
      <c r="F17" s="7">
        <f t="shared" si="0"/>
        <v>-22</v>
      </c>
      <c r="G17" s="10"/>
      <c r="H17" s="10"/>
      <c r="I17" s="10">
        <v>5</v>
      </c>
      <c r="J17" s="10">
        <v>0</v>
      </c>
      <c r="K17" s="10"/>
      <c r="L17" s="10">
        <v>0.6</v>
      </c>
      <c r="M17" s="10">
        <v>1.75</v>
      </c>
      <c r="N17" s="10">
        <v>5.2</v>
      </c>
      <c r="O17" s="8" t="s">
        <v>35</v>
      </c>
      <c r="P17" s="8" t="s">
        <v>36</v>
      </c>
      <c r="Q17" s="10">
        <v>4</v>
      </c>
      <c r="R17" s="8" t="s">
        <v>143</v>
      </c>
      <c r="S17" s="8" t="s">
        <v>144</v>
      </c>
      <c r="T17" s="8" t="s">
        <v>145</v>
      </c>
      <c r="U17" s="8" t="s">
        <v>146</v>
      </c>
      <c r="V17" s="8"/>
      <c r="W17" s="8"/>
      <c r="X17" s="8" t="s">
        <v>147</v>
      </c>
      <c r="Y17" s="8"/>
      <c r="Z17" s="8" t="s">
        <v>148</v>
      </c>
      <c r="AA17" s="8"/>
      <c r="AB17" s="8" t="s">
        <v>149</v>
      </c>
    </row>
    <row r="18" spans="1:28" ht="270" customHeight="1" x14ac:dyDescent="0.2">
      <c r="A18" s="11">
        <v>39</v>
      </c>
      <c r="B18" s="12" t="s">
        <v>33</v>
      </c>
      <c r="C18" s="12" t="s">
        <v>43</v>
      </c>
      <c r="D18" s="13">
        <v>44135</v>
      </c>
      <c r="E18" s="13">
        <v>44140</v>
      </c>
      <c r="F18" s="11">
        <f t="shared" si="0"/>
        <v>5</v>
      </c>
      <c r="G18" s="14"/>
      <c r="H18" s="14"/>
      <c r="I18" s="14">
        <v>3</v>
      </c>
      <c r="J18" s="14">
        <v>0</v>
      </c>
      <c r="K18" s="14"/>
      <c r="L18" s="14">
        <v>0.3</v>
      </c>
      <c r="M18" s="14">
        <v>1.88</v>
      </c>
      <c r="N18" s="14">
        <v>5.2</v>
      </c>
      <c r="O18" s="12" t="s">
        <v>35</v>
      </c>
      <c r="P18" s="12" t="s">
        <v>36</v>
      </c>
      <c r="Q18" s="14">
        <v>6</v>
      </c>
      <c r="R18" s="12" t="s">
        <v>150</v>
      </c>
      <c r="S18" s="12" t="s">
        <v>151</v>
      </c>
      <c r="T18" s="12" t="s">
        <v>152</v>
      </c>
      <c r="U18" s="12" t="s">
        <v>153</v>
      </c>
      <c r="V18" s="12"/>
      <c r="W18" s="12"/>
      <c r="X18" s="12" t="s">
        <v>154</v>
      </c>
      <c r="Y18" s="12"/>
      <c r="Z18" s="12" t="s">
        <v>155</v>
      </c>
      <c r="AA18" s="12" t="s">
        <v>65</v>
      </c>
      <c r="AB18" s="12" t="s">
        <v>156</v>
      </c>
    </row>
    <row r="19" spans="1:28" ht="120" customHeight="1" x14ac:dyDescent="0.2">
      <c r="A19" s="7">
        <v>40</v>
      </c>
      <c r="B19" s="8" t="s">
        <v>33</v>
      </c>
      <c r="C19" s="8" t="s">
        <v>34</v>
      </c>
      <c r="D19" s="9">
        <v>43962</v>
      </c>
      <c r="E19" s="9">
        <v>43971</v>
      </c>
      <c r="F19" s="7">
        <f t="shared" si="0"/>
        <v>9</v>
      </c>
      <c r="G19" s="10">
        <v>17</v>
      </c>
      <c r="H19" s="10"/>
      <c r="I19" s="10"/>
      <c r="J19" s="10"/>
      <c r="K19" s="10"/>
      <c r="L19" s="10"/>
      <c r="M19" s="10">
        <v>0.75</v>
      </c>
      <c r="N19" s="10">
        <v>5.2</v>
      </c>
      <c r="O19" s="8" t="s">
        <v>35</v>
      </c>
      <c r="P19" s="8" t="s">
        <v>36</v>
      </c>
      <c r="Q19" s="10">
        <v>5</v>
      </c>
      <c r="R19" s="8" t="s">
        <v>157</v>
      </c>
      <c r="S19" s="8" t="s">
        <v>158</v>
      </c>
      <c r="T19" s="8" t="s">
        <v>159</v>
      </c>
      <c r="U19" s="8" t="s">
        <v>160</v>
      </c>
      <c r="V19" s="8" t="s">
        <v>161</v>
      </c>
      <c r="W19" s="8"/>
      <c r="X19" s="8" t="s">
        <v>162</v>
      </c>
      <c r="Y19" s="8"/>
      <c r="Z19" s="8" t="s">
        <v>163</v>
      </c>
      <c r="AA19" s="8"/>
      <c r="AB19" s="8" t="s">
        <v>164</v>
      </c>
    </row>
    <row r="20" spans="1:28" ht="409" customHeight="1" x14ac:dyDescent="0.2">
      <c r="A20" s="11">
        <v>40</v>
      </c>
      <c r="B20" s="12" t="s">
        <v>33</v>
      </c>
      <c r="C20" s="12" t="s">
        <v>43</v>
      </c>
      <c r="D20" s="13">
        <v>44232</v>
      </c>
      <c r="E20" s="13">
        <v>44266</v>
      </c>
      <c r="F20" s="11">
        <f t="shared" si="0"/>
        <v>34</v>
      </c>
      <c r="G20" s="14">
        <v>31</v>
      </c>
      <c r="H20" s="14"/>
      <c r="I20" s="14">
        <v>20</v>
      </c>
      <c r="J20" s="14">
        <v>0</v>
      </c>
      <c r="K20" s="14">
        <v>2</v>
      </c>
      <c r="L20" s="14"/>
      <c r="M20" s="14">
        <v>0.63</v>
      </c>
      <c r="N20" s="14">
        <v>5.0999999999999996</v>
      </c>
      <c r="O20" s="12" t="s">
        <v>35</v>
      </c>
      <c r="P20" s="12" t="s">
        <v>36</v>
      </c>
      <c r="Q20" s="14">
        <v>2</v>
      </c>
      <c r="R20" s="12" t="s">
        <v>165</v>
      </c>
      <c r="S20" s="12" t="s">
        <v>166</v>
      </c>
      <c r="T20" s="12" t="s">
        <v>167</v>
      </c>
      <c r="U20" s="12"/>
      <c r="V20" s="12" t="s">
        <v>168</v>
      </c>
      <c r="W20" s="12"/>
      <c r="X20" s="12" t="s">
        <v>169</v>
      </c>
      <c r="Y20" s="12"/>
      <c r="Z20" s="12" t="s">
        <v>170</v>
      </c>
      <c r="AA20" s="12" t="s">
        <v>79</v>
      </c>
      <c r="AB20" s="12" t="s">
        <v>171</v>
      </c>
    </row>
    <row r="21" spans="1:28" ht="285" customHeight="1" x14ac:dyDescent="0.2">
      <c r="A21" s="7">
        <v>41</v>
      </c>
      <c r="B21" s="8" t="s">
        <v>33</v>
      </c>
      <c r="C21" s="8" t="s">
        <v>34</v>
      </c>
      <c r="D21" s="9">
        <v>43941</v>
      </c>
      <c r="E21" s="9">
        <v>43941</v>
      </c>
      <c r="F21" s="7">
        <f t="shared" si="0"/>
        <v>0</v>
      </c>
      <c r="G21" s="10"/>
      <c r="H21" s="10"/>
      <c r="I21" s="10">
        <v>8</v>
      </c>
      <c r="J21" s="10">
        <v>8</v>
      </c>
      <c r="K21" s="10"/>
      <c r="L21" s="10">
        <v>12.2</v>
      </c>
      <c r="M21" s="10"/>
      <c r="N21" s="10">
        <v>40.9</v>
      </c>
      <c r="O21" s="8" t="s">
        <v>73</v>
      </c>
      <c r="P21" s="8" t="s">
        <v>36</v>
      </c>
      <c r="Q21" s="10">
        <v>34</v>
      </c>
      <c r="R21" s="8" t="s">
        <v>172</v>
      </c>
      <c r="S21" s="8" t="s">
        <v>173</v>
      </c>
      <c r="T21" s="8" t="s">
        <v>174</v>
      </c>
      <c r="U21" s="8"/>
      <c r="V21" s="8" t="s">
        <v>175</v>
      </c>
      <c r="W21" s="8" t="s">
        <v>176</v>
      </c>
      <c r="X21" s="8" t="s">
        <v>177</v>
      </c>
      <c r="Y21" s="8" t="s">
        <v>178</v>
      </c>
      <c r="Z21" s="8" t="s">
        <v>179</v>
      </c>
      <c r="AA21" s="8"/>
      <c r="AB21" s="8" t="s">
        <v>180</v>
      </c>
    </row>
    <row r="22" spans="1:28" ht="120" customHeight="1" x14ac:dyDescent="0.2">
      <c r="A22" s="11">
        <v>41</v>
      </c>
      <c r="B22" s="12" t="s">
        <v>33</v>
      </c>
      <c r="C22" s="12" t="s">
        <v>43</v>
      </c>
      <c r="D22" s="13">
        <v>44135</v>
      </c>
      <c r="E22" s="13">
        <v>44159</v>
      </c>
      <c r="F22" s="11">
        <f t="shared" si="0"/>
        <v>24</v>
      </c>
      <c r="G22" s="14"/>
      <c r="H22" s="14"/>
      <c r="I22" s="14"/>
      <c r="J22" s="14">
        <v>2</v>
      </c>
      <c r="K22" s="14"/>
      <c r="L22" s="14"/>
      <c r="M22" s="14"/>
      <c r="N22" s="14">
        <v>8.3000000000000007</v>
      </c>
      <c r="O22" s="12" t="s">
        <v>73</v>
      </c>
      <c r="P22" s="12" t="s">
        <v>36</v>
      </c>
      <c r="Q22" s="14"/>
      <c r="R22" s="12" t="s">
        <v>181</v>
      </c>
      <c r="S22" s="12" t="s">
        <v>182</v>
      </c>
      <c r="T22" s="12" t="s">
        <v>183</v>
      </c>
      <c r="U22" s="12"/>
      <c r="V22" s="12"/>
      <c r="W22" s="12"/>
      <c r="X22" s="12" t="s">
        <v>184</v>
      </c>
      <c r="Y22" s="12"/>
      <c r="Z22" s="12" t="s">
        <v>185</v>
      </c>
      <c r="AA22" s="12" t="s">
        <v>79</v>
      </c>
      <c r="AB22" s="12" t="s">
        <v>186</v>
      </c>
    </row>
    <row r="23" spans="1:28" ht="150" customHeight="1" x14ac:dyDescent="0.2">
      <c r="A23" s="7">
        <v>42</v>
      </c>
      <c r="B23" s="8" t="s">
        <v>33</v>
      </c>
      <c r="C23" s="8" t="s">
        <v>34</v>
      </c>
      <c r="D23" s="9">
        <v>43906</v>
      </c>
      <c r="E23" s="9">
        <v>43915</v>
      </c>
      <c r="F23" s="7">
        <f t="shared" si="0"/>
        <v>9</v>
      </c>
      <c r="G23" s="10">
        <v>24</v>
      </c>
      <c r="H23" s="10"/>
      <c r="I23" s="10"/>
      <c r="J23" s="10"/>
      <c r="K23" s="10"/>
      <c r="L23" s="10">
        <v>1.2</v>
      </c>
      <c r="M23" s="10">
        <v>0.375</v>
      </c>
      <c r="N23" s="10">
        <v>5.2</v>
      </c>
      <c r="O23" s="8" t="s">
        <v>35</v>
      </c>
      <c r="P23" s="8" t="s">
        <v>36</v>
      </c>
      <c r="Q23" s="10">
        <v>1</v>
      </c>
      <c r="R23" s="8" t="s">
        <v>187</v>
      </c>
      <c r="S23" s="8" t="s">
        <v>188</v>
      </c>
      <c r="T23" s="8" t="s">
        <v>189</v>
      </c>
      <c r="U23" s="8"/>
      <c r="V23" s="8" t="s">
        <v>190</v>
      </c>
      <c r="W23" s="8" t="s">
        <v>190</v>
      </c>
      <c r="X23" s="8" t="s">
        <v>191</v>
      </c>
      <c r="Y23" s="8" t="s">
        <v>192</v>
      </c>
      <c r="Z23" s="8" t="s">
        <v>193</v>
      </c>
      <c r="AA23" s="8"/>
      <c r="AB23" s="8" t="s">
        <v>194</v>
      </c>
    </row>
    <row r="24" spans="1:28" ht="120" customHeight="1" x14ac:dyDescent="0.2">
      <c r="A24" s="11">
        <v>42</v>
      </c>
      <c r="B24" s="12" t="s">
        <v>33</v>
      </c>
      <c r="C24" s="12" t="s">
        <v>43</v>
      </c>
      <c r="D24" s="13">
        <v>44095</v>
      </c>
      <c r="E24" s="13">
        <v>44109</v>
      </c>
      <c r="F24" s="11">
        <f t="shared" si="0"/>
        <v>14</v>
      </c>
      <c r="G24" s="14"/>
      <c r="H24" s="14"/>
      <c r="I24" s="14"/>
      <c r="J24" s="14"/>
      <c r="K24" s="14"/>
      <c r="L24" s="14"/>
      <c r="M24" s="14"/>
      <c r="N24" s="14">
        <v>5.2</v>
      </c>
      <c r="O24" s="12" t="s">
        <v>35</v>
      </c>
      <c r="P24" s="12" t="s">
        <v>36</v>
      </c>
      <c r="Q24" s="14"/>
      <c r="R24" s="12" t="s">
        <v>195</v>
      </c>
      <c r="S24" s="12" t="s">
        <v>196</v>
      </c>
      <c r="T24" s="12" t="s">
        <v>197</v>
      </c>
      <c r="U24" s="12" t="s">
        <v>198</v>
      </c>
      <c r="V24" s="12"/>
      <c r="W24" s="12"/>
      <c r="X24" s="12" t="s">
        <v>199</v>
      </c>
      <c r="Y24" s="12"/>
      <c r="Z24" s="12" t="s">
        <v>200</v>
      </c>
      <c r="AA24" s="12" t="s">
        <v>282</v>
      </c>
      <c r="AB24" s="12" t="s">
        <v>201</v>
      </c>
    </row>
    <row r="25" spans="1:28" ht="90" customHeight="1" x14ac:dyDescent="0.2">
      <c r="A25" s="7">
        <v>43</v>
      </c>
      <c r="B25" s="8" t="s">
        <v>33</v>
      </c>
      <c r="C25" s="8" t="s">
        <v>34</v>
      </c>
      <c r="D25" s="9">
        <v>43794</v>
      </c>
      <c r="E25" s="9">
        <v>43780</v>
      </c>
      <c r="F25" s="7">
        <f t="shared" si="0"/>
        <v>-14</v>
      </c>
      <c r="G25" s="10"/>
      <c r="H25" s="10"/>
      <c r="I25" s="10"/>
      <c r="J25" s="10"/>
      <c r="K25" s="10"/>
      <c r="L25" s="10"/>
      <c r="M25" s="10"/>
      <c r="N25" s="10">
        <v>5.2</v>
      </c>
      <c r="O25" s="8" t="s">
        <v>35</v>
      </c>
      <c r="P25" s="8" t="s">
        <v>36</v>
      </c>
      <c r="Q25" s="10"/>
      <c r="R25" s="8" t="s">
        <v>202</v>
      </c>
      <c r="S25" s="8" t="s">
        <v>203</v>
      </c>
      <c r="T25" s="8" t="s">
        <v>204</v>
      </c>
      <c r="U25" s="8" t="s">
        <v>205</v>
      </c>
      <c r="V25" s="8" t="s">
        <v>206</v>
      </c>
      <c r="W25" s="8"/>
      <c r="X25" s="8" t="s">
        <v>207</v>
      </c>
      <c r="Y25" s="8"/>
      <c r="Z25" s="8" t="s">
        <v>208</v>
      </c>
      <c r="AA25" s="8"/>
      <c r="AB25" s="8" t="s">
        <v>209</v>
      </c>
    </row>
    <row r="26" spans="1:28" ht="165" customHeight="1" x14ac:dyDescent="0.2">
      <c r="A26" s="11">
        <v>43</v>
      </c>
      <c r="B26" s="12" t="s">
        <v>33</v>
      </c>
      <c r="C26" s="12" t="s">
        <v>43</v>
      </c>
      <c r="D26" s="13">
        <v>44183</v>
      </c>
      <c r="E26" s="13">
        <v>44179</v>
      </c>
      <c r="F26" s="11">
        <f t="shared" si="0"/>
        <v>-4</v>
      </c>
      <c r="G26" s="14"/>
      <c r="H26" s="14"/>
      <c r="I26" s="14">
        <v>5</v>
      </c>
      <c r="J26" s="14">
        <v>3</v>
      </c>
      <c r="K26" s="14"/>
      <c r="L26" s="14"/>
      <c r="M26" s="14"/>
      <c r="N26" s="14"/>
      <c r="O26" s="12"/>
      <c r="P26" s="12"/>
      <c r="Q26" s="14"/>
      <c r="R26" s="12" t="s">
        <v>210</v>
      </c>
      <c r="S26" s="12" t="s">
        <v>211</v>
      </c>
      <c r="T26" s="12" t="s">
        <v>212</v>
      </c>
      <c r="U26" s="12"/>
      <c r="V26" s="12" t="s">
        <v>213</v>
      </c>
      <c r="W26" s="12"/>
      <c r="X26" s="12" t="s">
        <v>214</v>
      </c>
      <c r="Y26" s="12"/>
      <c r="Z26" s="12" t="s">
        <v>215</v>
      </c>
      <c r="AA26" s="12" t="s">
        <v>65</v>
      </c>
      <c r="AB26" s="12" t="s">
        <v>216</v>
      </c>
    </row>
    <row r="27" spans="1:28" ht="105" customHeight="1" x14ac:dyDescent="0.2">
      <c r="A27" s="7">
        <v>44</v>
      </c>
      <c r="B27" s="8" t="s">
        <v>33</v>
      </c>
      <c r="C27" s="8" t="s">
        <v>34</v>
      </c>
      <c r="D27" s="9">
        <v>43619</v>
      </c>
      <c r="E27" s="9">
        <v>43594</v>
      </c>
      <c r="F27" s="7">
        <f t="shared" si="0"/>
        <v>-25</v>
      </c>
      <c r="G27" s="10"/>
      <c r="H27" s="10"/>
      <c r="I27" s="10"/>
      <c r="J27" s="10"/>
      <c r="K27" s="10"/>
      <c r="L27" s="10"/>
      <c r="M27" s="10"/>
      <c r="N27" s="10">
        <v>5.2</v>
      </c>
      <c r="O27" s="8" t="s">
        <v>35</v>
      </c>
      <c r="P27" s="8" t="s">
        <v>36</v>
      </c>
      <c r="Q27" s="10">
        <v>4</v>
      </c>
      <c r="R27" s="8" t="s">
        <v>217</v>
      </c>
      <c r="S27" s="8" t="s">
        <v>218</v>
      </c>
      <c r="T27" s="8" t="s">
        <v>219</v>
      </c>
      <c r="U27" s="8"/>
      <c r="V27" s="8" t="s">
        <v>220</v>
      </c>
      <c r="W27" s="8"/>
      <c r="X27" s="8" t="s">
        <v>221</v>
      </c>
      <c r="Y27" s="8"/>
      <c r="Z27" s="8" t="s">
        <v>222</v>
      </c>
      <c r="AA27" s="8"/>
      <c r="AB27" s="8" t="s">
        <v>223</v>
      </c>
    </row>
    <row r="28" spans="1:28" ht="120" customHeight="1" x14ac:dyDescent="0.2">
      <c r="A28" s="11">
        <v>44</v>
      </c>
      <c r="B28" s="12" t="s">
        <v>33</v>
      </c>
      <c r="C28" s="12" t="s">
        <v>43</v>
      </c>
      <c r="D28" s="13">
        <v>44071</v>
      </c>
      <c r="E28" s="13">
        <v>44096</v>
      </c>
      <c r="F28" s="11">
        <f t="shared" si="0"/>
        <v>25</v>
      </c>
      <c r="G28" s="14"/>
      <c r="H28" s="14"/>
      <c r="I28" s="14"/>
      <c r="J28" s="14"/>
      <c r="K28" s="14"/>
      <c r="L28" s="14"/>
      <c r="M28" s="14"/>
      <c r="N28" s="14">
        <v>5.2</v>
      </c>
      <c r="O28" s="12" t="s">
        <v>35</v>
      </c>
      <c r="P28" s="12" t="s">
        <v>36</v>
      </c>
      <c r="Q28" s="14">
        <v>4</v>
      </c>
      <c r="R28" s="12" t="s">
        <v>224</v>
      </c>
      <c r="S28" s="12" t="s">
        <v>225</v>
      </c>
      <c r="T28" s="12" t="s">
        <v>226</v>
      </c>
      <c r="U28" s="12" t="s">
        <v>227</v>
      </c>
      <c r="V28" s="12"/>
      <c r="W28" s="12"/>
      <c r="X28" s="12" t="s">
        <v>228</v>
      </c>
      <c r="Y28" s="12"/>
      <c r="Z28" s="12" t="s">
        <v>229</v>
      </c>
      <c r="AA28" s="12" t="s">
        <v>65</v>
      </c>
      <c r="AB28" s="12" t="s">
        <v>230</v>
      </c>
    </row>
    <row r="29" spans="1:28" ht="165" customHeight="1" x14ac:dyDescent="0.2">
      <c r="A29" s="7">
        <v>45</v>
      </c>
      <c r="B29" s="8" t="s">
        <v>33</v>
      </c>
      <c r="C29" s="8" t="s">
        <v>34</v>
      </c>
      <c r="D29" s="9">
        <v>43605</v>
      </c>
      <c r="E29" s="9">
        <v>43571</v>
      </c>
      <c r="F29" s="7">
        <f t="shared" si="0"/>
        <v>-34</v>
      </c>
      <c r="G29" s="10"/>
      <c r="H29" s="10"/>
      <c r="I29" s="10">
        <v>0</v>
      </c>
      <c r="J29" s="10">
        <v>0</v>
      </c>
      <c r="K29" s="10"/>
      <c r="L29" s="10">
        <v>8.1</v>
      </c>
      <c r="M29" s="10"/>
      <c r="N29" s="10">
        <v>5.2</v>
      </c>
      <c r="O29" s="8" t="s">
        <v>35</v>
      </c>
      <c r="P29" s="8" t="s">
        <v>36</v>
      </c>
      <c r="Q29" s="10">
        <v>26</v>
      </c>
      <c r="R29" s="8" t="s">
        <v>231</v>
      </c>
      <c r="S29" s="8" t="s">
        <v>232</v>
      </c>
      <c r="T29" s="8" t="s">
        <v>233</v>
      </c>
      <c r="U29" s="8" t="s">
        <v>234</v>
      </c>
      <c r="V29" s="8" t="s">
        <v>235</v>
      </c>
      <c r="W29" s="8" t="s">
        <v>236</v>
      </c>
      <c r="X29" s="8" t="s">
        <v>237</v>
      </c>
      <c r="Y29" s="8" t="s">
        <v>192</v>
      </c>
      <c r="Z29" s="8" t="s">
        <v>238</v>
      </c>
      <c r="AA29" s="8"/>
      <c r="AB29" s="8" t="s">
        <v>239</v>
      </c>
    </row>
    <row r="30" spans="1:28" ht="150" customHeight="1" x14ac:dyDescent="0.2">
      <c r="A30" s="11">
        <v>45</v>
      </c>
      <c r="B30" s="12" t="s">
        <v>33</v>
      </c>
      <c r="C30" s="12" t="s">
        <v>43</v>
      </c>
      <c r="D30" s="13">
        <v>44081</v>
      </c>
      <c r="E30" s="13">
        <v>44104</v>
      </c>
      <c r="F30" s="11">
        <f t="shared" si="0"/>
        <v>23</v>
      </c>
      <c r="G30" s="14"/>
      <c r="H30" s="14"/>
      <c r="I30" s="14"/>
      <c r="J30" s="14"/>
      <c r="K30" s="14"/>
      <c r="L30" s="14"/>
      <c r="M30" s="14"/>
      <c r="N30" s="14">
        <v>5.2</v>
      </c>
      <c r="O30" s="12" t="s">
        <v>35</v>
      </c>
      <c r="P30" s="12" t="s">
        <v>36</v>
      </c>
      <c r="Q30" s="14">
        <v>16</v>
      </c>
      <c r="R30" s="12" t="s">
        <v>240</v>
      </c>
      <c r="S30" s="12" t="s">
        <v>241</v>
      </c>
      <c r="T30" s="12" t="s">
        <v>242</v>
      </c>
      <c r="U30" s="12" t="s">
        <v>243</v>
      </c>
      <c r="V30" s="12" t="s">
        <v>244</v>
      </c>
      <c r="W30" s="12" t="s">
        <v>245</v>
      </c>
      <c r="X30" s="12" t="s">
        <v>246</v>
      </c>
      <c r="Y30" s="12" t="s">
        <v>247</v>
      </c>
      <c r="Z30" s="12" t="s">
        <v>248</v>
      </c>
      <c r="AA30" s="12" t="s">
        <v>65</v>
      </c>
      <c r="AB30" s="12" t="s">
        <v>249</v>
      </c>
    </row>
    <row r="31" spans="1:28" ht="105" customHeight="1" x14ac:dyDescent="0.2">
      <c r="A31" s="7">
        <v>46</v>
      </c>
      <c r="B31" s="8" t="s">
        <v>33</v>
      </c>
      <c r="C31" s="8" t="s">
        <v>34</v>
      </c>
      <c r="D31" s="9">
        <v>43521</v>
      </c>
      <c r="E31" s="9">
        <v>43507</v>
      </c>
      <c r="F31" s="7">
        <f t="shared" si="0"/>
        <v>-14</v>
      </c>
      <c r="G31" s="10"/>
      <c r="H31" s="10"/>
      <c r="I31" s="10">
        <v>1</v>
      </c>
      <c r="J31" s="10">
        <v>1</v>
      </c>
      <c r="K31" s="10"/>
      <c r="L31" s="10"/>
      <c r="M31" s="10"/>
      <c r="N31" s="10">
        <v>5.2</v>
      </c>
      <c r="O31" s="8" t="s">
        <v>35</v>
      </c>
      <c r="P31" s="8" t="s">
        <v>36</v>
      </c>
      <c r="Q31" s="10"/>
      <c r="R31" s="8" t="s">
        <v>250</v>
      </c>
      <c r="S31" s="8" t="s">
        <v>251</v>
      </c>
      <c r="T31" s="8" t="s">
        <v>252</v>
      </c>
      <c r="U31" s="8" t="s">
        <v>253</v>
      </c>
      <c r="V31" s="8" t="s">
        <v>254</v>
      </c>
      <c r="W31" s="8" t="s">
        <v>255</v>
      </c>
      <c r="X31" s="8" t="s">
        <v>256</v>
      </c>
      <c r="Y31" s="8" t="s">
        <v>257</v>
      </c>
      <c r="Z31" s="8" t="s">
        <v>258</v>
      </c>
      <c r="AA31" s="8"/>
      <c r="AB31" s="8" t="s">
        <v>259</v>
      </c>
    </row>
    <row r="32" spans="1:28" ht="165" customHeight="1" x14ac:dyDescent="0.2">
      <c r="A32" s="11">
        <v>46</v>
      </c>
      <c r="B32" s="12" t="s">
        <v>33</v>
      </c>
      <c r="C32" s="12" t="s">
        <v>43</v>
      </c>
      <c r="D32" s="13">
        <v>44064</v>
      </c>
      <c r="E32" s="13">
        <v>44097</v>
      </c>
      <c r="F32" s="11">
        <f t="shared" si="0"/>
        <v>33</v>
      </c>
      <c r="G32" s="14"/>
      <c r="H32" s="14"/>
      <c r="I32" s="14"/>
      <c r="J32" s="14"/>
      <c r="K32" s="14"/>
      <c r="L32" s="14"/>
      <c r="M32" s="14"/>
      <c r="N32" s="14">
        <v>5.2</v>
      </c>
      <c r="O32" s="12" t="s">
        <v>35</v>
      </c>
      <c r="P32" s="12" t="s">
        <v>36</v>
      </c>
      <c r="Q32" s="14">
        <v>26</v>
      </c>
      <c r="R32" s="12" t="s">
        <v>260</v>
      </c>
      <c r="S32" s="12" t="s">
        <v>261</v>
      </c>
      <c r="T32" s="12" t="s">
        <v>262</v>
      </c>
      <c r="U32" s="12" t="s">
        <v>263</v>
      </c>
      <c r="V32" s="12"/>
      <c r="W32" s="12"/>
      <c r="X32" s="12" t="s">
        <v>264</v>
      </c>
      <c r="Y32" s="12"/>
      <c r="Z32" s="12" t="s">
        <v>265</v>
      </c>
      <c r="AA32" s="12" t="s">
        <v>282</v>
      </c>
      <c r="AB32" s="12" t="s">
        <v>266</v>
      </c>
    </row>
    <row r="33" spans="1:28" ht="45" customHeight="1" x14ac:dyDescent="0.2">
      <c r="A33" s="7">
        <v>47</v>
      </c>
      <c r="B33" s="8" t="s">
        <v>33</v>
      </c>
      <c r="C33" s="8" t="s">
        <v>34</v>
      </c>
      <c r="D33" s="9">
        <v>43437</v>
      </c>
      <c r="E33" s="9"/>
      <c r="F33" s="7" t="str">
        <f t="shared" si="0"/>
        <v/>
      </c>
      <c r="G33" s="10"/>
      <c r="H33" s="10"/>
      <c r="I33" s="10"/>
      <c r="J33" s="10"/>
      <c r="K33" s="10"/>
      <c r="L33" s="10"/>
      <c r="M33" s="10"/>
      <c r="N33" s="10">
        <v>9</v>
      </c>
      <c r="O33" s="8" t="s">
        <v>73</v>
      </c>
      <c r="P33" s="8" t="s">
        <v>36</v>
      </c>
      <c r="Q33" s="10"/>
      <c r="R33" s="8"/>
      <c r="S33" s="8"/>
      <c r="T33" s="8"/>
      <c r="U33" s="8"/>
      <c r="V33" s="8"/>
      <c r="W33" s="8"/>
      <c r="X33" s="8"/>
      <c r="Y33" s="8"/>
      <c r="Z33" s="8" t="s">
        <v>267</v>
      </c>
      <c r="AA33" s="8"/>
      <c r="AB33" s="8"/>
    </row>
    <row r="34" spans="1:28" ht="45" customHeight="1" x14ac:dyDescent="0.2">
      <c r="A34" s="11">
        <v>47</v>
      </c>
      <c r="B34" s="12" t="s">
        <v>33</v>
      </c>
      <c r="C34" s="12" t="s">
        <v>43</v>
      </c>
      <c r="D34" s="13">
        <v>44113</v>
      </c>
      <c r="E34" s="13"/>
      <c r="F34" s="11" t="str">
        <f t="shared" si="0"/>
        <v/>
      </c>
      <c r="G34" s="14"/>
      <c r="H34" s="14"/>
      <c r="I34" s="14"/>
      <c r="J34" s="14"/>
      <c r="K34" s="14"/>
      <c r="L34" s="14"/>
      <c r="M34" s="14"/>
      <c r="N34" s="14">
        <v>6.4</v>
      </c>
      <c r="O34" s="12" t="s">
        <v>73</v>
      </c>
      <c r="P34" s="12" t="s">
        <v>36</v>
      </c>
      <c r="Q34" s="14"/>
      <c r="R34" s="12"/>
      <c r="S34" s="12"/>
      <c r="T34" s="12"/>
      <c r="U34" s="12"/>
      <c r="V34" s="12"/>
      <c r="W34" s="12"/>
      <c r="X34" s="12"/>
      <c r="Y34" s="12"/>
      <c r="Z34" s="12" t="s">
        <v>267</v>
      </c>
      <c r="AA34" s="12" t="s">
        <v>282</v>
      </c>
      <c r="AB34" s="12"/>
    </row>
    <row r="35" spans="1:28" ht="60" customHeight="1" x14ac:dyDescent="0.2">
      <c r="A35" s="7">
        <v>48</v>
      </c>
      <c r="B35" s="8" t="s">
        <v>33</v>
      </c>
      <c r="C35" s="8" t="s">
        <v>34</v>
      </c>
      <c r="D35" s="9">
        <v>44135</v>
      </c>
      <c r="E35" s="9">
        <v>44105</v>
      </c>
      <c r="F35" s="7">
        <f t="shared" si="0"/>
        <v>-30</v>
      </c>
      <c r="G35" s="10"/>
      <c r="H35" s="10"/>
      <c r="I35" s="10"/>
      <c r="J35" s="10"/>
      <c r="K35" s="10"/>
      <c r="L35" s="10">
        <v>3</v>
      </c>
      <c r="M35" s="10">
        <v>1.75</v>
      </c>
      <c r="N35" s="10">
        <v>5.6</v>
      </c>
      <c r="O35" s="8" t="s">
        <v>73</v>
      </c>
      <c r="P35" s="8" t="s">
        <v>36</v>
      </c>
      <c r="Q35" s="10">
        <v>9</v>
      </c>
      <c r="R35" s="8" t="s">
        <v>268</v>
      </c>
      <c r="S35" s="8" t="s">
        <v>269</v>
      </c>
      <c r="T35" s="8" t="s">
        <v>270</v>
      </c>
      <c r="U35" s="8"/>
      <c r="V35" s="8"/>
      <c r="W35" s="8"/>
      <c r="X35" s="8" t="s">
        <v>271</v>
      </c>
      <c r="Y35" s="8"/>
      <c r="Z35" s="8" t="s">
        <v>272</v>
      </c>
      <c r="AA35" s="8"/>
      <c r="AB35" s="8" t="s">
        <v>273</v>
      </c>
    </row>
    <row r="36" spans="1:28" ht="120" customHeight="1" x14ac:dyDescent="0.2">
      <c r="A36" s="11">
        <v>48</v>
      </c>
      <c r="B36" s="12" t="s">
        <v>33</v>
      </c>
      <c r="C36" s="12" t="s">
        <v>43</v>
      </c>
      <c r="D36" s="13">
        <v>44512</v>
      </c>
      <c r="E36" s="13">
        <v>44462</v>
      </c>
      <c r="F36" s="11">
        <f t="shared" si="0"/>
        <v>-50</v>
      </c>
      <c r="G36" s="14"/>
      <c r="H36" s="14"/>
      <c r="I36" s="14"/>
      <c r="J36" s="14"/>
      <c r="K36" s="14"/>
      <c r="L36" s="14"/>
      <c r="M36" s="14"/>
      <c r="N36" s="14">
        <v>5.0999999999999996</v>
      </c>
      <c r="O36" s="12" t="s">
        <v>35</v>
      </c>
      <c r="P36" s="12" t="s">
        <v>36</v>
      </c>
      <c r="Q36" s="14">
        <v>7</v>
      </c>
      <c r="R36" s="12" t="s">
        <v>274</v>
      </c>
      <c r="S36" s="12" t="s">
        <v>275</v>
      </c>
      <c r="T36" s="12" t="s">
        <v>276</v>
      </c>
      <c r="U36" s="12"/>
      <c r="V36" s="12"/>
      <c r="W36" s="12"/>
      <c r="X36" s="12" t="s">
        <v>277</v>
      </c>
      <c r="Y36" s="12" t="s">
        <v>278</v>
      </c>
      <c r="Z36" s="12" t="s">
        <v>279</v>
      </c>
      <c r="AA36" s="12" t="s">
        <v>65</v>
      </c>
      <c r="AB36" s="12" t="s">
        <v>280</v>
      </c>
    </row>
  </sheetData>
  <autoFilter ref="A2:AB36" xr:uid="{00000000-0009-0000-0000-000000000000}"/>
  <mergeCells count="4">
    <mergeCell ref="S1:AB1"/>
    <mergeCell ref="G1:M1"/>
    <mergeCell ref="A1:F1"/>
    <mergeCell ref="N1:Q1"/>
  </mergeCells>
  <dataValidations count="2">
    <dataValidation type="list" allowBlank="1" sqref="O3:O36" xr:uid="{00000000-0002-0000-0000-000000000000}">
      <formula1>"=,&lt;,&lt;=,&gt;,&gt;="</formula1>
    </dataValidation>
    <dataValidation type="list" allowBlank="1" sqref="AA3:AA36" xr:uid="{00000000-0002-0000-0000-000001000000}">
      <formula1>"Ja,Nein"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Gutsche, Robin</cp:lastModifiedBy>
  <dcterms:created xsi:type="dcterms:W3CDTF">2026-10-20T12:18:13Z</dcterms:created>
  <dcterms:modified xsi:type="dcterms:W3CDTF">2026-10-20T15:19:14Z</dcterms:modified>
</cp:coreProperties>
</file>