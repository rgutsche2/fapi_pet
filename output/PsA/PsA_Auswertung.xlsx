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sA" sheetId="1" state="visible" r:id="rId1"/>
    <sheet xmlns:r="http://schemas.openxmlformats.org/officeDocument/2006/relationships" name="Therapie" sheetId="2" state="visible" r:id="rId2"/>
  </sheets>
  <definedNames>
    <definedName name="_xlnm._FilterDatabase" localSheetId="0" hidden="1">'PsA'!$A$2:$AH$36</definedName>
    <definedName name="_xlnm._FilterDatabase" localSheetId="1" hidden="1">'Therapie'!$A$1:$N$131</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4">
    <font>
      <name val="Calibri"/>
      <family val="2"/>
      <color theme="1"/>
      <sz val="11"/>
      <scheme val="minor"/>
    </font>
    <font>
      <name val="Calibri"/>
      <b val="1"/>
      <sz val="11"/>
    </font>
    <font>
      <name val="Calibri"/>
      <b val="1"/>
      <sz val="12"/>
    </font>
    <font>
      <name val="Calibri"/>
      <sz val="11"/>
    </font>
  </fonts>
  <fills count="10">
    <fill>
      <patternFill/>
    </fill>
    <fill>
      <patternFill patternType="gray125"/>
    </fill>
    <fill>
      <patternFill patternType="solid">
        <fgColor rgb="00D9EA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CBEAF5"/>
      </patternFill>
    </fill>
    <fill>
      <patternFill patternType="solid">
        <fgColor rgb="00D9E2F3"/>
      </patternFill>
    </fill>
    <fill>
      <patternFill patternType="solid">
        <fgColor rgb="00F2F6FA"/>
      </patternFill>
    </fill>
    <fill>
      <patternFill patternType="solid">
        <fgColor rgb="00FFFFFF"/>
      </patternFill>
    </fill>
  </fills>
  <borders count="2">
    <border>
      <left/>
      <right/>
      <top/>
      <bottom/>
      <diagonal/>
    </border>
    <border>
      <bottom style="thin">
        <color rgb="00D9E2F3"/>
      </bottom>
    </border>
  </borders>
  <cellStyleXfs count="1">
    <xf numFmtId="0" fontId="0" fillId="0" borderId="0"/>
  </cellStyleXfs>
  <cellXfs count="24">
    <xf numFmtId="0" fontId="0" fillId="0" borderId="0" pivotButton="0" quotePrefix="0" xfId="0"/>
    <xf numFmtId="0" fontId="2" fillId="2" borderId="0" applyAlignment="1" pivotButton="0" quotePrefix="0" xfId="0">
      <alignment vertical="center"/>
    </xf>
    <xf numFmtId="0" fontId="2" fillId="3" borderId="0" applyAlignment="1" pivotButton="0" quotePrefix="0" xfId="0">
      <alignment vertical="center"/>
    </xf>
    <xf numFmtId="0" fontId="2" fillId="4" borderId="0" applyAlignment="1" pivotButton="0" quotePrefix="0" xfId="0">
      <alignment vertical="center"/>
    </xf>
    <xf numFmtId="0" fontId="2" fillId="5" borderId="0" applyAlignment="1" pivotButton="0" quotePrefix="0" xfId="0">
      <alignment vertical="center"/>
    </xf>
    <xf numFmtId="0" fontId="2" fillId="6" borderId="0" applyAlignment="1" pivotButton="0" quotePrefix="0" xfId="0">
      <alignment vertical="center"/>
    </xf>
    <xf numFmtId="0" fontId="2" fillId="7" borderId="0" applyAlignment="1" pivotButton="0" quotePrefix="0" xfId="0">
      <alignment vertical="center"/>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1" fontId="3" fillId="8" borderId="1" applyAlignment="1" pivotButton="0" quotePrefix="0" xfId="0">
      <alignment vertical="top" wrapText="1"/>
    </xf>
    <xf numFmtId="0" fontId="3" fillId="8" borderId="1" applyAlignment="1" pivotButton="0" quotePrefix="0" xfId="0">
      <alignment vertical="top" wrapText="1"/>
    </xf>
    <xf numFmtId="164" fontId="3" fillId="8" borderId="1" applyAlignment="1" pivotButton="0" quotePrefix="0" xfId="0">
      <alignment vertical="top" wrapText="1"/>
    </xf>
    <xf numFmtId="165" fontId="3" fillId="8" borderId="1" applyAlignment="1" pivotButton="0" quotePrefix="0" xfId="0">
      <alignment vertical="top" wrapText="1"/>
    </xf>
    <xf numFmtId="1" fontId="3" fillId="9" borderId="1" applyAlignment="1" pivotButton="0" quotePrefix="0" xfId="0">
      <alignment vertical="top" wrapText="1"/>
    </xf>
    <xf numFmtId="0" fontId="3" fillId="9" borderId="1" applyAlignment="1" pivotButton="0" quotePrefix="0" xfId="0">
      <alignment vertical="top" wrapText="1"/>
    </xf>
    <xf numFmtId="164" fontId="3" fillId="9" borderId="1" applyAlignment="1" pivotButton="0" quotePrefix="0" xfId="0">
      <alignment vertical="top" wrapText="1"/>
    </xf>
    <xf numFmtId="165" fontId="3" fillId="9" borderId="1" applyAlignment="1" pivotButton="0" quotePrefix="0" xfId="0">
      <alignment vertical="top" wrapText="1"/>
    </xf>
    <xf numFmtId="0" fontId="1" fillId="5" borderId="0" applyAlignment="1" pivotButton="0" quotePrefix="0" xfId="0">
      <alignment vertical="center" wrapText="1"/>
    </xf>
    <xf numFmtId="165" fontId="3"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3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5" customWidth="1" min="3" max="3"/>
    <col width="14" customWidth="1" min="4" max="4"/>
    <col width="16"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8" customWidth="1" min="14" max="14"/>
    <col width="13" customWidth="1" min="15" max="15"/>
    <col width="18" customWidth="1" min="16" max="16"/>
    <col width="14" customWidth="1" min="17" max="17"/>
    <col width="18" customWidth="1" min="18" max="18"/>
    <col width="35" customWidth="1" min="19" max="19"/>
    <col width="5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55" customWidth="1" min="28" max="28"/>
    <col width="55" customWidth="1" min="29" max="29"/>
    <col width="35" customWidth="1" min="30" max="30"/>
    <col width="23" customWidth="1" min="31" max="31"/>
    <col width="25" customWidth="1" min="32" max="32"/>
    <col width="65" customWidth="1" min="33" max="33"/>
    <col width="65" customWidth="1" min="34" max="34"/>
  </cols>
  <sheetData>
    <row r="1" ht="24" customHeight="1">
      <c r="A1" s="1" t="inlineStr">
        <is>
          <t>Identifikation</t>
        </is>
      </c>
      <c r="G1" s="2" t="inlineStr">
        <is>
          <t>Scores</t>
        </is>
      </c>
      <c r="N1" s="3" t="inlineStr">
        <is>
          <t>Labor</t>
        </is>
      </c>
      <c r="S1" s="4" t="inlineStr">
        <is>
          <t>Therapie</t>
        </is>
      </c>
      <c r="T1" s="5" t="inlineStr">
        <is>
          <t>Klinische Befunde</t>
        </is>
      </c>
      <c r="AD1" s="6" t="inlineStr">
        <is>
          <t>Beurteilung</t>
        </is>
      </c>
    </row>
    <row r="2" ht="46" customHeight="1">
      <c r="A2" s="7" t="inlineStr">
        <is>
          <t>Patient</t>
        </is>
      </c>
      <c r="B2" s="7" t="inlineStr">
        <is>
          <t>Erkrankung</t>
        </is>
      </c>
      <c r="C2" s="7" t="inlineStr">
        <is>
          <t>Zeitpunkt</t>
        </is>
      </c>
      <c r="D2" s="7" t="inlineStr">
        <is>
          <t>Scan-Datum</t>
        </is>
      </c>
      <c r="E2" s="7" t="inlineStr">
        <is>
          <t>Klinisches Datum</t>
        </is>
      </c>
      <c r="F2" s="7" t="inlineStr">
        <is>
          <t>Abstand zum Scan (Tage)</t>
        </is>
      </c>
      <c r="G2" s="8" t="inlineStr">
        <is>
          <t>DAPSA</t>
        </is>
      </c>
      <c r="H2" s="8" t="inlineStr">
        <is>
          <t>cDAPSA</t>
        </is>
      </c>
      <c r="I2" s="8" t="inlineStr">
        <is>
          <t>TJC</t>
        </is>
      </c>
      <c r="J2" s="8" t="inlineStr">
        <is>
          <t>SJC</t>
        </is>
      </c>
      <c r="K2" s="8" t="inlineStr">
        <is>
          <t>LEI</t>
        </is>
      </c>
      <c r="L2" s="8" t="inlineStr">
        <is>
          <t>PASI</t>
        </is>
      </c>
      <c r="M2" s="8" t="inlineStr">
        <is>
          <t>HAQ</t>
        </is>
      </c>
      <c r="N2" s="9" t="inlineStr">
        <is>
          <t>CRP dokumentiert</t>
        </is>
      </c>
      <c r="O2" s="9" t="inlineStr">
        <is>
          <t>CRP-Wert</t>
        </is>
      </c>
      <c r="P2" s="9" t="inlineStr">
        <is>
          <t>CRP-Vergleichszeichen</t>
        </is>
      </c>
      <c r="Q2" s="9" t="inlineStr">
        <is>
          <t>CRP-Einheit</t>
        </is>
      </c>
      <c r="R2" s="9" t="inlineStr">
        <is>
          <t>BSG (mm nach 1 h)</t>
        </is>
      </c>
      <c r="S2" s="10" t="inlineStr">
        <is>
          <t>Laufende Wirkstoffe</t>
        </is>
      </c>
      <c r="T2" s="11" t="inlineStr">
        <is>
          <t>Klinische Hauptmanifestation</t>
        </is>
      </c>
      <c r="U2" s="11" t="inlineStr">
        <is>
          <t>Periphere Gelenkbeschwerden</t>
        </is>
      </c>
      <c r="V2" s="11" t="inlineStr">
        <is>
          <t>Axiale Beschwerden / ISG</t>
        </is>
      </c>
      <c r="W2" s="11" t="inlineStr">
        <is>
          <t>Synovitis / Gelenkschwellung</t>
        </is>
      </c>
      <c r="X2" s="11" t="inlineStr">
        <is>
          <t>Enthesitis</t>
        </is>
      </c>
      <c r="Y2" s="11" t="inlineStr">
        <is>
          <t>Daktylitis</t>
        </is>
      </c>
      <c r="Z2" s="11" t="inlineStr">
        <is>
          <t>Hautbeteiligung</t>
        </is>
      </c>
      <c r="AA2" s="11" t="inlineStr">
        <is>
          <t>Nagelbeteiligung</t>
        </is>
      </c>
      <c r="AB2" s="11" t="inlineStr">
        <is>
          <t>Betroffene Regionen</t>
        </is>
      </c>
      <c r="AC2" s="11" t="inlineStr">
        <is>
          <t>Klinischer Befund (Details)</t>
        </is>
      </c>
      <c r="AD2" s="12" t="inlineStr">
        <is>
          <t>Beurteilte Therapie</t>
        </is>
      </c>
      <c r="AE2" s="12" t="inlineStr">
        <is>
          <t>Ansprechen</t>
        </is>
      </c>
      <c r="AF2" s="12" t="inlineStr">
        <is>
          <t>Krankheitszustand</t>
        </is>
      </c>
      <c r="AG2" s="12" t="inlineStr">
        <is>
          <t>Verlauf</t>
        </is>
      </c>
      <c r="AH2" s="12" t="inlineStr">
        <is>
          <t>Hinweise</t>
        </is>
      </c>
    </row>
    <row r="3" ht="60" customHeight="1">
      <c r="A3" s="13" t="n">
        <v>32</v>
      </c>
      <c r="B3" s="14" t="inlineStr">
        <is>
          <t>PsA</t>
        </is>
      </c>
      <c r="C3" s="14" t="inlineStr">
        <is>
          <t>Baseline</t>
        </is>
      </c>
      <c r="D3" s="15" t="n">
        <v>45223</v>
      </c>
      <c r="E3" s="15" t="n">
        <v>45204</v>
      </c>
      <c r="F3" s="13">
        <f>IF(E3="","",E3-D3)</f>
        <v/>
      </c>
      <c r="G3" s="16" t="n"/>
      <c r="H3" s="16" t="n"/>
      <c r="I3" s="16" t="n">
        <v>10</v>
      </c>
      <c r="J3" s="16" t="n">
        <v>3</v>
      </c>
      <c r="K3" s="16" t="n"/>
      <c r="L3" s="16" t="n"/>
      <c r="M3" s="16" t="n"/>
      <c r="N3" s="14" t="inlineStr">
        <is>
          <t>Ja</t>
        </is>
      </c>
      <c r="O3" s="16" t="n">
        <v>5.2</v>
      </c>
      <c r="P3" s="14" t="inlineStr">
        <is>
          <t>&lt;</t>
        </is>
      </c>
      <c r="Q3" s="14" t="inlineStr">
        <is>
          <t>mg/l</t>
        </is>
      </c>
      <c r="R3" s="16" t="n"/>
      <c r="S3" s="14" t="inlineStr">
        <is>
          <t>Leflunomid</t>
        </is>
      </c>
      <c r="T3" s="14" t="inlineStr">
        <is>
          <t>Persistierende periphere Arthralgien und chronische Gelenkschwellungen bei postarthritischen Deformitäten; zunehmende Hautpsoriasis.</t>
        </is>
      </c>
      <c r="U3" s="14" t="inlineStr">
        <is>
          <t>vorhanden</t>
        </is>
      </c>
      <c r="V3" s="14" t="inlineStr">
        <is>
          <t>nicht erwähnt</t>
        </is>
      </c>
      <c r="W3" s="14" t="inlineStr">
        <is>
          <t>vorhanden</t>
        </is>
      </c>
      <c r="X3" s="14" t="inlineStr">
        <is>
          <t>nicht erwähnt</t>
        </is>
      </c>
      <c r="Y3" s="14" t="inlineStr">
        <is>
          <t>nicht erwähnt</t>
        </is>
      </c>
      <c r="Z3" s="14" t="inlineStr">
        <is>
          <t>vorhanden</t>
        </is>
      </c>
      <c r="AA3" s="14" t="inlineStr">
        <is>
          <t>nicht erwähnt</t>
        </is>
      </c>
      <c r="AB3" s="14" t="inlineStr">
        <is>
          <t>PIP-Gelenke, Handgelenke, Schultern; Haut an Kopfhaut, Ohrgängen, Brust, Bauch und Genitalbereich.</t>
        </is>
      </c>
      <c r="AC3" s="14" t="inlineStr">
        <is>
          <t>Postarthritische Deformitäten mehrerer Gelenke, TJC 10 und SJC 3 mit chronischen Schwellungen. Aktuelle Arthralgien der PIP-Gelenke, Handgelenke und Schultern.</t>
        </is>
      </c>
      <c r="AD3" s="14" t="n"/>
      <c r="AE3" s="14" t="n"/>
      <c r="AF3" s="14" t="inlineStr">
        <is>
          <t>Aktiv</t>
        </is>
      </c>
      <c r="AG3" s="14" t="inlineStr">
        <is>
          <t>Zunehmende Hautläsionen bei persistierenden Gelenkschmerzen und chronischen Schwellungen. Leflunomid ohne Wirkung und nach Dosiserhöhung mit Übelkeit und Erbrechen; Absetzen und Umstellung auf Bimekizumab empfohlen.</t>
        </is>
      </c>
      <c r="AH3" s="14" t="inlineStr">
        <is>
          <t>Zählbereiche von TJC und SJC nicht angegeben.
CRP-Labordatum nicht gesondert angegeben.
CRP-Auswahl: erster dokumentierter Messwert in der Briefreihenfolge; daraus kein genaues Labordatum abgeleitet.</t>
        </is>
      </c>
    </row>
    <row r="4" ht="120" customHeight="1">
      <c r="A4" s="17" t="n">
        <v>32</v>
      </c>
      <c r="B4" s="18" t="inlineStr">
        <is>
          <t>PsA</t>
        </is>
      </c>
      <c r="C4" s="18" t="inlineStr">
        <is>
          <t>Follow-up</t>
        </is>
      </c>
      <c r="D4" s="19" t="n">
        <v>45964</v>
      </c>
      <c r="E4" s="19" t="n">
        <v>45742</v>
      </c>
      <c r="F4" s="17">
        <f>IF(E4="","",E4-D4)</f>
        <v/>
      </c>
      <c r="G4" s="20" t="n"/>
      <c r="H4" s="20" t="n"/>
      <c r="I4" s="20" t="n"/>
      <c r="J4" s="20" t="n"/>
      <c r="K4" s="20" t="n"/>
      <c r="L4" s="20" t="n"/>
      <c r="M4" s="20" t="n"/>
      <c r="N4" s="18" t="inlineStr">
        <is>
          <t>Ja</t>
        </is>
      </c>
      <c r="O4" s="20" t="n">
        <v>5.1</v>
      </c>
      <c r="P4" s="18" t="inlineStr">
        <is>
          <t>&lt;</t>
        </is>
      </c>
      <c r="Q4" s="18" t="inlineStr">
        <is>
          <t>mg/l</t>
        </is>
      </c>
      <c r="R4" s="20" t="n">
        <v>12</v>
      </c>
      <c r="S4" s="18" t="inlineStr">
        <is>
          <t>Bimekizumab</t>
        </is>
      </c>
      <c r="T4" s="18" t="inlineStr">
        <is>
          <t>Seit vier Wochen linksseitige Hüft-/Gesäßschmerzen mit nächtlicher Schlafstörung und schmerzhafter Hüftrotation; entzündliche Ursache vermutet.</t>
        </is>
      </c>
      <c r="U4" s="18" t="inlineStr">
        <is>
          <t>vorhanden</t>
        </is>
      </c>
      <c r="V4" s="18" t="inlineStr">
        <is>
          <t>vorhanden</t>
        </is>
      </c>
      <c r="W4" s="18" t="inlineStr">
        <is>
          <t>verneint</t>
        </is>
      </c>
      <c r="X4" s="18" t="inlineStr">
        <is>
          <t>verneint</t>
        </is>
      </c>
      <c r="Y4" s="18" t="inlineStr">
        <is>
          <t>nicht erwähnt</t>
        </is>
      </c>
      <c r="Z4" s="18" t="inlineStr">
        <is>
          <t>vorhanden</t>
        </is>
      </c>
      <c r="AA4" s="18" t="inlineStr">
        <is>
          <t>nicht erwähnt</t>
        </is>
      </c>
      <c r="AB4" s="18" t="inlineStr">
        <is>
          <t>Linke Hüfte und linkes Gesäß; einzelne Hautläsionen links parietal.</t>
        </is>
      </c>
      <c r="AC4" s="18" t="inlineStr">
        <is>
          <t>Linksseitige Hüft-/Gesäßschmerzen tagsüber und beim Liegen auf der betroffenen Seite. Hüftrotation links schmerzhaft, kein Trochanterdruckschmerz, Mennell unauffällig. Sonst keine Gelenkprobleme; keine weiteren druckschmerzhaften oder geschwollenen Gelenke oder Enthesen. Einzelne Psoriasisläsionen links parietal.</t>
        </is>
      </c>
      <c r="AD4" s="18" t="n"/>
      <c r="AE4" s="18" t="inlineStr">
        <is>
          <t>Nicht beurteilbar</t>
        </is>
      </c>
      <c r="AF4" s="18" t="inlineStr">
        <is>
          <t>Unklar</t>
        </is>
      </c>
      <c r="AG4" s="18" t="inlineStr">
        <is>
          <t>Unter Bimekizumab seit vier Wochen neue linksseitige Hüft-/Gesäßschmerzen, sonst keine Gelenkprobleme. Einzelne Psoriasisläsionen bestehen fort. Bei klinischem Verdacht auf entzündliche Aktivität probatorischer Wechsel auf Etanercept und Beendigung von Bimekizumab empfohlen; bei fehlendem Ansprechen MRT oder orthopädische Vorstellung vorgesehen.</t>
        </is>
      </c>
      <c r="AH4" s="18" t="inlineStr">
        <is>
          <t>Kein ausdrücklich bewerteter muskuloskelettaler Therapieeffekt; der probatorische Wechsel bei Aktivitätsverdacht belegt kein gesichertes Therapieversagen.
Krankheitsaktivität nur vermutet; entzündliche Ursache der Hüft-/Gesäßschmerzen und axiale Zuordnung nicht gesichert.
CRP und BKS ohne gesondertes Labordatum.
CRP-Auswahl: erster dokumentierter Messwert in der Briefreihenfolge; daraus kein genaues Labordatum abgeleitet.</t>
        </is>
      </c>
    </row>
    <row r="5" ht="210" customHeight="1">
      <c r="A5" s="13" t="n">
        <v>33</v>
      </c>
      <c r="B5" s="14" t="inlineStr">
        <is>
          <t>PsA</t>
        </is>
      </c>
      <c r="C5" s="14" t="inlineStr">
        <is>
          <t>Baseline</t>
        </is>
      </c>
      <c r="D5" s="15" t="n">
        <v>45219</v>
      </c>
      <c r="E5" s="15" t="n">
        <v>45302</v>
      </c>
      <c r="F5" s="13">
        <f>IF(E5="","",E5-D5)</f>
        <v/>
      </c>
      <c r="G5" s="16" t="n"/>
      <c r="H5" s="16" t="n"/>
      <c r="I5" s="16" t="n">
        <v>12</v>
      </c>
      <c r="J5" s="16" t="n">
        <v>0</v>
      </c>
      <c r="K5" s="16" t="n">
        <v>2</v>
      </c>
      <c r="L5" s="16" t="n">
        <v>3.2</v>
      </c>
      <c r="M5" s="16" t="n"/>
      <c r="N5" s="14" t="inlineStr">
        <is>
          <t>Ja</t>
        </is>
      </c>
      <c r="O5" s="16" t="n">
        <v>5.2</v>
      </c>
      <c r="P5" s="14" t="inlineStr">
        <is>
          <t>&lt;</t>
        </is>
      </c>
      <c r="Q5" s="14" t="inlineStr">
        <is>
          <t>mg/l</t>
        </is>
      </c>
      <c r="R5" s="16" t="n"/>
      <c r="S5" s="14" t="inlineStr">
        <is>
          <t>Apremilast; Enstilar</t>
        </is>
      </c>
      <c r="T5" s="14" t="inlineStr">
        <is>
          <t>Diffuse Arthralgien der Hände, Ellenbogen und Füße ohne Bewegungseinschränkung; floride Plaque-Psoriasis.</t>
        </is>
      </c>
      <c r="U5" s="14" t="inlineStr">
        <is>
          <t>vorhanden</t>
        </is>
      </c>
      <c r="V5" s="14" t="inlineStr">
        <is>
          <t>nicht erwähnt</t>
        </is>
      </c>
      <c r="W5" s="14" t="inlineStr">
        <is>
          <t>unklar</t>
        </is>
      </c>
      <c r="X5" s="14" t="inlineStr">
        <is>
          <t>unklar</t>
        </is>
      </c>
      <c r="Y5" s="14" t="inlineStr">
        <is>
          <t>nicht erwähnt</t>
        </is>
      </c>
      <c r="Z5" s="14" t="inlineStr">
        <is>
          <t>vorhanden</t>
        </is>
      </c>
      <c r="AA5" s="14" t="inlineStr">
        <is>
          <t>nicht erwähnt</t>
        </is>
      </c>
      <c r="AB5" s="14" t="inlineStr">
        <is>
          <t>Hände einschließlich MCP-Gelenken, Ellenbogen und Füße; Haut an Ellenbogen- und Kniestreckseiten beidseits.</t>
        </is>
      </c>
      <c r="AC5" s="14" t="inlineStr">
        <is>
          <t>Arthralgien VAS 3–4/10 in Ruhe und unter Belastung, morgens am stärksten. MCP-Schwellungen anamnestisch berichtet, aktuell 0 geschwollene Gelenke und kein sicherer klinischer Arthritisnachweis. Beidseitiger Druckschmerz am lateralen Epicondylus; rechts Epicondylitis, differenzialdiagnostisch Enthesitis. Keine Bewegungseinschränkung. Großflächige floride Psoriasis-Plaques beidseits an Ellenbogen und Knien.</t>
        </is>
      </c>
      <c r="AD5" s="14" t="n"/>
      <c r="AE5" s="14" t="n"/>
      <c r="AF5" s="14" t="inlineStr">
        <is>
          <t>Unklar</t>
        </is>
      </c>
      <c r="AG5" s="14" t="inlineStr">
        <is>
          <t>Anhaltende Arthralgien ohne sicheren klinischen Arthritisnachweis. Prednisolon im vergangenen Sommer ohne Besserung ausgeschlichen. Zunehmender kutaner Wirkverlust unter Apremilast; Etoricoxib und weitere MRT-Abklärung empfohlen, Therapieumstellung abhängig vom Verlauf erwogen.</t>
        </is>
      </c>
      <c r="AH5" s="14" t="inlineStr">
        <is>
          <t>Einziger belegter rheumatologischer Besuch dieser Briefgruppe am 11.01.2024, nach dem Baseline-Scan.
Labordatum und separate Erhebungstage von LEI und PASI nicht angegeben; Zählbereich von TJC/SJC nicht dokumentiert.
Anamnestische MCP-Schwellungen bei aktuell SJC 0; Zeitpunkt der berichteten Schwellungen unklar.
Enthesitis nur differenzialdiagnostisch beschrieben, trotz dokumentiertem LEI 2.
Muskuloskelettale entzündliche Aktivität nicht sicher bestätigt; kutane Psoriasis ausdrücklich aktiv.
Weitere Scores: BASDAI 2.8, Originalzitat: „BASDAI: 2.8“; MASES 0, Originalzitat: „MASES: 0“; jeweils 33_Baseline.docx.
CRP-Auswahl: erster dokumentierter Messwert in der Briefreihenfolge; daraus kein genaues Labordatum abgeleitet.</t>
        </is>
      </c>
    </row>
    <row r="6" ht="135" customHeight="1">
      <c r="A6" s="17" t="n">
        <v>33</v>
      </c>
      <c r="B6" s="18" t="inlineStr">
        <is>
          <t>PsA</t>
        </is>
      </c>
      <c r="C6" s="18" t="inlineStr">
        <is>
          <t>Follow-up</t>
        </is>
      </c>
      <c r="D6" s="19" t="n">
        <v>45737</v>
      </c>
      <c r="E6" s="19" t="n">
        <v>45737</v>
      </c>
      <c r="F6" s="17">
        <f>IF(E6="","",E6-D6)</f>
        <v/>
      </c>
      <c r="G6" s="20" t="n"/>
      <c r="H6" s="20" t="n"/>
      <c r="I6" s="20" t="n">
        <v>12</v>
      </c>
      <c r="J6" s="20" t="n">
        <v>0</v>
      </c>
      <c r="K6" s="20" t="n"/>
      <c r="L6" s="20" t="n">
        <v>0</v>
      </c>
      <c r="M6" s="20" t="n"/>
      <c r="N6" s="18" t="inlineStr">
        <is>
          <t>Ja</t>
        </is>
      </c>
      <c r="O6" s="20" t="n">
        <v>5.1</v>
      </c>
      <c r="P6" s="18" t="inlineStr">
        <is>
          <t>&lt;</t>
        </is>
      </c>
      <c r="Q6" s="18" t="inlineStr">
        <is>
          <t>mg/l</t>
        </is>
      </c>
      <c r="R6" s="20" t="n"/>
      <c r="S6" s="18" t="n"/>
      <c r="T6" s="18" t="inlineStr">
        <is>
          <t>Vermehrte Gelenkbeschwerden insbesondere an Händen und Knien während der Bimekizumab-Pause, ohne Schwellungen oder Bewegungseinschränkung.</t>
        </is>
      </c>
      <c r="U6" s="18" t="inlineStr">
        <is>
          <t>vorhanden</t>
        </is>
      </c>
      <c r="V6" s="18" t="inlineStr">
        <is>
          <t>nicht erwähnt</t>
        </is>
      </c>
      <c r="W6" s="18" t="inlineStr">
        <is>
          <t>verneint</t>
        </is>
      </c>
      <c r="X6" s="18" t="inlineStr">
        <is>
          <t>verneint</t>
        </is>
      </c>
      <c r="Y6" s="18" t="inlineStr">
        <is>
          <t>nicht erwähnt</t>
        </is>
      </c>
      <c r="Z6" s="18" t="inlineStr">
        <is>
          <t>verneint</t>
        </is>
      </c>
      <c r="AA6" s="18" t="inlineStr">
        <is>
          <t>nicht erwähnt</t>
        </is>
      </c>
      <c r="AB6" s="18" t="inlineStr">
        <is>
          <t>Hände und Kniegelenke.</t>
        </is>
      </c>
      <c r="AC6" s="18" t="inlineStr">
        <is>
          <t>12 druckschmerzhafte und 0 geschwollene Gelenke. Morgensteifigkeit unter 15 Minuten. Kein Enthesendruckschmerz, keine Bewegungseinschränkung; Haut unauffällig.</t>
        </is>
      </c>
      <c r="AD6" s="18" t="inlineStr">
        <is>
          <t>Bimekizumab</t>
        </is>
      </c>
      <c r="AE6" s="18" t="inlineStr">
        <is>
          <t>Deutlich</t>
        </is>
      </c>
      <c r="AF6" s="18" t="inlineStr">
        <is>
          <t>Aktiv</t>
        </is>
      </c>
      <c r="AG6" s="18" t="inlineStr">
        <is>
          <t>Bisher guter klinischer Nutzen von Bimekizumab; während der Pause vermehrte Gelenkbeschwerden bei unauffälliger Haut. Pause wegen wiederholter Infekte und Mukositis, letztere darunter rückläufig. Einmalige erneute Gabe empfohlen; bei erneut auftretender Mukositis Umstellung auf Guselkumab erwogen.</t>
        </is>
      </c>
      <c r="AH6" s="18" t="inlineStr">
        <is>
          <t>CRP-Labordatum: 21.03.2025.
Zählbereich von TJC/SJC nicht dokumentiert.
LEI bleibt null wegen gemeinsamer, nicht eindeutig zuordenbarer Angabe „MASES/LEI 0“ in 33_FollowUp.docx.
Ansprechen beschreibt den ausdrücklich berichteten bisherigen guten Nutzen von Bimekizumab; aktuell vermehrte Beschwerden während der Therapiepause.
CRP-Auswahl: erster dokumentierter Messwert in der Briefreihenfolge; daraus kein genaues Labordatum abgeleitet.</t>
        </is>
      </c>
    </row>
    <row r="7" ht="135" customHeight="1">
      <c r="A7" s="13" t="n">
        <v>34</v>
      </c>
      <c r="B7" s="14" t="inlineStr">
        <is>
          <t>PsA</t>
        </is>
      </c>
      <c r="C7" s="14" t="inlineStr">
        <is>
          <t>Baseline</t>
        </is>
      </c>
      <c r="D7" s="15" t="n">
        <v>45128</v>
      </c>
      <c r="E7" s="15" t="n">
        <v>45117</v>
      </c>
      <c r="F7" s="13">
        <f>IF(E7="","",E7-D7)</f>
        <v/>
      </c>
      <c r="G7" s="16" t="n"/>
      <c r="H7" s="16" t="n"/>
      <c r="I7" s="16" t="n"/>
      <c r="J7" s="16" t="n"/>
      <c r="K7" s="16" t="n"/>
      <c r="L7" s="16" t="n"/>
      <c r="M7" s="16" t="n"/>
      <c r="N7" s="14" t="inlineStr">
        <is>
          <t>Ja</t>
        </is>
      </c>
      <c r="O7" s="16" t="n">
        <v>5.2</v>
      </c>
      <c r="P7" s="14" t="inlineStr">
        <is>
          <t>&lt;</t>
        </is>
      </c>
      <c r="Q7" s="14" t="inlineStr">
        <is>
          <t>mg/l</t>
        </is>
      </c>
      <c r="R7" s="16" t="n">
        <v>6</v>
      </c>
      <c r="S7" s="14" t="n"/>
      <c r="T7" s="14" t="inlineStr">
        <is>
          <t>Schmerzhafte Schwellung des linken Knies, Handsymptomatik und schmerzhafte Bewegungseinschränkung der linken Schulter.</t>
        </is>
      </c>
      <c r="U7" s="14" t="inlineStr">
        <is>
          <t>vorhanden</t>
        </is>
      </c>
      <c r="V7" s="14" t="inlineStr">
        <is>
          <t>nicht erwähnt</t>
        </is>
      </c>
      <c r="W7" s="14" t="inlineStr">
        <is>
          <t>vorhanden</t>
        </is>
      </c>
      <c r="X7" s="14" t="inlineStr">
        <is>
          <t>nicht erwähnt</t>
        </is>
      </c>
      <c r="Y7" s="14" t="inlineStr">
        <is>
          <t>nicht erwähnt</t>
        </is>
      </c>
      <c r="Z7" s="14" t="inlineStr">
        <is>
          <t>vorhanden</t>
        </is>
      </c>
      <c r="AA7" s="14" t="inlineStr">
        <is>
          <t>nicht erwähnt</t>
        </is>
      </c>
      <c r="AB7" s="14" t="inlineStr">
        <is>
          <t>Linkes Knie, linke Schulter, rechtes MCP IV und Beugesehnen beider Hände; Haut zwischen den Fingern beidseits.</t>
        </is>
      </c>
      <c r="AC7" s="14" t="inlineStr">
        <is>
          <t>Linkes Knie druckschmerzhaft und geschwollen, zusätzlich mechanische Komponente. Druckschmerz am rechten MCP IV und an der linken Schulter mit Bewegungseinschränkung, Schulter-VAS 9. Persistierende Morgensteifigkeit der Hände ohne dokumentierte Dauer. Leichte Rötung zwischen den Fingern beider Hände.</t>
        </is>
      </c>
      <c r="AD7" s="14" t="n"/>
      <c r="AE7" s="14" t="n"/>
      <c r="AF7" s="14" t="inlineStr">
        <is>
          <t>Aktiv</t>
        </is>
      </c>
      <c r="AG7" s="14" t="inlineStr">
        <is>
          <t>Unter Secukinumab seit März 2023 keine deutliche Gelenkbesserung; persistierende Knie-, Hand- und Schulterbeschwerden bei nur leichter Hautaktivität. Secukinumab abgesetzt, Umstellung auf Adalimumab empfohlen. Kniebeschwerden mit zusätzlicher mechanischer Komponente.</t>
        </is>
      </c>
      <c r="AH7" s="14" t="inlineStr">
        <is>
          <t>CRP und BKS ohne eigenständiges Labordatum; CRP gemäß verbindlich erkanntem ersten Messwert übernommen.
Schulter-VAS 9 dokumentiert, Skalenbereich nicht angegeben.
Keine klinisch eindeutige Enthesenzuordnung; bildgebende Ansatzsehnentendinopathien nicht als klinische Enthesitis gewertet.
Biopsie und lokale Injektion am 26.07.2023 ersetzen den ambulanten Referenztermin nicht.
CRP-Auswahl: erster dokumentierter Messwert in der Briefreihenfolge; daraus kein genaues Labordatum abgeleitet.</t>
        </is>
      </c>
    </row>
    <row r="8" ht="300" customHeight="1">
      <c r="A8" s="17" t="n">
        <v>34</v>
      </c>
      <c r="B8" s="18" t="inlineStr">
        <is>
          <t>PsA</t>
        </is>
      </c>
      <c r="C8" s="18" t="inlineStr">
        <is>
          <t>Follow-up</t>
        </is>
      </c>
      <c r="D8" s="19" t="n">
        <v>45923</v>
      </c>
      <c r="E8" s="19" t="n">
        <v>45911</v>
      </c>
      <c r="F8" s="17">
        <f>IF(E8="","",E8-D8)</f>
        <v/>
      </c>
      <c r="G8" s="20" t="n">
        <v>16</v>
      </c>
      <c r="H8" s="20" t="n"/>
      <c r="I8" s="20" t="n">
        <v>6</v>
      </c>
      <c r="J8" s="20" t="n">
        <v>1</v>
      </c>
      <c r="K8" s="20" t="n"/>
      <c r="L8" s="20" t="n">
        <v>0</v>
      </c>
      <c r="M8" s="20" t="n"/>
      <c r="N8" s="18" t="inlineStr">
        <is>
          <t>Ja</t>
        </is>
      </c>
      <c r="O8" s="20" t="n">
        <v>8</v>
      </c>
      <c r="P8" s="18" t="inlineStr">
        <is>
          <t>=</t>
        </is>
      </c>
      <c r="Q8" s="18" t="inlineStr">
        <is>
          <t>mg/l</t>
        </is>
      </c>
      <c r="R8" s="20" t="n"/>
      <c r="S8" s="18" t="inlineStr">
        <is>
          <t>Risankizumab; Ibuprofen</t>
        </is>
      </c>
      <c r="T8" s="18" t="inlineStr">
        <is>
          <t>Aktive periphere PsA mit persistierenden Hand- und Knieschmerzen, eingeschränkter Handflexion und ganztägiger Morgensteifigkeit.</t>
        </is>
      </c>
      <c r="U8" s="18" t="inlineStr">
        <is>
          <t>vorhanden</t>
        </is>
      </c>
      <c r="V8" s="18" t="inlineStr">
        <is>
          <t>nicht erwähnt</t>
        </is>
      </c>
      <c r="W8" s="18" t="inlineStr">
        <is>
          <t>vorhanden</t>
        </is>
      </c>
      <c r="X8" s="18" t="inlineStr">
        <is>
          <t>nicht erwähnt</t>
        </is>
      </c>
      <c r="Y8" s="18" t="inlineStr">
        <is>
          <t>nicht erwähnt</t>
        </is>
      </c>
      <c r="Z8" s="18" t="inlineStr">
        <is>
          <t>verneint</t>
        </is>
      </c>
      <c r="AA8" s="18" t="inlineStr">
        <is>
          <t>nicht erwähnt</t>
        </is>
      </c>
      <c r="AB8" s="18" t="inlineStr">
        <is>
          <t>Handgelenke und Daumengrundgelenke beidseits, Finger, linkes oberes Sprunggelenk und Knie; Knieseite widersprüchlich dokumentiert.</t>
        </is>
      </c>
      <c r="AC8" s="18" t="inlineStr">
        <is>
          <t>Starke anhaltende Hand-, Finger- und linke Knieschmerzen mit nächtlichem Erwachen; ganztägige Morgensteifigkeit ohne Besserung durch Bewegung. Handflexion insbesondere links eingeschränkt. SJC 1 mit linkem Knie im Gelenkstatus; im Verlauf dagegen rechter Knieerguss genannt. Sonografisch aktive Synovitis im linken Handgelenk. Aktuell keine Hautläsionen, zuvor Psoriasis beider Unterschenkel.</t>
        </is>
      </c>
      <c r="AD8" s="18" t="inlineStr">
        <is>
          <t>Risankizumab</t>
        </is>
      </c>
      <c r="AE8" s="18" t="inlineStr">
        <is>
          <t>Nicht beurteilbar</t>
        </is>
      </c>
      <c r="AF8" s="18" t="inlineStr">
        <is>
          <t>Aktiv</t>
        </is>
      </c>
      <c r="AG8" s="18" t="inlineStr">
        <is>
          <t>Unter Risankizumab gute Hautwirkung bis zum Fehlen aktueller Läsionen, jedoch zunehmende muskuloskelettale Beschwerden und aktive PsA. Keine belegte klinische Gelenkbesserung; Umstellung auf Golimumab empfohlen. Einnahme von täglich 600 mg Ibuprofen; vorausgegangener Prednisolonstoß.</t>
        </is>
      </c>
      <c r="AH8" s="18" t="inlineStr">
        <is>
          <t>11.09.2025 ist der scan-nächste belegte Besuch; weiterer Besuch am 12.12.2025.
DAPSA 16, PASI 0 sowie TJ 6 und SJ 1 im zusammenfassenden Brief ohne eindeutige Zuordnung zu einem der beiden Besuche; Werte übernommen. TJC-/SJC-Zählbereich nicht angegeben.
CRP 8,0 mg/l vom 11.09.2025: erster Messwert nach Reihenfolge. Späterer Wert 6,1 mg/l vom 12.12.2025 nicht ausgewählt.
Knieseite widersprüchlich: Anamnese und Gelenkstatus links, Verlaufsbeurteilung rechts; keine beidseitige Schwellung daraus abgeleitet.
Ansprechen Nicht beurteilbar: gute Hautwirkung ist kein muskuloskelettaler Veränderungsnachweis; zunehmende Gelenkbeschwerden und aktive Erkrankung ohne ausdrücklich formulierte fehlende oder unzureichende Risankizumab-Wirkung erlauben hier keine sichere Ansprechkategorie.
Bildgebende spinale Enthesitis ohne dokumentierte klinische Enthesitis oder axiale Beschwerden; diese Statusfelder daher nicht erwähnt.
CRP-Auswahl: erster dokumentierter Messwert in der Briefreihenfolge; daraus kein genaues Labordatum abgeleitet.</t>
        </is>
      </c>
    </row>
    <row r="9" ht="165" customHeight="1">
      <c r="A9" s="13" t="n">
        <v>35</v>
      </c>
      <c r="B9" s="14" t="inlineStr">
        <is>
          <t>PsA</t>
        </is>
      </c>
      <c r="C9" s="14" t="inlineStr">
        <is>
          <t>Baseline</t>
        </is>
      </c>
      <c r="D9" s="15" t="n">
        <v>44953</v>
      </c>
      <c r="E9" s="15" t="n">
        <v>44945</v>
      </c>
      <c r="F9" s="13">
        <f>IF(E9="","",E9-D9)</f>
        <v/>
      </c>
      <c r="G9" s="16" t="n"/>
      <c r="H9" s="16" t="n"/>
      <c r="I9" s="16" t="n"/>
      <c r="J9" s="16" t="n"/>
      <c r="K9" s="16" t="n">
        <v>3</v>
      </c>
      <c r="L9" s="16" t="n">
        <v>0</v>
      </c>
      <c r="M9" s="16" t="n"/>
      <c r="N9" s="14" t="inlineStr">
        <is>
          <t>Ja</t>
        </is>
      </c>
      <c r="O9" s="16" t="n">
        <v>8.699999999999999</v>
      </c>
      <c r="P9" s="14" t="inlineStr">
        <is>
          <t>=</t>
        </is>
      </c>
      <c r="Q9" s="14" t="inlineStr">
        <is>
          <t>mg/l</t>
        </is>
      </c>
      <c r="R9" s="16" t="n"/>
      <c r="S9" s="14" t="inlineStr">
        <is>
          <t>Tildrakizumab</t>
        </is>
      </c>
      <c r="T9" s="14" t="inlineStr">
        <is>
          <t>Gelenk- und Enthesendruckschmerzen ohne klinische Schwellungen; PsA nicht gesichert.</t>
        </is>
      </c>
      <c r="U9" s="14" t="inlineStr">
        <is>
          <t>vorhanden</t>
        </is>
      </c>
      <c r="V9" s="14" t="inlineStr">
        <is>
          <t>nicht erwähnt</t>
        </is>
      </c>
      <c r="W9" s="14" t="inlineStr">
        <is>
          <t>verneint</t>
        </is>
      </c>
      <c r="X9" s="14" t="inlineStr">
        <is>
          <t>vorhanden</t>
        </is>
      </c>
      <c r="Y9" s="14" t="inlineStr">
        <is>
          <t>nicht erwähnt</t>
        </is>
      </c>
      <c r="Z9" s="14" t="inlineStr">
        <is>
          <t>verneint</t>
        </is>
      </c>
      <c r="AA9" s="14" t="inlineStr">
        <is>
          <t>nicht erwähnt</t>
        </is>
      </c>
      <c r="AB9" s="14" t="inlineStr">
        <is>
          <t>Knie beidseits, linkes oberes Sprunggelenk; rechter medialer Ellenbogen, Achillessehnen und Sternoklavikularregion beidseits.</t>
        </is>
      </c>
      <c r="AC9" s="14" t="inlineStr">
        <is>
          <t>Seit Jahren Knie- und Fußschmerzen beidseits, Morgensteifigkeit etwa 10 Minuten. Druckschmerz an beiden Knien und linkem oberen Sprunggelenk; entheseale Druckschmerzen rechts medial am Ellenbogen, an beiden Achillessehnen und sternoklavikulär beidseits. Keine Schwellungen. Sonographisch degenerative Tendinopathien ohne klare PsA-Zeichen.</t>
        </is>
      </c>
      <c r="AD9" s="14" t="n"/>
      <c r="AE9" s="14" t="n"/>
      <c r="AF9" s="14" t="inlineStr">
        <is>
          <t>Unklar</t>
        </is>
      </c>
      <c r="AG9" s="14" t="inlineStr">
        <is>
          <t>Unter Tildrakizumab kutane Remission, jedoch seit Jahren Gelenkbeschwerden und aktuell druckschmerzhafte Gelenke und Enthesen. Kein klarer Hinweis auf PsA; unveränderte Fortführung der Therapie empfohlen.</t>
        </is>
      </c>
      <c r="AH9" s="14" t="inlineStr">
        <is>
          <t>PsA nur als Verdachtsdiagnose; entzündliche Ursache der Beschwerden nicht gesichert. Klinische Enthesendruckschmerzen bei sonographisch fehlenden Enthesitiszeichen.
Labor und Scores ohne gesondertes Messdatum; keine automatische Gleichsetzung mit dem Besuchstag.
CRP: erster Messwert nach Reihenfolge; Labordatum nicht ausdrücklich angegeben.
Weitere Scores: DAS28 2,99 (Original: „DAS28: 2,99“); MASES 2 (Original: „LEI: 3, MASES: 2“), jeweils 35_Baseline.docx.
CRP-Auswahl: erster dokumentierter Messwert in der Briefreihenfolge; daraus kein genaues Labordatum abgeleitet.</t>
        </is>
      </c>
    </row>
    <row r="10" ht="315" customHeight="1">
      <c r="A10" s="17" t="n">
        <v>35</v>
      </c>
      <c r="B10" s="18" t="inlineStr">
        <is>
          <t>PsA</t>
        </is>
      </c>
      <c r="C10" s="18" t="inlineStr">
        <is>
          <t>Follow-up</t>
        </is>
      </c>
      <c r="D10" s="19" t="n">
        <v>45247</v>
      </c>
      <c r="E10" s="19" t="n">
        <v>45334</v>
      </c>
      <c r="F10" s="17">
        <f>IF(E10="","",E10-D10)</f>
        <v/>
      </c>
      <c r="G10" s="20" t="n"/>
      <c r="H10" s="20" t="n"/>
      <c r="I10" s="20" t="n"/>
      <c r="J10" s="20" t="n"/>
      <c r="K10" s="20" t="n"/>
      <c r="L10" s="20" t="n">
        <v>0.3</v>
      </c>
      <c r="M10" s="20" t="n"/>
      <c r="N10" s="18" t="inlineStr">
        <is>
          <t>Ja</t>
        </is>
      </c>
      <c r="O10" s="20" t="n">
        <v>5.4</v>
      </c>
      <c r="P10" s="18" t="inlineStr">
        <is>
          <t>&lt;</t>
        </is>
      </c>
      <c r="Q10" s="18" t="inlineStr">
        <is>
          <t>mg/l</t>
        </is>
      </c>
      <c r="R10" s="20" t="n"/>
      <c r="S10" s="18" t="inlineStr">
        <is>
          <t>Tildrakizumab</t>
        </is>
      </c>
      <c r="T10" s="18" t="inlineStr">
        <is>
          <t>Gelegentliche, vor allem belastungsabhängige Knie- und linke Achillessehnenbeschwerden ohne Gelenkschwellungen; weiterhin kein Anhalt für PsA.</t>
        </is>
      </c>
      <c r="U10" s="18" t="inlineStr">
        <is>
          <t>vorhanden</t>
        </is>
      </c>
      <c r="V10" s="18" t="inlineStr">
        <is>
          <t>verneint</t>
        </is>
      </c>
      <c r="W10" s="18" t="inlineStr">
        <is>
          <t>verneint</t>
        </is>
      </c>
      <c r="X10" s="18" t="inlineStr">
        <is>
          <t>vorhanden</t>
        </is>
      </c>
      <c r="Y10" s="18" t="inlineStr">
        <is>
          <t>verneint</t>
        </is>
      </c>
      <c r="Z10" s="18" t="inlineStr">
        <is>
          <t>vorhanden</t>
        </is>
      </c>
      <c r="AA10" s="18" t="inlineStr">
        <is>
          <t>nicht erwähnt</t>
        </is>
      </c>
      <c r="AB10" s="18" t="inlineStr">
        <is>
          <t>Knie, klinisch links druckschmerzhaft; linke Achillessehne; Haut retroaurikulär.</t>
        </is>
      </c>
      <c r="AC10" s="18" t="inlineStr">
        <is>
          <t>Gelegentliche Arthralgien sowie Knie- und linke Achillessehnenschmerzen, vor allem unter Belastung. Druckschmerz am linken Knie und an der linken Achillessehne, sonst keine Enthesendruckschmerzen. Keine Morgensteifigkeit, Gelenkschwellungen, Daktylitis oder Rückenschmerzen. Retroaurikuläre Psoriasis.</t>
        </is>
      </c>
      <c r="AD10" s="18" t="n"/>
      <c r="AE10" s="18" t="inlineStr">
        <is>
          <t>Nicht beurteilbar</t>
        </is>
      </c>
      <c r="AF10" s="18" t="inlineStr">
        <is>
          <t>Gut kontrolliert</t>
        </is>
      </c>
      <c r="AG10" s="18" t="inlineStr">
        <is>
          <t>Wohlbefinden unter fortgesetztem Tildrakizumab; gelegentliche überwiegend belastungsabhängige Restbeschwerden bei Gonarthrose. Weiterhin kein klinischer Anhalt für PsA. Retroaurikuläre Hautaktivität trotz anamnestisch genannter kutaner Remission. Kein eindeutig belegter muskuloskelettaler Veränderungsnachweis unter Therapie.</t>
        </is>
      </c>
      <c r="AH10" s="18" t="inlineStr">
        <is>
          <t>Ansprechen nicht beurteilbar: kein eindeutig dokumentierter muskuloskelettaler Veränderungsnachweis und keine konkrete Wirkungsbeurteilung von Tildrakizumab.
Gut kontrolliert bezieht sich auf den aktuellen muskuloskelettalen Zustand ohne relevante entzündliche Aktivitätszeichen; keine gesicherte PsA und keine formale PsA-Remission.
Enthesitisstatus aufgrund klinisch zugeordneter Enthesendruckschmerzen; entzündliche Ursache der linken Achillessehnenbeschwerden nicht gesichert.
Anamnestisch kutane Remission, im Untersuchungsbefund jedoch retroaurikuläre Psoriasis; Hautstatus nach aktuellem Befund.
LEI bleibt null: mehrdeutige gemeinsame Angabe „MASES/LEI: 1“ in 35_FollowUp.docx.
Weiterer Score: BASDAI 2,02 (Original: „BASDAI: 2.02“, 35_FollowUp.docx).
Labor und Scores ohne gesondertes Messdatum; keine automatische Gleichsetzung mit dem Besuchstag.
CRP: erster Messwert nach Reihenfolge; Labordatum nicht ausdrücklich angegeben.
CRP-Auswahl: erster dokumentierter Messwert in der Briefreihenfolge; daraus kein genaues Labordatum abgeleitet.</t>
        </is>
      </c>
    </row>
    <row r="11" ht="225" customHeight="1">
      <c r="A11" s="13" t="n">
        <v>36</v>
      </c>
      <c r="B11" s="14" t="inlineStr">
        <is>
          <t>PsA</t>
        </is>
      </c>
      <c r="C11" s="14" t="inlineStr">
        <is>
          <t>Baseline</t>
        </is>
      </c>
      <c r="D11" s="15" t="n">
        <v>44179</v>
      </c>
      <c r="E11" s="15" t="n">
        <v>44166</v>
      </c>
      <c r="F11" s="13">
        <f>IF(E11="","",E11-D11)</f>
        <v/>
      </c>
      <c r="G11" s="16" t="n"/>
      <c r="H11" s="16" t="n"/>
      <c r="I11" s="16" t="n">
        <v>1</v>
      </c>
      <c r="J11" s="16" t="n">
        <v>1</v>
      </c>
      <c r="K11" s="16" t="n"/>
      <c r="L11" s="16" t="n"/>
      <c r="M11" s="16" t="n">
        <v>0.25</v>
      </c>
      <c r="N11" s="14" t="inlineStr">
        <is>
          <t>Ja</t>
        </is>
      </c>
      <c r="O11" s="16" t="n">
        <v>5.1</v>
      </c>
      <c r="P11" s="14" t="inlineStr">
        <is>
          <t>&lt;</t>
        </is>
      </c>
      <c r="Q11" s="14" t="inlineStr">
        <is>
          <t>mg/l</t>
        </is>
      </c>
      <c r="R11" s="16" t="n">
        <v>6</v>
      </c>
      <c r="S11" s="14" t="inlineStr">
        <is>
          <t>Methotrexat</t>
        </is>
      </c>
      <c r="T11" s="14" t="inlineStr">
        <is>
          <t>Gelenk- und Sehnenschmerzen mit Enthesitis an beiden Ellenbogen, Arthritis und aktiver Hautpsoriasis; bewegungsabhängige Beschwerden mit zeitweiser Schienenversorgung.</t>
        </is>
      </c>
      <c r="U11" s="14" t="inlineStr">
        <is>
          <t>vorhanden</t>
        </is>
      </c>
      <c r="V11" s="14" t="inlineStr">
        <is>
          <t>nicht erwähnt</t>
        </is>
      </c>
      <c r="W11" s="14" t="inlineStr">
        <is>
          <t>vorhanden</t>
        </is>
      </c>
      <c r="X11" s="14" t="inlineStr">
        <is>
          <t>vorhanden</t>
        </is>
      </c>
      <c r="Y11" s="14" t="inlineStr">
        <is>
          <t>nicht erwähnt</t>
        </is>
      </c>
      <c r="Z11" s="14" t="inlineStr">
        <is>
          <t>vorhanden</t>
        </is>
      </c>
      <c r="AA11" s="14" t="inlineStr">
        <is>
          <t>nicht erwähnt</t>
        </is>
      </c>
      <c r="AB11" s="14" t="inlineStr">
        <is>
          <t>Sehnenansätze beider Ellenbogen; Haaransatz und beide Beine; betroffenes geschwollenes Gelenk nicht lokalisiert.</t>
        </is>
      </c>
      <c r="AC11" s="14" t="inlineStr">
        <is>
          <t>Druckschmerzhafte Sehnenansätze beider Ellenbogen, ein geschwollenes und ein druckschmerzhaftes Gelenk ohne nähere Lokalisation. Morgensteifigkeit ohne Dauerangabe. Diskrete Rötung am Haaransatz und ausgeprägte Psoriasisplaques beider Beine. Frühere Nagelbeteiligung anamnestisch dokumentiert.</t>
        </is>
      </c>
      <c r="AD11" s="14" t="n"/>
      <c r="AE11" s="14" t="n"/>
      <c r="AF11" s="14" t="inlineStr">
        <is>
          <t>Aktiv</t>
        </is>
      </c>
      <c r="AG11" s="14" t="inlineStr">
        <is>
          <t>Unter seit 2016 eingesetztem Methotrexat weiterhin Gelenk- und Sehnenschmerzen sowie aktive Hautpsoriasis trotz gewisser Hautbesserung. PsA ärztlich als klar unzureichend therapiert beurteilt; Erweiterung um ein Biologikum mit bevorzugter IL-17-Hemmung und Studienevaluation vorgesehen.</t>
        </is>
      </c>
      <c r="AH11" s="14" t="inlineStr">
        <is>
          <t>TJC und SJC ausdrücklich als einzelne Gelenkzahlen dokumentiert; Zählbereich nicht angegeben.
Laborwerte und HAQ ohne eigenes Messdatum; keine automatische Datierung auf den Referenztermin.
Nagelbeteiligung nur anamnestisch, kein aktueller Nagelbefund.
Geplante Biologikaerweiterung mit bevorzugter IL-17-Hemmung ohne benannten Wirkstoff; daher kein zusätzliches Medikamentenobjekt.
Weitere Scores ohne eigenes Messdatum: FACIT 12 (Original: „FACIT: 12“), BASFI 0,2 (Original: „BASFI: 0,2“), BASDI 3,65 (Original: „BASDI: 3,65“), SPARCC 2 (Original: „SPARCC: 2“), DAS28 2,95 (Original: „DAS28: 2,95“); jeweils 36_Baseline.docx. Bezeichnung BASDI unverändert übernommen.
CRP-Auswahl: erster dokumentierter Messwert in der Briefreihenfolge; daraus kein genaues Labordatum abgeleitet.</t>
        </is>
      </c>
    </row>
    <row r="12" ht="375" customHeight="1">
      <c r="A12" s="17" t="n">
        <v>36</v>
      </c>
      <c r="B12" s="18" t="inlineStr">
        <is>
          <t>PsA</t>
        </is>
      </c>
      <c r="C12" s="18" t="inlineStr">
        <is>
          <t>Follow-up</t>
        </is>
      </c>
      <c r="D12" s="19" t="n">
        <v>44347</v>
      </c>
      <c r="E12" s="19" t="n">
        <v>44347</v>
      </c>
      <c r="F12" s="17">
        <f>IF(E12="","",E12-D12)</f>
        <v/>
      </c>
      <c r="G12" s="20" t="n"/>
      <c r="H12" s="20" t="n"/>
      <c r="I12" s="20" t="n"/>
      <c r="J12" s="20" t="n"/>
      <c r="K12" s="20" t="n"/>
      <c r="L12" s="20" t="n"/>
      <c r="M12" s="20" t="n"/>
      <c r="N12" s="18" t="inlineStr">
        <is>
          <t>Ja</t>
        </is>
      </c>
      <c r="O12" s="20" t="n">
        <v>1.3</v>
      </c>
      <c r="P12" s="18" t="inlineStr">
        <is>
          <t>=</t>
        </is>
      </c>
      <c r="Q12" s="18" t="inlineStr">
        <is>
          <t>mg/l</t>
        </is>
      </c>
      <c r="R12" s="20" t="n"/>
      <c r="S12" s="18" t="inlineStr">
        <is>
          <t>Secukinumab; Methotrexat; Enstilar Schaum; Silkis</t>
        </is>
      </c>
      <c r="T12" s="18" t="inlineStr">
        <is>
          <t>Sehr gute klinische Krankheitskontrolle mit gelegentlichen Beschwerden am rechten Ellenbogen; klinisch keine Gelenkschwellungen oder Enthesitiszeichen.</t>
        </is>
      </c>
      <c r="U12" s="18" t="inlineStr">
        <is>
          <t>vorhanden</t>
        </is>
      </c>
      <c r="V12" s="18" t="inlineStr">
        <is>
          <t>nicht erwähnt</t>
        </is>
      </c>
      <c r="W12" s="18" t="inlineStr">
        <is>
          <t>verneint</t>
        </is>
      </c>
      <c r="X12" s="18" t="inlineStr">
        <is>
          <t>verneint</t>
        </is>
      </c>
      <c r="Y12" s="18" t="inlineStr">
        <is>
          <t>verneint</t>
        </is>
      </c>
      <c r="Z12" s="18" t="inlineStr">
        <is>
          <t>vorhanden</t>
        </is>
      </c>
      <c r="AA12" s="18" t="inlineStr">
        <is>
          <t>nicht erwähnt</t>
        </is>
      </c>
      <c r="AB12" s="18" t="inlineStr">
        <is>
          <t>Rechter Ellenbogen; Haut an Unterschenkeln beidseits, Stamm und gering an der Kopfhaut.</t>
        </is>
      </c>
      <c r="AC12" s="18" t="inlineStr">
        <is>
          <t>Gelegentliche Beschwerden am rechten Ellenbogen ohne erforderliche NSAR-Einnahme. Keine druckschmerzhaften oder geschwollenen Gelenke, klinisch kein Hinweis auf Enthesitis und keine Daktylitis. Nächtliche Rückenschmerzen verneint; übrige axiale Beschwerden nicht beurteilt. Wenig Schuppung und Rötung, besonders an den Unterschenkeln; Rest­rötungen an Stamm und Kopfhaut. Sonographisch am 31.05.2021 weiterhin aktive Enthesitis am rechten lateralen Ellenbogen trotz fehlender klinischer Enthesitiszeichen.</t>
        </is>
      </c>
      <c r="AD12" s="18" t="inlineStr">
        <is>
          <t>Secukinumab plus Methotrexat</t>
        </is>
      </c>
      <c r="AE12" s="18" t="inlineStr">
        <is>
          <t>Nicht beurteilbar</t>
        </is>
      </c>
      <c r="AF12" s="18" t="inlineStr">
        <is>
          <t>Gut kontrolliert</t>
        </is>
      </c>
      <c r="AG12" s="18" t="inlineStr">
        <is>
          <t>Unter Secukinumab seit Dezember 2020 plus Methotrexat ärztlich sehr gute klinische Krankheitskontrolle; Fortführung empfohlen. Haut deutlich gebessert mit residualer Rötung und Schuppung. Gelegentliche Ellenbogenbeschwerden und sonographisch persistierende Enthesitis bei klinisch unauffälligem Gelenk- und Enthesitisbefund. Ausmaß einer muskuloskelettalen Besserung nicht ausdrücklich beschrieben.</t>
        </is>
      </c>
      <c r="AH12" s="18" t="inlineStr">
        <is>
          <t>Referenztermin 31.05.2021 als scan­nächster ausdrücklich dokumentierter ambulanter Besuch; weiterer Besuch am 09.07.2021.
Anamnese, klinischer Untersuchungsbefund und Labor sind innerhalb des zusammenfassenden Briefes keinem der beiden Besuche eindeutig zugeordnet.
Ansprechen nicht beurteilbar: ausdrücklich sehr gute aktuelle muskuloskelettale Kontrolle, aber kein ausreichend eingeordneter klinischer Veränderungsnachweis; die deutliche Besserung betrifft ausdrücklich die Haut.
Enthesitisstatus bezieht sich auf die klinische Untersuchung. Sonographisch am 31.05.2021 weiterhin aktive Enthesitis; diese wird getrennt erhalten.
Nur nächtliche Rückenschmerzen ausdrücklich verneint; daraus keine umfassende Verneinung axialer Beschwerden abgeleitet.
Keine druckschmerzhaften oder geschwollenen Gelenke erlaubt keine Übernahme standardisierter TJC- oder SJC-Nullwerte.
36_FollowUp.docx: „MDA nicht erreicht VAS &gt;20/100,“; VAS-Domäne und Untersuchungstag nicht eindeutig angegeben.
Hautstatus enthält die unvollständige Formulierung „Plaques mehr“; anamnestisch ausdrücklich keine Psoriasisplaques mehr, bei verbleibender Rötung und Schuppung.
NSAR laut Anamnese nicht erforderlich; kein konkreter Wirkstoff und keine laufende Einnahme dokumentiert.
CRP-Auswahl: erster dokumentierter Messwert in der Briefreihenfolge; daraus kein genaues Labordatum abgeleitet.</t>
        </is>
      </c>
    </row>
    <row r="13" ht="105" customHeight="1">
      <c r="A13" s="13" t="n">
        <v>37</v>
      </c>
      <c r="B13" s="14" t="inlineStr">
        <is>
          <t>PsA</t>
        </is>
      </c>
      <c r="C13" s="14" t="inlineStr">
        <is>
          <t>Baseline</t>
        </is>
      </c>
      <c r="D13" s="15" t="n">
        <v>44137</v>
      </c>
      <c r="E13" s="15" t="n">
        <v>44137</v>
      </c>
      <c r="F13" s="13">
        <f>IF(E13="","",E13-D13)</f>
        <v/>
      </c>
      <c r="G13" s="16" t="n"/>
      <c r="H13" s="16" t="n"/>
      <c r="I13" s="16" t="n"/>
      <c r="J13" s="16" t="n"/>
      <c r="K13" s="16" t="n"/>
      <c r="L13" s="16" t="n"/>
      <c r="M13" s="16" t="n"/>
      <c r="N13" s="14" t="inlineStr">
        <is>
          <t>Ja</t>
        </is>
      </c>
      <c r="O13" s="16" t="n">
        <v>9.1</v>
      </c>
      <c r="P13" s="14" t="inlineStr">
        <is>
          <t>=</t>
        </is>
      </c>
      <c r="Q13" s="14" t="inlineStr">
        <is>
          <t>mg/l</t>
        </is>
      </c>
      <c r="R13" s="16" t="n"/>
      <c r="S13" s="14" t="inlineStr">
        <is>
          <t>Prednisolon</t>
        </is>
      </c>
      <c r="T13" s="14" t="inlineStr">
        <is>
          <t>Aktive periphere PsA mit dauerhaften Arthralgien, Arthritis, Enthesitis und Daktylitis.</t>
        </is>
      </c>
      <c r="U13" s="14" t="inlineStr">
        <is>
          <t>vorhanden</t>
        </is>
      </c>
      <c r="V13" s="14" t="inlineStr">
        <is>
          <t>nicht erwähnt</t>
        </is>
      </c>
      <c r="W13" s="14" t="inlineStr">
        <is>
          <t>vorhanden</t>
        </is>
      </c>
      <c r="X13" s="14" t="inlineStr">
        <is>
          <t>vorhanden</t>
        </is>
      </c>
      <c r="Y13" s="14" t="inlineStr">
        <is>
          <t>vorhanden</t>
        </is>
      </c>
      <c r="Z13" s="14" t="inlineStr">
        <is>
          <t>nicht erwähnt</t>
        </is>
      </c>
      <c r="AA13" s="14" t="inlineStr">
        <is>
          <t>nicht erwähnt</t>
        </is>
      </c>
      <c r="AB13" s="14" t="inlineStr">
        <is>
          <t>Multiple periphere Gelenkregionen; klinische Seitenzuordnung nicht angegeben.</t>
        </is>
      </c>
      <c r="AC13" s="14" t="inlineStr">
        <is>
          <t>Dauerhafte Arthralgien und berichtete Gelenkschwellungen an multiplen Stellen. Klinisch Arthritis, Enthesitis und Daktylitis; genaue klinische Lokalisation und funktionelle Einschränkungen nicht angegeben.</t>
        </is>
      </c>
      <c r="AD13" s="14" t="n"/>
      <c r="AE13" s="14" t="n"/>
      <c r="AF13" s="14" t="inlineStr">
        <is>
          <t>Aktiv</t>
        </is>
      </c>
      <c r="AG13" s="14" t="inlineStr">
        <is>
          <t>Frühere Basistherapien wegen Unverträglichkeit abgesetzt; aktuell Überbrückung mit Prednisolon bei aktiver PsA. Beginn einer Secukinumab-Studientherapie am 13.11.2020 geplant.</t>
        </is>
      </c>
      <c r="AH13" s="14" t="inlineStr">
        <is>
          <t>Kein eigenständiges Labordatum für den CRP-Wert angegeben.
Keine laufende Basistherapie dokumentiert; Prednisolon dient der Überbrückung.
Bildgebende Lokalisationen wurden nicht als klinische Untersuchungsbefunde übernommen.
CRP-Auswahl: erster dokumentierter Messwert in der Briefreihenfolge; daraus kein genaues Labordatum abgeleitet.</t>
        </is>
      </c>
    </row>
    <row r="14" ht="240" customHeight="1">
      <c r="A14" s="17" t="n">
        <v>37</v>
      </c>
      <c r="B14" s="18" t="inlineStr">
        <is>
          <t>PsA</t>
        </is>
      </c>
      <c r="C14" s="18" t="inlineStr">
        <is>
          <t>Follow-up</t>
        </is>
      </c>
      <c r="D14" s="19" t="n">
        <v>44337</v>
      </c>
      <c r="E14" s="19" t="n">
        <v>44323</v>
      </c>
      <c r="F14" s="17">
        <f>IF(E14="","",E14-D14)</f>
        <v/>
      </c>
      <c r="G14" s="20" t="n"/>
      <c r="H14" s="20" t="n"/>
      <c r="I14" s="20" t="n"/>
      <c r="J14" s="20" t="n"/>
      <c r="K14" s="20" t="n"/>
      <c r="L14" s="20" t="n"/>
      <c r="M14" s="20" t="n"/>
      <c r="N14" s="18" t="inlineStr">
        <is>
          <t>Ja</t>
        </is>
      </c>
      <c r="O14" s="20" t="n">
        <v>6.5</v>
      </c>
      <c r="P14" s="18" t="inlineStr">
        <is>
          <t>=</t>
        </is>
      </c>
      <c r="Q14" s="18" t="inlineStr">
        <is>
          <t>mg/l</t>
        </is>
      </c>
      <c r="R14" s="20" t="n"/>
      <c r="S14" s="18" t="inlineStr">
        <is>
          <t>Secukinumab</t>
        </is>
      </c>
      <c r="T14" s="18" t="inlineStr">
        <is>
          <t>Weiterhin starke Rückenschmerzen und beidseitige ISG-Beschwerden vor allem in Ruhe bei gebessertem peripherem Befall.</t>
        </is>
      </c>
      <c r="U14" s="18" t="inlineStr">
        <is>
          <t>vorhanden</t>
        </is>
      </c>
      <c r="V14" s="18" t="inlineStr">
        <is>
          <t>vorhanden</t>
        </is>
      </c>
      <c r="W14" s="18" t="inlineStr">
        <is>
          <t>unklar</t>
        </is>
      </c>
      <c r="X14" s="18" t="inlineStr">
        <is>
          <t>unklar</t>
        </is>
      </c>
      <c r="Y14" s="18" t="inlineStr">
        <is>
          <t>unklar</t>
        </is>
      </c>
      <c r="Z14" s="18" t="inlineStr">
        <is>
          <t>unklar</t>
        </is>
      </c>
      <c r="AA14" s="18" t="inlineStr">
        <is>
          <t>unklar</t>
        </is>
      </c>
      <c r="AB14" s="18" t="inlineStr">
        <is>
          <t>Rücken und ISG beidseits; periphere Gelenke ohne aktuelle genaue Lokalisation.</t>
        </is>
      </c>
      <c r="AC14" s="18" t="inlineStr">
        <is>
          <t>Periphere Schmerzen und Schwellungen gebessert, vollständige Rückbildung nicht dokumentiert. Weiterhin starke Rückenschmerzen im beidseitigen ISG-Bereich, besonders in Ruhe; entzündliche Aktivität und degenerative Veränderungen werden nebeneinander beschrieben. Daktylitis, Enthesitis, Haut- und Nagelbeteiligung deutlich gebessert, aktueller Restbefund nicht konkretisiert.</t>
        </is>
      </c>
      <c r="AD14" s="18" t="inlineStr">
        <is>
          <t>Secukinumab</t>
        </is>
      </c>
      <c r="AE14" s="18" t="inlineStr">
        <is>
          <t>Partiell</t>
        </is>
      </c>
      <c r="AF14" s="18" t="inlineStr">
        <is>
          <t>Aktiv</t>
        </is>
      </c>
      <c r="AG14" s="18" t="inlineStr">
        <is>
          <t>Unter Secukinumab deutliche Besserung des peripheren muskuloskelettalen Befalls sowie der Haut- und Nagelbeteiligung und Absetzen von Prednisolon. Weiterhin relevante ISG-Beschwerden mit entzündlicher und degenerativer Komponente; Secukinumab soll unverändert fortgeführt werden.</t>
        </is>
      </c>
      <c r="AH14" s="18" t="inlineStr">
        <is>
          <t>CRP vom 13.11.2020: erster Messwert nach Reihenfolge, verbindlich übernommen; spätere Werte vom 05.02.2021, 07.05.2021 und 21.05.2021 nicht ausgewählt.
Der 21.05.2021 ist als Labor- und PET-Tag dokumentiert, nicht eindeutig als rheumatologischer Besuch.
Gebesserte Schwellungen, Enthesitis, Daktylitis, Haut- und Nagelbeteiligung sind beschrieben; ob diese aktuell noch bestehen oder vollständig rückgebildet sind, bleibt unklar.
Partielles muskuloskelettales Ansprechen wegen deutlicher peripherer Besserung bei fortbestehenden relevanten axialen Beschwerden mit ärztlich beschriebener Aktivität.
Die Aussage „Gemessen an den Vorbefunden/Vorgeschichte ist die Erkrankung stabil.“ belegt keine Remission oder ausreichende Kontrolle.
CRP-Auswahl: erster dokumentierter Messwert in der Briefreihenfolge; daraus kein genaues Labordatum abgeleitet.</t>
        </is>
      </c>
    </row>
    <row r="15" ht="150" customHeight="1">
      <c r="A15" s="13" t="n">
        <v>38</v>
      </c>
      <c r="B15" s="14" t="inlineStr">
        <is>
          <t>PsA</t>
        </is>
      </c>
      <c r="C15" s="14" t="inlineStr">
        <is>
          <t>Baseline</t>
        </is>
      </c>
      <c r="D15" s="15" t="n">
        <v>44109</v>
      </c>
      <c r="E15" s="15" t="n">
        <v>44109</v>
      </c>
      <c r="F15" s="13">
        <f>IF(E15="","",E15-D15)</f>
        <v/>
      </c>
      <c r="G15" s="16" t="n"/>
      <c r="H15" s="16" t="n"/>
      <c r="I15" s="16" t="n"/>
      <c r="J15" s="16" t="n"/>
      <c r="K15" s="16" t="n"/>
      <c r="L15" s="16" t="n"/>
      <c r="M15" s="16" t="n"/>
      <c r="N15" s="14" t="inlineStr">
        <is>
          <t>Ja</t>
        </is>
      </c>
      <c r="O15" s="16" t="n">
        <v>12.4</v>
      </c>
      <c r="P15" s="14" t="inlineStr">
        <is>
          <t>=</t>
        </is>
      </c>
      <c r="Q15" s="14" t="inlineStr">
        <is>
          <t>mg/l</t>
        </is>
      </c>
      <c r="R15" s="16" t="n"/>
      <c r="S15" s="14" t="n"/>
      <c r="T15" s="14" t="inlineStr">
        <is>
          <t>Aktive periphere Arthritis mit Gelenkschwellungen, Enthesenbeschwerden und Schmerzen beim Gehen.</t>
        </is>
      </c>
      <c r="U15" s="14" t="inlineStr">
        <is>
          <t>vorhanden</t>
        </is>
      </c>
      <c r="V15" s="14" t="inlineStr">
        <is>
          <t>vorhanden</t>
        </is>
      </c>
      <c r="W15" s="14" t="inlineStr">
        <is>
          <t>vorhanden</t>
        </is>
      </c>
      <c r="X15" s="14" t="inlineStr">
        <is>
          <t>vorhanden</t>
        </is>
      </c>
      <c r="Y15" s="14" t="inlineStr">
        <is>
          <t>nicht erwähnt</t>
        </is>
      </c>
      <c r="Z15" s="14" t="inlineStr">
        <is>
          <t>vorhanden</t>
        </is>
      </c>
      <c r="AA15" s="14" t="inlineStr">
        <is>
          <t>nicht erwähnt</t>
        </is>
      </c>
      <c r="AB15" s="14" t="inlineStr">
        <is>
          <t>Rechtes Handgelenk, beide Ellenbogen, Plantarfaszie/Fußbett, Steißregion und Kopfhaut.</t>
        </is>
      </c>
      <c r="AC15" s="14" t="inlineStr">
        <is>
          <t>Mehrere druckschmerzhafte und geschwollene Gelenke, besonders rechtes Handgelenk; enthesialer Druckschmerz beider Ellenbogen und der Plantarfaszie. Schwanenhalsdeformitäten am dritten und vierten Strahl links. Steißbeschwerden seit wenigen Wochen nach Ruhe oder längerem Sitzen; Wirbelsäule frei beweglich. Psoriasiforme Plaques am Capillitium.</t>
        </is>
      </c>
      <c r="AD15" s="14" t="n"/>
      <c r="AE15" s="14" t="n"/>
      <c r="AF15" s="14" t="inlineStr">
        <is>
          <t>Aktiv</t>
        </is>
      </c>
      <c r="AG15" s="14" t="inlineStr">
        <is>
          <t>Aktive PsA ohne aktuelle immunsuppressive Basistherapie nach unzureichender MTX-Wirksamkeit. Biologikatherapie empfohlen; im Baseline-Brief Beginn von Secukinumab ab November 2020 dokumentiert.</t>
        </is>
      </c>
      <c r="AH15" s="14" t="inlineStr">
        <is>
          <t>Zum Referenztermin ausdrücklich keine immunsuppressive Basistherapie.
CRP ohne eigenes Labordatum; erster Messwert nach Reihenfolge verbindlich übernommen.
Steißbeschwerden klinisch dokumentiert, entzündliche Ursache nicht ausdrücklich gesichert.
Frühere MTX- und Steroidtherapien gehören zu älteren Therapiephasen und sind nicht als aktuelle Medikation aufgeführt.
CRP-Auswahl: erster dokumentierter Messwert in der Briefreihenfolge; daraus kein genaues Labordatum abgeleitet.</t>
        </is>
      </c>
    </row>
    <row r="16" ht="240" customHeight="1">
      <c r="A16" s="17" t="n">
        <v>38</v>
      </c>
      <c r="B16" s="18" t="inlineStr">
        <is>
          <t>PsA</t>
        </is>
      </c>
      <c r="C16" s="18" t="inlineStr">
        <is>
          <t>Follow-up</t>
        </is>
      </c>
      <c r="D16" s="19" t="n">
        <v>44298</v>
      </c>
      <c r="E16" s="19" t="n">
        <v>44298</v>
      </c>
      <c r="F16" s="17">
        <f>IF(E16="","",E16-D16)</f>
        <v/>
      </c>
      <c r="G16" s="20" t="n"/>
      <c r="H16" s="20" t="n"/>
      <c r="I16" s="20" t="n"/>
      <c r="J16" s="20" t="n"/>
      <c r="K16" s="20" t="n"/>
      <c r="L16" s="20" t="n"/>
      <c r="M16" s="20" t="n"/>
      <c r="N16" s="18" t="inlineStr">
        <is>
          <t>Ja</t>
        </is>
      </c>
      <c r="O16" s="20" t="n">
        <v>5.5</v>
      </c>
      <c r="P16" s="18" t="inlineStr">
        <is>
          <t>=</t>
        </is>
      </c>
      <c r="Q16" s="18" t="inlineStr">
        <is>
          <t>mg/l</t>
        </is>
      </c>
      <c r="R16" s="20" t="n"/>
      <c r="S16" s="18" t="inlineStr">
        <is>
          <t>Secukinumab</t>
        </is>
      </c>
      <c r="T16" s="18" t="inlineStr">
        <is>
          <t>Verbleibende Schmerzen einiger Fingergelenke und der Sehnenansätze an den Ellenbogen; Zehen aktuell schmerzfrei.</t>
        </is>
      </c>
      <c r="U16" s="18" t="inlineStr">
        <is>
          <t>vorhanden</t>
        </is>
      </c>
      <c r="V16" s="18" t="inlineStr">
        <is>
          <t>nicht erwähnt</t>
        </is>
      </c>
      <c r="W16" s="18" t="inlineStr">
        <is>
          <t>nicht erwähnt</t>
        </is>
      </c>
      <c r="X16" s="18" t="inlineStr">
        <is>
          <t>vorhanden</t>
        </is>
      </c>
      <c r="Y16" s="18" t="inlineStr">
        <is>
          <t>nicht erwähnt</t>
        </is>
      </c>
      <c r="Z16" s="18" t="inlineStr">
        <is>
          <t>unklar</t>
        </is>
      </c>
      <c r="AA16" s="18" t="inlineStr">
        <is>
          <t>nicht erwähnt</t>
        </is>
      </c>
      <c r="AB16" s="18" t="inlineStr">
        <is>
          <t>Einige Fingergelenke und Sehnenansätze der Ellenbogen; Zehen aktuell schmerzfrei.</t>
        </is>
      </c>
      <c r="AC16" s="18" t="inlineStr">
        <is>
          <t>Fortbestehende Ellenbogen-Enthesenschmerzen und Schmerzen einiger Fingergelenke ohne Seitenangabe. Keine konkrete körperliche Gelenkuntersuchung dokumentiert. Haut deutlich gebessert, aktueller Restbefall nicht beschrieben.</t>
        </is>
      </c>
      <c r="AD16" s="18" t="inlineStr">
        <is>
          <t>Secukinumab</t>
        </is>
      </c>
      <c r="AE16" s="18" t="inlineStr">
        <is>
          <t>Nicht beurteilbar</t>
        </is>
      </c>
      <c r="AF16" s="18" t="inlineStr">
        <is>
          <t>Gut kontrolliert</t>
        </is>
      </c>
      <c r="AG16" s="18" t="inlineStr">
        <is>
          <t>Unter regelmäßigem Secukinumab ärztlich gut kontrollierte Erkrankung bei verbleibenden Finger- und Ellenbogen-Enthesenbeschwerden und aktuell schmerzfreien Zehen. Haut deutlich gebessert. Das beschriebene deutliche Therapieansprechen wird überwiegend bildgebend begründet; das Ausmaß der muskuloskelettalen klinischen Veränderung bleibt unklar. Fortführung mit 300 mg alle vier Wochen empfohlen.</t>
        </is>
      </c>
      <c r="AH16" s="18" t="inlineStr">
        <is>
          <t>CRP vom 12.04.2021; erster Messwert nach Reihenfolge verbindlich übernommen.
Ansprechen nicht beurteilbar: Die deutliche Ansprechaussage steht im PET-Befund und wird in der klinischen Beurteilung bildgebend begründet. Ein eindeutig einzuordnendes Ausmaß der muskuloskelettalen klinischen Besserung ist nicht separat dokumentiert.
Hautbeteiligung unklar: deutliche Besserung dokumentiert, aber weder aktueller Restbefall noch vollständige Abheilung ausdrücklich beschrieben.
Sonographische Aktivität ersetzt keinen klinischen Schwellungsbefund. Originalangabe: „aktive Entzündung (Enthesitis / Synovitis / Tenosynovitis)“; Quelle: 38_FollowUp.docx, Arthrosonographie 12.04.2021.
CRP-Auswahl: erster dokumentierter Messwert in der Briefreihenfolge; daraus kein genaues Labordatum abgeleitet.</t>
        </is>
      </c>
    </row>
    <row r="17" ht="300" customHeight="1">
      <c r="A17" s="13" t="n">
        <v>39</v>
      </c>
      <c r="B17" s="14" t="inlineStr">
        <is>
          <t>PsA</t>
        </is>
      </c>
      <c r="C17" s="14" t="inlineStr">
        <is>
          <t>Baseline</t>
        </is>
      </c>
      <c r="D17" s="15" t="n">
        <v>43973</v>
      </c>
      <c r="E17" s="15" t="n">
        <v>43951</v>
      </c>
      <c r="F17" s="13">
        <f>IF(E17="","",E17-D17)</f>
        <v/>
      </c>
      <c r="G17" s="16" t="n"/>
      <c r="H17" s="16" t="n"/>
      <c r="I17" s="16" t="n">
        <v>5</v>
      </c>
      <c r="J17" s="16" t="n">
        <v>0</v>
      </c>
      <c r="K17" s="16" t="n"/>
      <c r="L17" s="16" t="n">
        <v>0.6</v>
      </c>
      <c r="M17" s="16" t="n">
        <v>1.75</v>
      </c>
      <c r="N17" s="14" t="inlineStr">
        <is>
          <t>Ja</t>
        </is>
      </c>
      <c r="O17" s="16" t="n">
        <v>5.2</v>
      </c>
      <c r="P17" s="14" t="inlineStr">
        <is>
          <t>&lt;</t>
        </is>
      </c>
      <c r="Q17" s="14" t="inlineStr">
        <is>
          <t>mg/l</t>
        </is>
      </c>
      <c r="R17" s="16" t="n">
        <v>4</v>
      </c>
      <c r="S17" s="14" t="inlineStr">
        <is>
          <t>Methotrexat; Etoricoxib</t>
        </is>
      </c>
      <c r="T17" s="14" t="inlineStr">
        <is>
          <t>Aktive axiale und periphere PsA mit anhaltenden Gelenk- und Rückenschmerzen sowie ausgeprägter Morgensteifigkeit.</t>
        </is>
      </c>
      <c r="U17" s="14" t="inlineStr">
        <is>
          <t>vorhanden</t>
        </is>
      </c>
      <c r="V17" s="14" t="inlineStr">
        <is>
          <t>vorhanden</t>
        </is>
      </c>
      <c r="W17" s="14" t="inlineStr">
        <is>
          <t>verneint</t>
        </is>
      </c>
      <c r="X17" s="14" t="inlineStr">
        <is>
          <t>nicht erwähnt</t>
        </is>
      </c>
      <c r="Y17" s="14" t="inlineStr">
        <is>
          <t>nicht erwähnt</t>
        </is>
      </c>
      <c r="Z17" s="14" t="inlineStr">
        <is>
          <t>vorhanden</t>
        </is>
      </c>
      <c r="AA17" s="14" t="inlineStr">
        <is>
          <t>nicht erwähnt</t>
        </is>
      </c>
      <c r="AB17" s="14" t="inlineStr">
        <is>
          <t>Rechtes OSG, linke Großzehe, linke Schulter, linker Ellenbogen, Knie, tiefer Rücken und HWS; Haut an Kopfhaut und beiden Armen.</t>
        </is>
      </c>
      <c r="AC17" s="14" t="inlineStr">
        <is>
          <t>Morgensteifigkeit eine Stunde, teilweise ganztägig. Druckschmerzhafte linke Schulter, linker Ellenbogen und Kniegelenke; SJC 0, Patrick-Zeichen beidseits positiv. Aktive Kopfhautpsoriasis und kleine blassrosa Läsionen beider Arme. Zusätzlich bekannte Gichtarthropathie und degenerative Wirbelsäulenveränderungen.</t>
        </is>
      </c>
      <c r="AD17" s="14" t="n"/>
      <c r="AE17" s="14" t="n"/>
      <c r="AF17" s="14" t="inlineStr">
        <is>
          <t>Aktiv</t>
        </is>
      </c>
      <c r="AG17" s="14" t="inlineStr">
        <is>
          <t>Langjährige axiale und periphere Beschwerden mit fortbestehender entzündlicher Aktivität. Ibuprofen und Diclofenac ohne ausreichende Wirkung; Beginn von Methotrexat und Umstellung auf Etoricoxib. Bei unzureichendem Erfolg zeitnahe Erweiterung auf Adalimumab vorgesehen.</t>
        </is>
      </c>
      <c r="AH17" s="14" t="inlineStr">
        <is>
          <t>Der Referenzbesuch ist am 30.04.2020 belegt; der zusammenfassende Brief enthält auch Therapieangaben seit 05/2020. Einzelne Untersuchungs- und Labortage sind nicht gesondert ausgewiesen.
TJC 5 ausdrücklich dokumentiert; Zählbereiche von TJC und SJC nicht angegeben. Keine zusätzliche Gelenkzählung aus dem Freitext.
CRP ohne eigenes Messdatum; verbindlich erkannter erster Messwert übernommen.
BSG aus dem ersten Wert von „BKS 04/21 mm/h“ gemäß Studienkonvention; Messdatum nicht genannt.
Schwellungsstatus nach aktuellem klinischem Gelenkstatus SJC 0; die PET-Anamnese „Gelenkschwellungen und Gelenkbeschwerden seit 15 J. ohne Therapie, derzeit aktive Erkrankung.“ beschreibt keinen eindeutig datierten aktuellen Schwellungsbefund.
Weitere dokumentierte Scores: BASMI 2 und BAS-G 7. Originalbelege: „Gelenkstatus: SJC 0 TJC Schulter links, Ellenbogen links, Kniegelenke, Patrick-Zeichen bds. positiv, BASMI 2, PASI 0,6“ und „HAQ 1,75; BAS-G 7“ (39_Baseline.docx).
CRP-Auswahl: erster dokumentierter Messwert in der Briefreihenfolge; daraus kein genaues Labordatum abgeleitet.</t>
        </is>
      </c>
    </row>
    <row r="18" ht="255" customHeight="1">
      <c r="A18" s="17" t="n">
        <v>39</v>
      </c>
      <c r="B18" s="18" t="inlineStr">
        <is>
          <t>PsA</t>
        </is>
      </c>
      <c r="C18" s="18" t="inlineStr">
        <is>
          <t>Follow-up</t>
        </is>
      </c>
      <c r="D18" s="19" t="n">
        <v>44135</v>
      </c>
      <c r="E18" s="19" t="n">
        <v>44140</v>
      </c>
      <c r="F18" s="17">
        <f>IF(E18="","",E18-D18)</f>
        <v/>
      </c>
      <c r="G18" s="20" t="n"/>
      <c r="H18" s="20" t="n"/>
      <c r="I18" s="20" t="n">
        <v>3</v>
      </c>
      <c r="J18" s="20" t="n">
        <v>0</v>
      </c>
      <c r="K18" s="20" t="n"/>
      <c r="L18" s="20" t="n">
        <v>0.3</v>
      </c>
      <c r="M18" s="20" t="n">
        <v>1.88</v>
      </c>
      <c r="N18" s="18" t="inlineStr">
        <is>
          <t>Ja</t>
        </is>
      </c>
      <c r="O18" s="20" t="n">
        <v>5.2</v>
      </c>
      <c r="P18" s="18" t="inlineStr">
        <is>
          <t>&lt;</t>
        </is>
      </c>
      <c r="Q18" s="18" t="inlineStr">
        <is>
          <t>mg/l</t>
        </is>
      </c>
      <c r="R18" s="20" t="n">
        <v>6</v>
      </c>
      <c r="S18" s="18" t="inlineStr">
        <is>
          <t>Methotrexat; Adalimumab; Etoricoxib; Allopurinol</t>
        </is>
      </c>
      <c r="T18" s="18" t="inlineStr">
        <is>
          <t>Weiterhin schmerzhafte axiale und periphere PsA mit Beschwerden im tiefen Rücken, in der HWS und in den Knien bei unzureichender Krankheitskontrolle.</t>
        </is>
      </c>
      <c r="U18" s="18" t="inlineStr">
        <is>
          <t>vorhanden</t>
        </is>
      </c>
      <c r="V18" s="18" t="inlineStr">
        <is>
          <t>vorhanden</t>
        </is>
      </c>
      <c r="W18" s="18" t="inlineStr">
        <is>
          <t>verneint</t>
        </is>
      </c>
      <c r="X18" s="18" t="inlineStr">
        <is>
          <t>nicht erwähnt</t>
        </is>
      </c>
      <c r="Y18" s="18" t="inlineStr">
        <is>
          <t>nicht erwähnt</t>
        </is>
      </c>
      <c r="Z18" s="18" t="inlineStr">
        <is>
          <t>vorhanden</t>
        </is>
      </c>
      <c r="AA18" s="18" t="inlineStr">
        <is>
          <t>nicht erwähnt</t>
        </is>
      </c>
      <c r="AB18" s="18" t="inlineStr">
        <is>
          <t>Tiefer Rücken, HWS, Knie; Kopfhaut.</t>
        </is>
      </c>
      <c r="AC18" s="18" t="inlineStr">
        <is>
          <t>TJC 3, SJC 0 und Patrick-Zeichen beidseits positiv. Anamnestisch weniger Schwellungen, weiterhin Rücken-, HWS- und Knieschmerzen. Kopfhautpsoriasis deutlich gebessert, zuvor blutige und verkrustete Läsionen fast vollständig abgeheilt; aktuell noch Kopfhautbefall.</t>
        </is>
      </c>
      <c r="AD18" s="18" t="inlineStr">
        <is>
          <t>Adalimumab und Methotrexat</t>
        </is>
      </c>
      <c r="AE18" s="18" t="inlineStr">
        <is>
          <t>Partiell</t>
        </is>
      </c>
      <c r="AF18" s="18" t="inlineStr">
        <is>
          <t>Aktiv</t>
        </is>
      </c>
      <c r="AG18" s="18" t="inlineStr">
        <is>
          <t>Unter Adalimumab/Methotrexat nach etwa drei Monaten leichte, subjektiv unzureichende Gelenkbesserung und weniger Schwellungen; axiale und Kniebeschwerden bestehen fort. Haut deutlich gebessert. Methotrexat seit Adalimumab-Beginn irrtümlich nur zweiwöchentlich eingenommen; wöchentliche Gabe korrigiert und wegen Unwohlsein/Übelkeit auf subkutan umgestellt. Kombination zunächst fortgeführt, Studienwechsel beziehungsweise anderes Biologikum erwogen.</t>
        </is>
      </c>
      <c r="AH18" s="18" t="inlineStr">
        <is>
          <t>Referenzbesuch am 05.11.2020; Laborwerte und BSG ohne gesondertes Messdatum.
TJC-/SJC-Zählbereiche nicht angegeben.
CRP: verbindlich erkannter erster Messwert übernommen; kein eigenes Messdatum genannt.
BSG aus dem ersten Wert von „BKS 6/22 mm/h“ gemäß Studienkonvention.
Aktuell SJC 0; anamnestisch weniger Schwellungen im bisherigen Verlauf, daher kein Widerspruch zum aktuellen Untersuchungsbefund.
Scan-Datum der Patientenliste 31.10.2020, PET-Bericht vom 30.10.2020; keine Änderung des klinischen Referenztermins.
Weitere dokumentierte Angaben: VAS Arzt 4, BASFI 9,4 und BASDAI 8,15. Originalbeleg: „VAS Arzt 4; BASFI 9,4; BASDAI 8,15, HAQ 1,88“ (39_FollowUp.docx).
CRP-Auswahl: erster dokumentierter Messwert in der Briefreihenfolge; daraus kein genaues Labordatum abgeleitet.</t>
        </is>
      </c>
    </row>
    <row r="19" ht="195" customHeight="1">
      <c r="A19" s="13" t="n">
        <v>40</v>
      </c>
      <c r="B19" s="14" t="inlineStr">
        <is>
          <t>PsA</t>
        </is>
      </c>
      <c r="C19" s="14" t="inlineStr">
        <is>
          <t>Baseline</t>
        </is>
      </c>
      <c r="D19" s="15" t="n">
        <v>43962</v>
      </c>
      <c r="E19" s="15" t="n">
        <v>43971</v>
      </c>
      <c r="F19" s="13">
        <f>IF(E19="","",E19-D19)</f>
        <v/>
      </c>
      <c r="G19" s="16" t="n">
        <v>17</v>
      </c>
      <c r="H19" s="16" t="n"/>
      <c r="I19" s="16" t="n"/>
      <c r="J19" s="16" t="n"/>
      <c r="K19" s="16" t="n"/>
      <c r="L19" s="16" t="n"/>
      <c r="M19" s="16" t="n">
        <v>0.75</v>
      </c>
      <c r="N19" s="14" t="inlineStr">
        <is>
          <t>Ja</t>
        </is>
      </c>
      <c r="O19" s="16" t="n">
        <v>5.2</v>
      </c>
      <c r="P19" s="14" t="inlineStr">
        <is>
          <t>&lt;</t>
        </is>
      </c>
      <c r="Q19" s="14" t="inlineStr">
        <is>
          <t>mg/l</t>
        </is>
      </c>
      <c r="R19" s="16" t="n">
        <v>5</v>
      </c>
      <c r="S19" s="14" t="inlineStr">
        <is>
          <t>Naproxen; Metamizol</t>
        </is>
      </c>
      <c r="T19" s="14" t="inlineStr">
        <is>
          <t>Persistierende Gelenkbeschwerden bei gemischten entzündlichen und degenerativen Veränderungen; aktive plantare Hautbeteiligung.</t>
        </is>
      </c>
      <c r="U19" s="14" t="inlineStr">
        <is>
          <t>vorhanden</t>
        </is>
      </c>
      <c r="V19" s="14" t="inlineStr">
        <is>
          <t>vorhanden</t>
        </is>
      </c>
      <c r="W19" s="14" t="inlineStr">
        <is>
          <t>verneint</t>
        </is>
      </c>
      <c r="X19" s="14" t="inlineStr">
        <is>
          <t>unklar</t>
        </is>
      </c>
      <c r="Y19" s="14" t="inlineStr">
        <is>
          <t>nicht erwähnt</t>
        </is>
      </c>
      <c r="Z19" s="14" t="inlineStr">
        <is>
          <t>vorhanden</t>
        </is>
      </c>
      <c r="AA19" s="14" t="inlineStr">
        <is>
          <t>nicht erwähnt</t>
        </is>
      </c>
      <c r="AB19" s="14" t="inlineStr">
        <is>
          <t>Hände rechts stärker als links, rechte Hand-PIP, rechtes Knie, Vorfüße beidseits, LWS, laterale Ellbogen und Fußsohlen beidseits.</t>
        </is>
      </c>
      <c r="AC19" s="14" t="inlineStr">
        <is>
          <t>Druckschmerz MTT 1–2 beidseits, sämtlicher rechter Hand-PIP und des rechten Knies; keine Schwellungen. LWS-Schmerzen bei bekannter struktureller Vorerkrankung, axiale PsA nicht gesichert. Morgensteifigkeit etwa 15 Minuten, Schmerzen in Ruhe und Bewegung mit nächtlichem Erwachen. Anamnestisch keine aktuelle Enthesitis, jedoch Druckschmerz an den lateralen Ellbogenenth esen beidseits. Fußsohlen trocken schuppend.</t>
        </is>
      </c>
      <c r="AD19" s="14" t="n"/>
      <c r="AE19" s="14" t="n"/>
      <c r="AF19" s="14" t="inlineStr">
        <is>
          <t>Aktiv</t>
        </is>
      </c>
      <c r="AG19" s="14" t="inlineStr">
        <is>
          <t>Unter Apremilast seit Oktober 2019 keine symptomatische Verbesserung und persistierende Erkrankungsaktivität; Absetzen und geplante Umstellung auf Sulfasalazin. Begleitende degenerative Veränderungen erschweren die Beschwerdezuordnung.</t>
        </is>
      </c>
      <c r="AH19" s="14" t="inlineStr">
        <is>
          <t>Enthesitis widersprüchlich: anamnestisch verneint, im Untersuchungsbefund beidseitiger lateraler Ellbogenenth esendruckschmerz mit MASES 2.
Weiterer Score: MASES 2; Originalbeleg: „Enthesen: DS: Ellbogen lateral bds. MASES 2.“ (40_Baseline.docx). Keine Umdeutung in LEI.
CRP: zunächst qualitativ „Minimal erhöhte CRP“ (40_Baseline.docx), erster numerischer Messwert &lt;5,2 mg/l nach Reihenfolge; kein einzelnes Labordatum dokumentiert.
BSG 5/12 mm: erster Wert 5 gemäß Studienkonvention; Einzeldatum nicht genannt.
DAPSA und HAQ im Untersuchungsabschnitt ohne gesondertes Messdatum.</t>
        </is>
      </c>
    </row>
    <row r="20" ht="409" customHeight="1">
      <c r="A20" s="17" t="n">
        <v>40</v>
      </c>
      <c r="B20" s="18" t="inlineStr">
        <is>
          <t>PsA</t>
        </is>
      </c>
      <c r="C20" s="18" t="inlineStr">
        <is>
          <t>Follow-up</t>
        </is>
      </c>
      <c r="D20" s="19" t="n">
        <v>44232</v>
      </c>
      <c r="E20" s="19" t="n">
        <v>44266</v>
      </c>
      <c r="F20" s="17">
        <f>IF(E20="","",E20-D20)</f>
        <v/>
      </c>
      <c r="G20" s="20" t="n">
        <v>31</v>
      </c>
      <c r="H20" s="20" t="n"/>
      <c r="I20" s="20" t="n">
        <v>20</v>
      </c>
      <c r="J20" s="20" t="n">
        <v>0</v>
      </c>
      <c r="K20" s="20" t="n">
        <v>2</v>
      </c>
      <c r="L20" s="20" t="n">
        <v>1</v>
      </c>
      <c r="M20" s="20" t="n">
        <v>0.63</v>
      </c>
      <c r="N20" s="18" t="inlineStr">
        <is>
          <t>Ja</t>
        </is>
      </c>
      <c r="O20" s="20" t="n">
        <v>5.2</v>
      </c>
      <c r="P20" s="18" t="inlineStr">
        <is>
          <t>&lt;</t>
        </is>
      </c>
      <c r="Q20" s="18" t="inlineStr">
        <is>
          <t>mg/l</t>
        </is>
      </c>
      <c r="R20" s="20" t="n">
        <v>2</v>
      </c>
      <c r="S20" s="18" t="inlineStr">
        <is>
          <t>Sulfasalazin; Naproxen; Metamizol</t>
        </is>
      </c>
      <c r="T20" s="18" t="inlineStr">
        <is>
          <t>Deutliche Gelenk- und Sehnenschmerzen bei unzureichender muskuloskelettaler Wirkung von Secukinumab; aktuell keine gezählten Gelenkschwellungen.</t>
        </is>
      </c>
      <c r="U20" s="18" t="inlineStr">
        <is>
          <t>vorhanden</t>
        </is>
      </c>
      <c r="V20" s="18" t="inlineStr">
        <is>
          <t>nicht erwähnt</t>
        </is>
      </c>
      <c r="W20" s="18" t="inlineStr">
        <is>
          <t>verneint</t>
        </is>
      </c>
      <c r="X20" s="18" t="inlineStr">
        <is>
          <t>vorhanden</t>
        </is>
      </c>
      <c r="Y20" s="18" t="inlineStr">
        <is>
          <t>nicht erwähnt</t>
        </is>
      </c>
      <c r="Z20" s="18" t="inlineStr">
        <is>
          <t>vorhanden</t>
        </is>
      </c>
      <c r="AA20" s="18" t="inlineStr">
        <is>
          <t>nicht erwähnt</t>
        </is>
      </c>
      <c r="AB20" s="18" t="inlineStr">
        <is>
          <t>Gelenke und Sehnen ohne aktuelle genaue Lokalisation; Fußsohlen beidseits. Früher im Oktober 2020 linkes OSG/USG medial.</t>
        </is>
      </c>
      <c r="AC20" s="18" t="inlineStr">
        <is>
          <t>Deutliche Gelenk- und Sehnenschmerzen; TJC 20, SJC 0, Enthesen-SPARCC 4 und LEI 2. Fußsohlen beidseits trocken schuppend, sonst Haut unauffällig. Im Oktober 2020 leichte Schwellung und Druckschmerz am linken OSG/USG medial. Keine klinische Synovitis aus Bildgebung abgeleitet.</t>
        </is>
      </c>
      <c r="AD20" s="18" t="inlineStr">
        <is>
          <t>Secukinumab</t>
        </is>
      </c>
      <c r="AE20" s="18" t="inlineStr">
        <is>
          <t>Keines</t>
        </is>
      </c>
      <c r="AF20" s="18" t="inlineStr">
        <is>
          <t>Aktiv</t>
        </is>
      </c>
      <c r="AG20" s="18" t="inlineStr">
        <is>
          <t>Unter Secukinumab klinisch unzureichendes Ansprechen der Gelenke und Sehnen mit fortbestehenden deutlichen Schmerzen; deshalb Umstellung auf Adalimumab. Haut insgesamt gebessert. Sulfasalazin als laufende Basistherapie dokumentiert. Unterschiedliche Angaben zur Entwicklung der schmerzhaften Gelenke verhindern eine eindeutige zahlenmäßige Verlaufsbewertung.</t>
        </is>
      </c>
      <c r="AH20" s="18" t="inlineStr">
        <is>
          <t>Referenztermin 11.03.2021 liegt näher am Scan vom 05.02.2021 als der Besuch vom 13.11.2020.
DAPSA 31, LEI 2, PASI 1, HAQ-DI 0,63 und BSG 2 stammen aus „Untersuchung vom 11.3.2021“; HAQ-DI unter HAQ erfasst.
TJC 20 und SJC 0 im zusammenfassenden Untersuchungsbefund ohne eigenes Einzeldatum übernommen; Zählbereich nicht angegeben. Vorwerte dort TJC 29 und SJC 4, im Verlauf dagegen schmerzhafte Gelenke zuvor 7; aktuelle Werte übereinstimmend, Entwicklung widersprüchlich.
PASI 1 vom 11.03.2021 gegenüber undatiertem „Haut: Fußsohlen bds trocken schuppend, ansonsten unauffällig, PASI 0“ (40_FollowUp.docx) bevorzugt, da ausdrücklich dem Referenztermin zugeordnet.
Ein weiterer Abschnitt trägt ausdrücklich „Untersuchung vom 13.11.2021“ (40_FollowUp.docx); dieses Datum widerspricht dem eingangs genannten Besuch 13.11.2020 und wird nicht stillschweigend korrigiert. Dort DAPSA 36, LEI 2, PASI 1, HAQ-DI 0,63 und BSG 2.
CRP &lt;5,2 mg/l vom 29.10.2020: erster Messwert nach Reihenfolge, verbindlich übernommen. Spätere Ergebnisse 1,1 mg/l am 13.11.2020 und &lt;5,1 mg/l am 11.03.2021 nicht ausgewählt.
Weitere Scores am 11.03.2021, jeweils 40_FollowUp.docx: „DAS28: 3,68 (Vorwert 4.21)“, „MASES: 2 (Vorwert 2)“, „SPARCC: 4 (Vorwert 6“, „DLQI: 1 (Vorwert 0)“, „PsAQoL: 3 (Vorwert 8)“, „PSAID: 4.1 (Vorwert 6.8)“.
Weitere Scores im Abschnitt 13.11.2021, jeweils 40_FollowUp.docx: „DAS28: 4.3 (Vorwert 4.21)“, „MASES: 2 (Vorwert 2)“, „SPARCC: 6 (Vorwert 6)“, „DLQI: 0 (Vorwert 0)“, „PsAQoL: 8 (Vorwert 15)“, „PSAID: 6.8 (Vorwert 3.5)“.
Hautbesserung begründet kein muskuloskelettales Teilansprechen; dessen klinische Gesamtbewertung ist ausdrücklich unzureichend. Keine Ansprechaussage zu Adalimumab.
Therapiedauer Secukinumab widersprüchlich als drei beziehungsweise vier Monate angegeben; dokumentierter Zeitraum November 2020 bis März 2021.
Tuberkuloseprophylaxe begleitend bis Juni 2021: „Isozid comp. über insgesamt 9 Monate (6-2021), Einnahme von 300 mg/d“ (40_FollowUp.docx); keine Medikation zur Symptomkontrolle.
CRP-Auswahl: erster dokumentierter Messwert in der Briefreihenfolge; daraus kein genaues Labordatum abgeleitet.</t>
        </is>
      </c>
    </row>
    <row r="21" ht="345" customHeight="1">
      <c r="A21" s="13" t="n">
        <v>41</v>
      </c>
      <c r="B21" s="14" t="inlineStr">
        <is>
          <t>PsA</t>
        </is>
      </c>
      <c r="C21" s="14" t="inlineStr">
        <is>
          <t>Baseline</t>
        </is>
      </c>
      <c r="D21" s="15" t="n">
        <v>43941</v>
      </c>
      <c r="E21" s="15" t="n">
        <v>43941</v>
      </c>
      <c r="F21" s="13">
        <f>IF(E21="","",E21-D21)</f>
        <v/>
      </c>
      <c r="G21" s="16" t="n"/>
      <c r="H21" s="16" t="n"/>
      <c r="I21" s="16" t="n">
        <v>8</v>
      </c>
      <c r="J21" s="16" t="n">
        <v>8</v>
      </c>
      <c r="K21" s="16" t="n"/>
      <c r="L21" s="16" t="n">
        <v>12.2</v>
      </c>
      <c r="M21" s="16" t="n"/>
      <c r="N21" s="14" t="inlineStr">
        <is>
          <t>Ja</t>
        </is>
      </c>
      <c r="O21" s="16" t="n">
        <v>40.9</v>
      </c>
      <c r="P21" s="14" t="inlineStr">
        <is>
          <t>=</t>
        </is>
      </c>
      <c r="Q21" s="14" t="inlineStr">
        <is>
          <t>mg/l</t>
        </is>
      </c>
      <c r="R21" s="16" t="n">
        <v>34</v>
      </c>
      <c r="S21" s="14" t="inlineStr">
        <is>
          <t>Ixekizumab; Methotrexat; Prednisolon; Naproxen; Tilidinhydrochlorid; Naloxon; Amitriptylin</t>
        </is>
      </c>
      <c r="T21" s="14" t="inlineStr">
        <is>
          <t>Periphere Gelenkbeschwerden mit Schwellungen an Händen, Knien und Füßen sowie generalisierte Haut- und Nagelpsoriasis; innerhalb der Episode rückläufiger Gelenkbefund.</t>
        </is>
      </c>
      <c r="U21" s="14" t="inlineStr">
        <is>
          <t>vorhanden</t>
        </is>
      </c>
      <c r="V21" s="14" t="inlineStr">
        <is>
          <t>nicht erwähnt</t>
        </is>
      </c>
      <c r="W21" s="14" t="inlineStr">
        <is>
          <t>vorhanden</t>
        </is>
      </c>
      <c r="X21" s="14" t="inlineStr">
        <is>
          <t>verneint</t>
        </is>
      </c>
      <c r="Y21" s="14" t="inlineStr">
        <is>
          <t>verneint</t>
        </is>
      </c>
      <c r="Z21" s="14" t="inlineStr">
        <is>
          <t>vorhanden</t>
        </is>
      </c>
      <c r="AA21" s="14" t="inlineStr">
        <is>
          <t>vorhanden</t>
        </is>
      </c>
      <c r="AB21" s="14" t="inlineStr">
        <is>
          <t>Hände, Knie und Füße; generalisierte Hautbeteiligung, Nägel an Händen und Füßen.</t>
        </is>
      </c>
      <c r="AC21" s="14" t="inlineStr">
        <is>
          <t>Am 02.04.2020 acht druckschmerzhafte und acht geschwollene Gelenke, keine Daktylitis oder Enthesitis; Morgensteifigkeit über zwei Stunden. Am 22.06.2020 zwei druckschmerzhafte und keine geschwollenen Gelenke, weiterhin keine Daktylitis oder Enthesitis; regrediente Plaques mit generalisiertem residualem Erythem und ausgeprägter Nagelpsoriasis.</t>
        </is>
      </c>
      <c r="AD21" s="14" t="n"/>
      <c r="AE21" s="14" t="n"/>
      <c r="AF21" s="14" t="inlineStr">
        <is>
          <t>Aktiv</t>
        </is>
      </c>
      <c r="AG21" s="14" t="inlineStr">
        <is>
          <t>Nach Wirkungsverlust von Ixekizumab deutliche Verschlechterung. Abatacept besserte die Gelenkbeschwerden signifikant, verschlechterte jedoch die Haut und wurde beendet. Tofacitinib wurde nach vier Wochen ohne klinisches Ansprechen ersetzt. Unter erneutem Ixekizumab bis Juni regrediente Hautläsionen und gut kontrollierter Gelenkstatus; abschließend wird die Grunderkrankung weiterhin als aktiv beurteilt.</t>
        </is>
      </c>
      <c r="AH21" s="14" t="inlineStr">
        <is>
          <t>Referenztermin 20.04.2020; diesem Besuch sind keine eigenen Zahlenwerte eindeutig zugeordnet. TJC, SJC, PASI und BSG stammen vom nächstgelegenen datierten Untersuchungstag 02.04.2020; Gelenkzählbereich nicht angegeben.
CRP vom 02.04.2020: erster Messwert nach Reihenfolge. Weitere CRP-Werte: 5,8 mg/l am 26.05.2020 und 6,3 mg/l am 22.06.2020.
Weitere numerische Befunde: am 22.06.2020 TJC 2 und SJC 0; am 26.05.2020 BSG 7 mm/h und PASI 5. Diese ersetzen die näher zum Scan erhobenen Werte nicht.
Die Statusangabe zur Gelenkschwellung beschreibt den frühen Episodenbefund; am 22.06.2020 ausdrücklich keine geschwollenen Gelenke.
Eine pauschale Verneinung von Gelenkschmerzen widerspricht den ausführlich beschriebenen Schmerzen und den dokumentierten Druckschmerzbefunden; periphere Beschwerden sind dadurch dennoch eindeutig belegt.
Gut kontrollierter Gelenkstatus am 22.06.2020 bei abschließender Beurteilung der Grunderkrankung als weiterhin aktiv; Haut und Gelenke getrennt berücksichtigt.
Weitere Scores: 02.04.2020 „DAS28: 5,82“; 26.05.2020 „DAS28: 1,46“.
CRP-Auswahl: erster dokumentierter Messwert in der Briefreihenfolge; daraus kein genaues Labordatum abgeleitet.</t>
        </is>
      </c>
    </row>
    <row r="22" ht="210" customHeight="1">
      <c r="A22" s="17" t="n">
        <v>41</v>
      </c>
      <c r="B22" s="18" t="inlineStr">
        <is>
          <t>PsA</t>
        </is>
      </c>
      <c r="C22" s="18" t="inlineStr">
        <is>
          <t>Follow-up</t>
        </is>
      </c>
      <c r="D22" s="19" t="n">
        <v>44135</v>
      </c>
      <c r="E22" s="19" t="n">
        <v>44159</v>
      </c>
      <c r="F22" s="17">
        <f>IF(E22="","",E22-D22)</f>
        <v/>
      </c>
      <c r="G22" s="20" t="n"/>
      <c r="H22" s="20" t="n"/>
      <c r="I22" s="20" t="n"/>
      <c r="J22" s="20" t="n">
        <v>2</v>
      </c>
      <c r="K22" s="20" t="n"/>
      <c r="L22" s="20" t="n"/>
      <c r="M22" s="20" t="n"/>
      <c r="N22" s="18" t="inlineStr">
        <is>
          <t>Ja</t>
        </is>
      </c>
      <c r="O22" s="20" t="n">
        <v>8.300000000000001</v>
      </c>
      <c r="P22" s="18" t="inlineStr">
        <is>
          <t>=</t>
        </is>
      </c>
      <c r="Q22" s="18" t="inlineStr">
        <is>
          <t>mg/l</t>
        </is>
      </c>
      <c r="R22" s="20" t="n"/>
      <c r="S22" s="18" t="inlineStr">
        <is>
          <t>Ixekizumab; Methotrexat; Prednisolon; Naproxen; Tilidin; Amitriptylin</t>
        </is>
      </c>
      <c r="T22" s="18" t="inlineStr">
        <is>
          <t>Zunehmende periphere Arthralgien mit erneuten Gelenkschwellungen und etwa 90 Minuten Morgensteifigkeit bei rückläufiger Hautpsoriasis.</t>
        </is>
      </c>
      <c r="U22" s="18" t="inlineStr">
        <is>
          <t>vorhanden</t>
        </is>
      </c>
      <c r="V22" s="18" t="inlineStr">
        <is>
          <t>nicht erwähnt</t>
        </is>
      </c>
      <c r="W22" s="18" t="inlineStr">
        <is>
          <t>vorhanden</t>
        </is>
      </c>
      <c r="X22" s="18" t="inlineStr">
        <is>
          <t>nicht erwähnt</t>
        </is>
      </c>
      <c r="Y22" s="18" t="inlineStr">
        <is>
          <t>nicht erwähnt</t>
        </is>
      </c>
      <c r="Z22" s="18" t="inlineStr">
        <is>
          <t>vorhanden</t>
        </is>
      </c>
      <c r="AA22" s="18" t="inlineStr">
        <is>
          <t>nicht erwähnt</t>
        </is>
      </c>
      <c r="AB22" s="18" t="inlineStr">
        <is>
          <t>Rechtes MCP 4 und PIP 3 mit nicht angegebener Seite; Haut an Steiß und Rücken sowie generalisierte regrediente Läsionen.</t>
        </is>
      </c>
      <c r="AC22" s="18" t="inlineStr">
        <is>
          <t>Mehrere druckschmerzhafte und zwei geschwollene Gelenke, rechtes MCP 4 und PIP 3 ohne Seitenangabe. Leichte MCP-4-Schwellung anamnestisch nach Verletzung; Morgensteifigkeit etwa 90 Minuten. Regrediente generalisierte Psoriasisläsionen mit Rhagaden, Schuppung und Hyperpigmentation.</t>
        </is>
      </c>
      <c r="AD22" s="18" t="inlineStr">
        <is>
          <t>Ixekizumab</t>
        </is>
      </c>
      <c r="AE22" s="18" t="inlineStr">
        <is>
          <t>Keines</t>
        </is>
      </c>
      <c r="AF22" s="18" t="inlineStr">
        <is>
          <t>Aktiv</t>
        </is>
      </c>
      <c r="AG22" s="18" t="inlineStr">
        <is>
          <t>Seit dem Wechsel von Abatacept zu Ixekizumab erneute Verschlechterung der Arthralgien und Gelenkschwellungen trotz sehr guten Abheilens der Hautläsionen; muskuloskelettal unzureichende Wirkung. Wegen fehlender therapeutischer Optionen zunächst Fortführung. Nach geplanter MRT-Kontrolle soll gegebenenfalls eine Kombination mit Tofacitinib diskutiert werden.</t>
        </is>
      </c>
      <c r="AH22" s="18" t="inlineStr">
        <is>
          <t>SJC-Zählbereich nicht dokumentiert; „mehrere DS“ erlaubt keinen numerischen TJC.
CRP ohne eigenständiges Labordatum; keine automatische Gleichsetzung mit dem Besuchstag.
Ansprechen Keines aufgrund ausdrücklich beschriebener muskuloskelettaler Verschlechterung unter Ixekizumab mit erneuten Gelenkschwellungen und erwogener Therapieumstellung; die gute Hautwirkung wurde getrennt bewertet.
MCP-4-Schwellung anamnestisch nach Verletzung; Anteil der Verletzung am aktuellen Schwellungsbefund unklar. Seite von PIP 3 nicht angegeben.
Weiterer Befund: „MDA nicht erreicht“.
CRP-Auswahl: erster dokumentierter Messwert in der Briefreihenfolge; daraus kein genaues Labordatum abgeleitet.</t>
        </is>
      </c>
    </row>
    <row r="23" ht="165" customHeight="1">
      <c r="A23" s="13" t="n">
        <v>42</v>
      </c>
      <c r="B23" s="14" t="inlineStr">
        <is>
          <t>PsA</t>
        </is>
      </c>
      <c r="C23" s="14" t="inlineStr">
        <is>
          <t>Baseline</t>
        </is>
      </c>
      <c r="D23" s="15" t="n">
        <v>43906</v>
      </c>
      <c r="E23" s="15" t="n">
        <v>43915</v>
      </c>
      <c r="F23" s="13">
        <f>IF(E23="","",E23-D23)</f>
        <v/>
      </c>
      <c r="G23" s="16" t="n">
        <v>24</v>
      </c>
      <c r="H23" s="16" t="n"/>
      <c r="I23" s="16" t="n"/>
      <c r="J23" s="16" t="n"/>
      <c r="K23" s="16" t="n"/>
      <c r="L23" s="16" t="n">
        <v>1.2</v>
      </c>
      <c r="M23" s="16" t="n">
        <v>0.375</v>
      </c>
      <c r="N23" s="14" t="inlineStr">
        <is>
          <t>Ja</t>
        </is>
      </c>
      <c r="O23" s="16" t="n">
        <v>5.2</v>
      </c>
      <c r="P23" s="14" t="inlineStr">
        <is>
          <t>&lt;</t>
        </is>
      </c>
      <c r="Q23" s="14" t="inlineStr">
        <is>
          <t>mg/l</t>
        </is>
      </c>
      <c r="R23" s="16" t="n">
        <v>1</v>
      </c>
      <c r="S23" s="14" t="inlineStr">
        <is>
          <t>Methotrexat; Tofacitinib; Prednisolon; Diclofenac</t>
        </is>
      </c>
      <c r="T23" s="14" t="inlineStr">
        <is>
          <t>Aktive periphere Arthritis mit Schmerzen und Schwellungen an Händen und Füßen sowie Knieschmerzen.</t>
        </is>
      </c>
      <c r="U23" s="14" t="inlineStr">
        <is>
          <t>vorhanden</t>
        </is>
      </c>
      <c r="V23" s="14" t="inlineStr">
        <is>
          <t>nicht erwähnt</t>
        </is>
      </c>
      <c r="W23" s="14" t="inlineStr">
        <is>
          <t>vorhanden</t>
        </is>
      </c>
      <c r="X23" s="14" t="inlineStr">
        <is>
          <t>verneint</t>
        </is>
      </c>
      <c r="Y23" s="14" t="inlineStr">
        <is>
          <t>verneint</t>
        </is>
      </c>
      <c r="Z23" s="14" t="inlineStr">
        <is>
          <t>vorhanden</t>
        </is>
      </c>
      <c r="AA23" s="14" t="inlineStr">
        <is>
          <t>verneint</t>
        </is>
      </c>
      <c r="AB23" s="14" t="inlineStr">
        <is>
          <t>Handgelenke beidseits, Fingergelenke, Knie und Vorfüße; Kopfhaut und Gehörgänge beidseits.</t>
        </is>
      </c>
      <c r="AC23" s="14" t="inlineStr">
        <is>
          <t>Bewegungsunabhängige Schmerzen, Morgensteifigkeit etwa eine Stunde. Druckschmerz beider Handgelenke, PIP 2 rechts, PIP 2/3/5 links, MCP 3 links und MTT 3/4 rechts sowie 3 links. Schwellungen an PIP 2/3 links und linkem Handgelenk. Aktive Psoriasis an Kopfhaut und Gehörgängen; keine Nagelpsoriasis.</t>
        </is>
      </c>
      <c r="AD23" s="14" t="n"/>
      <c r="AE23" s="14" t="n"/>
      <c r="AF23" s="14" t="inlineStr">
        <is>
          <t>Aktiv</t>
        </is>
      </c>
      <c r="AG23" s="14" t="inlineStr">
        <is>
          <t>Persistierende periphere Beschwerden und aktive Hautpsoriasis unter wirkungslosem Etanercept. Etanercept abgesetzt, Tofacitinib begonnen; zusätzlich vorübergehende Prednisolonerhöhung mit Ausschleichen bei fortgesetztem Methotrexat.</t>
        </is>
      </c>
      <c r="AH23" s="14" t="inlineStr">
        <is>
          <t>Labor und Scores ohne gesondertes Erhebungsdatum; der klinische Referenztermin wurde nicht automatisch als Messdatum übernommen.
BSG nach Studienkonvention aus BKS 1/2 als erster Wert 1 übernommen.
Weitere dokumentierte Werte: MASES:0; VAS 7, PtGA 4. Originalbelege: „MASES:0“ und „VAS 7, PtGA 4.“ (42_Baseline.docx).
Keine standardisierten TJC-/SJC-Zahlen dokumentiert; Gelenke nicht gezählt.
CRP-Auswahl: erster dokumentierter Messwert in der Briefreihenfolge; daraus kein genaues Labordatum abgeleitet.</t>
        </is>
      </c>
    </row>
    <row r="24" ht="195" customHeight="1">
      <c r="A24" s="17" t="n">
        <v>42</v>
      </c>
      <c r="B24" s="18" t="inlineStr">
        <is>
          <t>PsA</t>
        </is>
      </c>
      <c r="C24" s="18" t="inlineStr">
        <is>
          <t>Follow-up</t>
        </is>
      </c>
      <c r="D24" s="19" t="n">
        <v>44095</v>
      </c>
      <c r="E24" s="19" t="n">
        <v>44109</v>
      </c>
      <c r="F24" s="17">
        <f>IF(E24="","",E24-D24)</f>
        <v/>
      </c>
      <c r="G24" s="20" t="n"/>
      <c r="H24" s="20" t="n"/>
      <c r="I24" s="20" t="n"/>
      <c r="J24" s="20" t="n"/>
      <c r="K24" s="20" t="n"/>
      <c r="L24" s="20" t="n"/>
      <c r="M24" s="20" t="n"/>
      <c r="N24" s="18" t="inlineStr">
        <is>
          <t>Ja</t>
        </is>
      </c>
      <c r="O24" s="20" t="n">
        <v>5.2</v>
      </c>
      <c r="P24" s="18" t="inlineStr">
        <is>
          <t>&lt;</t>
        </is>
      </c>
      <c r="Q24" s="18" t="inlineStr">
        <is>
          <t>mg/l</t>
        </is>
      </c>
      <c r="R24" s="20" t="n"/>
      <c r="S24" s="18" t="inlineStr">
        <is>
          <t>Secukinumab; Methotrexat; Prednisolon; Diclofenac</t>
        </is>
      </c>
      <c r="T24" s="18" t="inlineStr">
        <is>
          <t>Persistierende periphere Arthritis und axiale Beschwerden mit nächtlichem Erwachen.</t>
        </is>
      </c>
      <c r="U24" s="18" t="inlineStr">
        <is>
          <t>vorhanden</t>
        </is>
      </c>
      <c r="V24" s="18" t="inlineStr">
        <is>
          <t>vorhanden</t>
        </is>
      </c>
      <c r="W24" s="18" t="inlineStr">
        <is>
          <t>vorhanden</t>
        </is>
      </c>
      <c r="X24" s="18" t="inlineStr">
        <is>
          <t>nicht erwähnt</t>
        </is>
      </c>
      <c r="Y24" s="18" t="inlineStr">
        <is>
          <t>nicht erwähnt</t>
        </is>
      </c>
      <c r="Z24" s="18" t="inlineStr">
        <is>
          <t>verneint</t>
        </is>
      </c>
      <c r="AA24" s="18" t="inlineStr">
        <is>
          <t>nicht erwähnt</t>
        </is>
      </c>
      <c r="AB24" s="18" t="inlineStr">
        <is>
          <t>Daumengrundgelenke und Handgelenke beidseits, weitere Finger- und Vorfußgelenke, rechte Schulter und LWS.</t>
        </is>
      </c>
      <c r="AC24" s="18" t="inlineStr">
        <is>
          <t>Persistierende Schmerzen beider Daumengrundgelenke und Handgelenke sowie Morgensteifigkeit ohne Dauerangabe. Rechte Schulter und LWS schmerzhaft, nächtliches Erwachen. Druckschmerz beider Handgelenke, PIP 2 rechts, PIP 2/3/5 links, MCP 3 links, MTT 3/4 rechts und 3 links. Schwellungen PIP 2/3 links und linkes Handgelenk. Keine psoriasiformen Läsionen, minimale Rötung beider Ellenbogen.</t>
        </is>
      </c>
      <c r="AD24" s="18" t="inlineStr">
        <is>
          <t>Tofacitinib, April bis Juni 2020</t>
        </is>
      </c>
      <c r="AE24" s="18" t="inlineStr">
        <is>
          <t>Keines</t>
        </is>
      </c>
      <c r="AF24" s="18" t="inlineStr">
        <is>
          <t>Aktiv</t>
        </is>
      </c>
      <c r="AG24" s="18" t="inlineStr">
        <is>
          <t>Tofacitinib wegen unzureichender Wirkung beendet. Unter anschließendem Secukinumab persistieren periphere und axiale entzündliche Beschwerden; eine klinische Besserung ist nicht belegt. Wegen verbleibender Aktivität Dosiserhöhung auf 300 mg monatlich empfohlen. Aktuell keine psoriasiformen Hautläsionen.</t>
        </is>
      </c>
      <c r="AH24" s="18" t="inlineStr">
        <is>
          <t>Ansprechen Keines bezieht sich auf das ausdrücklich unzureichend wirksame Tofacitinib. Das klinische Veränderungsausmaß unter Secukinumab ist nicht beurteilbar; persistierende Aktivität und PET-Besserung allein erlauben keine Ansprechklassifikation.
CRP ohne gesondertes Labordatum; der Referenztermin wurde nicht als Messdatum übernommen.
Biopsie am 20.10.2020 ist kein rheumatologischer Referenzbesuch.
Keine standardisierten TJC-/SJC-Zahlen dokumentiert; Gelenke nicht gezählt.
CRP-Auswahl: erster dokumentierter Messwert in der Briefreihenfolge; daraus kein genaues Labordatum abgeleitet.</t>
        </is>
      </c>
    </row>
    <row r="25" ht="150" customHeight="1">
      <c r="A25" s="13" t="n">
        <v>43</v>
      </c>
      <c r="B25" s="14" t="inlineStr">
        <is>
          <t>PsA</t>
        </is>
      </c>
      <c r="C25" s="14" t="inlineStr">
        <is>
          <t>Baseline</t>
        </is>
      </c>
      <c r="D25" s="15" t="n">
        <v>43794</v>
      </c>
      <c r="E25" s="15" t="n">
        <v>43780</v>
      </c>
      <c r="F25" s="13">
        <f>IF(E25="","",E25-D25)</f>
        <v/>
      </c>
      <c r="G25" s="16" t="n"/>
      <c r="H25" s="16" t="n"/>
      <c r="I25" s="16" t="n"/>
      <c r="J25" s="16" t="n"/>
      <c r="K25" s="16" t="n"/>
      <c r="L25" s="16" t="n"/>
      <c r="M25" s="16" t="n"/>
      <c r="N25" s="14" t="inlineStr">
        <is>
          <t>Ja</t>
        </is>
      </c>
      <c r="O25" s="16" t="n">
        <v>5.2</v>
      </c>
      <c r="P25" s="14" t="inlineStr">
        <is>
          <t>&lt;</t>
        </is>
      </c>
      <c r="Q25" s="14" t="inlineStr">
        <is>
          <t>mg/l</t>
        </is>
      </c>
      <c r="R25" s="16" t="n"/>
      <c r="S25" s="14" t="inlineStr">
        <is>
          <t>Methotrexat; Prednisolon; Secukinumab</t>
        </is>
      </c>
      <c r="T25" s="14" t="inlineStr">
        <is>
          <t>Periphere Arthritiden mit eingeschränkter Fingerbeweglichkeit und Enthesitiden; zusätzlich lumbale Beschwerden und aktive Hautpsoriasis.</t>
        </is>
      </c>
      <c r="U25" s="14" t="inlineStr">
        <is>
          <t>vorhanden</t>
        </is>
      </c>
      <c r="V25" s="14" t="inlineStr">
        <is>
          <t>vorhanden</t>
        </is>
      </c>
      <c r="W25" s="14" t="inlineStr">
        <is>
          <t>vorhanden</t>
        </is>
      </c>
      <c r="X25" s="14" t="inlineStr">
        <is>
          <t>vorhanden</t>
        </is>
      </c>
      <c r="Y25" s="14" t="inlineStr">
        <is>
          <t>nicht erwähnt</t>
        </is>
      </c>
      <c r="Z25" s="14" t="inlineStr">
        <is>
          <t>vorhanden</t>
        </is>
      </c>
      <c r="AA25" s="14" t="inlineStr">
        <is>
          <t>nicht erwähnt</t>
        </is>
      </c>
      <c r="AB25" s="14" t="inlineStr">
        <is>
          <t>MCP beidseits, Plantarfaszien und Achillessehnen beidseits; Knie, Ellbogen, Schultern, Hüften und untere LWS; Kapillitium und beide Ellbogen.</t>
        </is>
      </c>
      <c r="AC25" s="14" t="inlineStr">
        <is>
          <t>Diskrete Schwellung MCP 2/3 beidseits ohne direkten Gelenkdruckschmerz; Druckschmerz beider Plantarfaszien und leicht an beiden Achillessehnen. Deutliche Morgensteifigkeit ohne Zeitangabe und eingeschränkte Fingerbeweglichkeit. Untere LWS auch in Ruhe schmerzhaft; entzündliche Ursache nicht gesichert. Psoriasiforme Läsionen am gesamten Kapillitium und diskret an beiden Ellbogen.</t>
        </is>
      </c>
      <c r="AD25" s="14" t="n"/>
      <c r="AE25" s="14" t="n"/>
      <c r="AF25" s="14" t="inlineStr">
        <is>
          <t>Aktiv</t>
        </is>
      </c>
      <c r="AG25" s="14" t="inlineStr">
        <is>
          <t>Seit 08/2018 rezidivierende Gelenk- und Enthesenbeschwerden. Prednisolon mit sehr begrenzter, Methotrexat mit eingeschränkter Wirkung; unter Methotrexat weiterhin muskuloskelettale und kutane Beschwerden. Eskalation um Secukinumab.</t>
        </is>
      </c>
      <c r="AH25" s="14" t="inlineStr">
        <is>
          <t>CRP-Labordatum nicht angegeben; verbindlich erkannter erster Messwert übernommen.
Der Baseline-Brief enthält auch Angaben aus 12/2019; diese gehören zur übergebenen Baseline-Episode und sind nicht automatisch dem Besuch am 11.11.2019 zugeordnet.
Scan-Datum der Patientenliste 25.11.2019; PET-Befund im Baseline-Brief mit 26.11.2019 bezeichnet.
Keine standardisierten Gelenkzählwerte dokumentiert.
CRP-Auswahl: erster dokumentierter Messwert in der Briefreihenfolge; daraus kein genaues Labordatum abgeleitet.</t>
        </is>
      </c>
    </row>
    <row r="26" ht="180" customHeight="1">
      <c r="A26" s="17" t="n">
        <v>43</v>
      </c>
      <c r="B26" s="18" t="inlineStr">
        <is>
          <t>PsA</t>
        </is>
      </c>
      <c r="C26" s="18" t="inlineStr">
        <is>
          <t>Follow-up</t>
        </is>
      </c>
      <c r="D26" s="19" t="n">
        <v>44183</v>
      </c>
      <c r="E26" s="19" t="n">
        <v>44179</v>
      </c>
      <c r="F26" s="17">
        <f>IF(E26="","",E26-D26)</f>
        <v/>
      </c>
      <c r="G26" s="20" t="n"/>
      <c r="H26" s="20" t="n"/>
      <c r="I26" s="20" t="n">
        <v>5</v>
      </c>
      <c r="J26" s="20" t="n">
        <v>3</v>
      </c>
      <c r="K26" s="20" t="n"/>
      <c r="L26" s="20" t="n"/>
      <c r="M26" s="20" t="n"/>
      <c r="N26" s="18" t="inlineStr">
        <is>
          <t>Nein</t>
        </is>
      </c>
      <c r="O26" s="20" t="n"/>
      <c r="P26" s="18" t="n"/>
      <c r="Q26" s="18" t="n"/>
      <c r="R26" s="20" t="n"/>
      <c r="S26" s="18" t="inlineStr">
        <is>
          <t>Methotrexat</t>
        </is>
      </c>
      <c r="T26" s="18" t="inlineStr">
        <is>
          <t>Aktive periphere Gelenkbeschwerden und Enthesitis mit eingeschränkter Schulterfunktion und Kraftlosigkeit beider Hände; zusätzlich verschlechterte Hautpsoriasis.</t>
        </is>
      </c>
      <c r="U26" s="18" t="inlineStr">
        <is>
          <t>vorhanden</t>
        </is>
      </c>
      <c r="V26" s="18" t="inlineStr">
        <is>
          <t>nicht erwähnt</t>
        </is>
      </c>
      <c r="W26" s="18" t="inlineStr">
        <is>
          <t>vorhanden</t>
        </is>
      </c>
      <c r="X26" s="18" t="inlineStr">
        <is>
          <t>vorhanden</t>
        </is>
      </c>
      <c r="Y26" s="18" t="inlineStr">
        <is>
          <t>nicht erwähnt</t>
        </is>
      </c>
      <c r="Z26" s="18" t="inlineStr">
        <is>
          <t>vorhanden</t>
        </is>
      </c>
      <c r="AA26" s="18" t="inlineStr">
        <is>
          <t>nicht erwähnt</t>
        </is>
      </c>
      <c r="AB26" s="18" t="inlineStr">
        <is>
          <t>Hände, Ellbogen und Schultern beidseits; Achillessehnen beidseits; Haut am Kapillitium und an beiden Ellbogen.</t>
        </is>
      </c>
      <c r="AC26" s="18" t="inlineStr">
        <is>
          <t>Seit etwa drei Wochen erneut vermehrte Schmerzen beider Hände, Ellbogen und Schultern; Überkopfarbeiten nicht möglich und Kraftlosigkeit beider Hände. Fünf druckschmerzhafte und drei geschwollene Gelenke ohne Einzelzuordnung. Beide Achillessehnen und Ellbogenenthese druckschmerzhaft. Aggravierte psoriasiforme Läsionen am Kopf und an den Streckseiten beider Ellbogen.</t>
        </is>
      </c>
      <c r="AD26" s="18" t="inlineStr">
        <is>
          <t>Adalimumab unter begleitendem Methotrexat</t>
        </is>
      </c>
      <c r="AE26" s="18" t="inlineStr">
        <is>
          <t>Partiell</t>
        </is>
      </c>
      <c r="AF26" s="18" t="inlineStr">
        <is>
          <t>Aktiv</t>
        </is>
      </c>
      <c r="AG26" s="18" t="inlineStr">
        <is>
          <t>Unter Adalimumab zunächst deutlicher muskuloskelettaler Nutzen, seit etwa drei Wochen erneute entzündliche Beschwerden und Funktionsverlust; damit nur vorübergehender Nutzen bei aktuell unzureichender Kontrolle. Haut ebenfalls verschlechtert. Adalimumab beendet, Umstellung auf Upadacitinib nach Sicherheitsabstand empfohlen; Methotrexat soll fortgeführt werden. Ein Nutzen von Upadacitinib ist nicht belegt.</t>
        </is>
      </c>
      <c r="AH26" s="18" t="inlineStr">
        <is>
          <t>Partiell bezeichnet den vorübergehenden dokumentierten Nutzen von Adalimumab bei erneut relevanten entzündlichen Beschwerden; die aktuelle Gesamtwirkung reicht zur Kontrolle nicht aus.
TJC/SJC: Zählbereich nicht angegeben; Untersuchung im Brief zur Vorstellung am 14.12.2020, ohne separat genanntes Untersuchungsdatum.
Langjährige Rückenschmerzen werden nur in der Diagnosenliste fortgeführt; aktuelle axiale Beschwerden werden nicht beschrieben.
Keine CRP-Ergebnisangabe. Originalbeleg: „Eine laborchemische Kontrolle konnte leider nicht durchgeführt werden, da der Pat. vorzeitig gegangen war.“ (43_FollowUp.docx).</t>
        </is>
      </c>
    </row>
    <row r="27" ht="135" customHeight="1">
      <c r="A27" s="13" t="n">
        <v>44</v>
      </c>
      <c r="B27" s="14" t="inlineStr">
        <is>
          <t>PsA</t>
        </is>
      </c>
      <c r="C27" s="14" t="inlineStr">
        <is>
          <t>Baseline</t>
        </is>
      </c>
      <c r="D27" s="15" t="n">
        <v>43619</v>
      </c>
      <c r="E27" s="15" t="n">
        <v>43594</v>
      </c>
      <c r="F27" s="13">
        <f>IF(E27="","",E27-D27)</f>
        <v/>
      </c>
      <c r="G27" s="16" t="n"/>
      <c r="H27" s="16" t="n"/>
      <c r="I27" s="16" t="n"/>
      <c r="J27" s="16" t="n"/>
      <c r="K27" s="16" t="n"/>
      <c r="L27" s="16" t="n"/>
      <c r="M27" s="16" t="n"/>
      <c r="N27" s="14" t="inlineStr">
        <is>
          <t>Ja</t>
        </is>
      </c>
      <c r="O27" s="16" t="n">
        <v>5.2</v>
      </c>
      <c r="P27" s="14" t="inlineStr">
        <is>
          <t>&lt;</t>
        </is>
      </c>
      <c r="Q27" s="14" t="inlineStr">
        <is>
          <t>mg/l</t>
        </is>
      </c>
      <c r="R27" s="16" t="n">
        <v>4</v>
      </c>
      <c r="S27" s="14" t="n"/>
      <c r="T27" s="14" t="inlineStr">
        <is>
          <t>Aktive PsA mit enthesealem Druckschmerz und peripheren Gelenkbeschwerden.</t>
        </is>
      </c>
      <c r="U27" s="14" t="inlineStr">
        <is>
          <t>vorhanden</t>
        </is>
      </c>
      <c r="V27" s="14" t="inlineStr">
        <is>
          <t>nicht erwähnt</t>
        </is>
      </c>
      <c r="W27" s="14" t="inlineStr">
        <is>
          <t>vorhanden</t>
        </is>
      </c>
      <c r="X27" s="14" t="inlineStr">
        <is>
          <t>vorhanden</t>
        </is>
      </c>
      <c r="Y27" s="14" t="inlineStr">
        <is>
          <t>nicht erwähnt</t>
        </is>
      </c>
      <c r="Z27" s="14" t="inlineStr">
        <is>
          <t>verneint</t>
        </is>
      </c>
      <c r="AA27" s="14" t="inlineStr">
        <is>
          <t>nicht erwähnt</t>
        </is>
      </c>
      <c r="AB27" s="14" t="inlineStr">
        <is>
          <t>Enthesen am rechten Ellenbogen, rechten Handgelenk und beiden Patellae; Fingergelenke, Daumensattelgelenke beidseits und rechte vierte Zehe.</t>
        </is>
      </c>
      <c r="AC27" s="14" t="inlineStr">
        <is>
          <t>Enthesealer Druckschmerz rechts am Ellenbogen und Handgelenk sowie beidseits an der Patella; Achillessehnen unauffällig. Im Scanbericht anamnestische Gelenkschmerzen und inspektorisch sichtbare Schwellung am PIP II links. Keine aktuellen psoriasiformen Plaques.</t>
        </is>
      </c>
      <c r="AD27" s="14" t="n"/>
      <c r="AE27" s="14" t="n"/>
      <c r="AF27" s="14" t="inlineStr">
        <is>
          <t>Aktiv</t>
        </is>
      </c>
      <c r="AG27" s="14" t="inlineStr">
        <is>
          <t>Weiterhin entheseale Beschwerden und klinische Krankheitsaktivität bei fehlender Medikation; Haut gebessert, aktuell ohne Plaques. Beginn mit Methotrexat und Steroidstoß empfohlen; Tofacitinib bei unzureichender Wirkung erwogen.</t>
        </is>
      </c>
      <c r="AH27" s="14" t="inlineStr">
        <is>
          <t>Keine laufende Medikation dokumentiert: „Med.: keine“.
Anamnestische Gelenkschmerzen und sichtbare Schwellung stammen aus dem Scanbericht vom 03.06.2019; sie werden nicht dem Besuch am 09.05.2019 zugeschrieben. Dort waren keine Synovitiden vordergründig.
CRP und BKS ohne gesondertes Messdatum; BKS 4/9 gemäß Studienkonvention mit erstem Wert 4 übernommen.
CRP-Auswahl: erster dokumentierter Messwert in der Briefreihenfolge; daraus kein genaues Labordatum abgeleitet.</t>
        </is>
      </c>
    </row>
    <row r="28" ht="195" customHeight="1">
      <c r="A28" s="17" t="n">
        <v>44</v>
      </c>
      <c r="B28" s="18" t="inlineStr">
        <is>
          <t>PsA</t>
        </is>
      </c>
      <c r="C28" s="18" t="inlineStr">
        <is>
          <t>Follow-up</t>
        </is>
      </c>
      <c r="D28" s="19" t="n">
        <v>44071</v>
      </c>
      <c r="E28" s="19" t="n">
        <v>44096</v>
      </c>
      <c r="F28" s="17">
        <f>IF(E28="","",E28-D28)</f>
        <v/>
      </c>
      <c r="G28" s="20" t="n"/>
      <c r="H28" s="20" t="n"/>
      <c r="I28" s="20" t="n"/>
      <c r="J28" s="20" t="n"/>
      <c r="K28" s="20" t="n"/>
      <c r="L28" s="20" t="n"/>
      <c r="M28" s="20" t="n"/>
      <c r="N28" s="18" t="inlineStr">
        <is>
          <t>Ja</t>
        </is>
      </c>
      <c r="O28" s="20" t="n">
        <v>5.2</v>
      </c>
      <c r="P28" s="18" t="inlineStr">
        <is>
          <t>&lt;</t>
        </is>
      </c>
      <c r="Q28" s="18" t="inlineStr">
        <is>
          <t>mg/l</t>
        </is>
      </c>
      <c r="R28" s="20" t="n">
        <v>4</v>
      </c>
      <c r="S28" s="18" t="inlineStr">
        <is>
          <t>Adalimumab</t>
        </is>
      </c>
      <c r="T28" s="18" t="inlineStr">
        <is>
          <t>Aktive periphere Gelenkbeschwerden mit Schwellungen sowie nächtliche Rücken- und beidseitige ISG-Beschwerden.</t>
        </is>
      </c>
      <c r="U28" s="18" t="inlineStr">
        <is>
          <t>vorhanden</t>
        </is>
      </c>
      <c r="V28" s="18" t="inlineStr">
        <is>
          <t>vorhanden</t>
        </is>
      </c>
      <c r="W28" s="18" t="inlineStr">
        <is>
          <t>vorhanden</t>
        </is>
      </c>
      <c r="X28" s="18" t="inlineStr">
        <is>
          <t>nicht erwähnt</t>
        </is>
      </c>
      <c r="Y28" s="18" t="inlineStr">
        <is>
          <t>nicht erwähnt</t>
        </is>
      </c>
      <c r="Z28" s="18" t="inlineStr">
        <is>
          <t>verneint</t>
        </is>
      </c>
      <c r="AA28" s="18" t="inlineStr">
        <is>
          <t>nicht erwähnt</t>
        </is>
      </c>
      <c r="AB28" s="18" t="inlineStr">
        <is>
          <t>Finger beidseits, rechter Daumen und kleiner Finger, linke Schulter, Klavicula, untere LWS und ISG beidseits.</t>
        </is>
      </c>
      <c r="AC28" s="18" t="inlineStr">
        <is>
          <t>Druckschmerz und Schwellung an MCP 2 links, PIP 2/3 rechts und Klavicula; Druckschmerz der linken Schulter und beider ISG. Anamnestisch Schmerzen und Schwellungen am rechten kleinen Finger und Daumen, vor allem nächtliche Rückenschmerzen. Steifigkeit seit erneuter regelmäßiger Therapie fast verschwunden; nach Sitzen noch angegeben. Keine Hauterscheinungen.</t>
        </is>
      </c>
      <c r="AD28" s="18" t="inlineStr">
        <is>
          <t>Adalimumab nach Wiederbeginn im April 2020</t>
        </is>
      </c>
      <c r="AE28" s="18" t="inlineStr">
        <is>
          <t>Partiell</t>
        </is>
      </c>
      <c r="AF28" s="18" t="inlineStr">
        <is>
          <t>Aktiv</t>
        </is>
      </c>
      <c r="AG28" s="18" t="inlineStr">
        <is>
          <t>Unter erneut regelmäßiger Adalimumab-Einnahme seit April nahezu keine Steifigkeit mehr, insgesamt subjektiv unverändert und weiterhin relevante Gelenkschmerzen, Schwellungen und axiale Beschwerden. Wegen fortbestehender klinischer Aktivität Umstellung auf Ustekinumab erwogen; Patientin überlegt noch, kein Rezept ausgestellt. Methotrexat zuvor wegen Haarausfall abgesetzt; bei Secukinumab Nebenwirkung angegeben.</t>
        </is>
      </c>
      <c r="AH28" s="18" t="inlineStr">
        <is>
          <t>Partielles Ansprechen wegen klarer Besserung der Steifigkeit bei verbleibenden entzündlichen Beschwerden; die allgemeine Aussage „unverändert“ wird als Gesamtbefinden erhalten.
Die Anamnese nennt „Emraldi“, die aktuelle Medikamentenliste Adalimumab mit passender Wiederaufnahme im April 2020; die Wirkstoffzuordnung beruht auf diesem Zusammenhang.
CRP und BKS ohne gesondertes Messdatum; BKS 4/14 gemäß Studienkonvention mit erstem Wert 4 übernommen.
Keine Steifigkeitsdauer angegeben.
Abweichende Lokalisationen in Anamnese und Untersuchung erhalten; keine Gelenkzahlen daraus berechnet.
CRP-Auswahl: erster dokumentierter Messwert in der Briefreihenfolge; daraus kein genaues Labordatum abgeleitet.</t>
        </is>
      </c>
    </row>
    <row r="29" ht="195" customHeight="1">
      <c r="A29" s="13" t="n">
        <v>45</v>
      </c>
      <c r="B29" s="14" t="inlineStr">
        <is>
          <t>PsA</t>
        </is>
      </c>
      <c r="C29" s="14" t="inlineStr">
        <is>
          <t>Baseline</t>
        </is>
      </c>
      <c r="D29" s="15" t="n">
        <v>43605</v>
      </c>
      <c r="E29" s="15" t="n">
        <v>43571</v>
      </c>
      <c r="F29" s="13">
        <f>IF(E29="","",E29-D29)</f>
        <v/>
      </c>
      <c r="G29" s="16" t="n"/>
      <c r="H29" s="16" t="n"/>
      <c r="I29" s="16" t="n">
        <v>0</v>
      </c>
      <c r="J29" s="16" t="n">
        <v>0</v>
      </c>
      <c r="K29" s="16" t="n"/>
      <c r="L29" s="16" t="n">
        <v>8.1</v>
      </c>
      <c r="M29" s="16" t="n"/>
      <c r="N29" s="14" t="inlineStr">
        <is>
          <t>Ja</t>
        </is>
      </c>
      <c r="O29" s="16" t="n">
        <v>5.2</v>
      </c>
      <c r="P29" s="14" t="inlineStr">
        <is>
          <t>&lt;</t>
        </is>
      </c>
      <c r="Q29" s="14" t="inlineStr">
        <is>
          <t>mg/l</t>
        </is>
      </c>
      <c r="R29" s="16" t="n">
        <v>26</v>
      </c>
      <c r="S29" s="14" t="inlineStr">
        <is>
          <t>Etoricoxib</t>
        </is>
      </c>
      <c r="T29" s="14" t="inlineStr">
        <is>
          <t>Axiale und periphere Beschwerden mit nächtlichem Rückenschmerz, Kniearthralgien und morgendlichen Achillessehnenschmerzen mit erschwertem Treppensteigen; ausgedehnte Hautpsoriasis.</t>
        </is>
      </c>
      <c r="U29" s="14" t="inlineStr">
        <is>
          <t>vorhanden</t>
        </is>
      </c>
      <c r="V29" s="14" t="inlineStr">
        <is>
          <t>vorhanden</t>
        </is>
      </c>
      <c r="W29" s="14" t="inlineStr">
        <is>
          <t>verneint</t>
        </is>
      </c>
      <c r="X29" s="14" t="inlineStr">
        <is>
          <t>unklar</t>
        </is>
      </c>
      <c r="Y29" s="14" t="inlineStr">
        <is>
          <t>verneint</t>
        </is>
      </c>
      <c r="Z29" s="14" t="inlineStr">
        <is>
          <t>vorhanden</t>
        </is>
      </c>
      <c r="AA29" s="14" t="inlineStr">
        <is>
          <t>verneint</t>
        </is>
      </c>
      <c r="AB29" s="14" t="inlineStr">
        <is>
          <t>Beide Knie, Rücken und beide Achillessehnen; Haut an Armen, Beinen, Rücken und Gesäß.</t>
        </is>
      </c>
      <c r="AC29" s="14" t="inlineStr">
        <is>
          <t>Ruhearthralgien beider Knie; entzündlicher Rückenschmerz mit nächtlichem Erwachen seit Ende 2018. Morgendliche Schmerzen beider Achillessehnen erschweren das Treppensteigen. TJC und SJC jeweils 0, Wirbelsäule frei beweglich. Enthesitis in der Diagnose als bestehend, im Untersuchungsbefund aktuell verneint. Psoriasiforme Plaques ohne Nagelpsoriasis; keine Daktylitis.</t>
        </is>
      </c>
      <c r="AD29" s="14" t="n"/>
      <c r="AE29" s="14" t="n"/>
      <c r="AF29" s="14" t="inlineStr">
        <is>
          <t>Aktiv</t>
        </is>
      </c>
      <c r="AG29" s="14" t="inlineStr">
        <is>
          <t>Erstvorstellung mit axialen und peripheren Beschwerden sowie Hautpsoriasis. Vorherige NSAR einschließlich Ibuprofen ohne durchschlagenden Effekt. Etoricoxib eingeleitet, Methotrexat empfohlen; Secukinumab bei im MRT persistierender florider Sakroiliitis unter mehrfacher NSAR-Therapie erwogen.</t>
        </is>
      </c>
      <c r="AH29" s="14" t="inlineStr">
        <is>
          <t>Enthesitis widersprüchlich dokumentiert: Diagnose nennt bestehende Enthesitis, körperliche Untersuchung verneint aktuelle Enthesitis; zusätzlich morgendliche Achillessehnenschmerzen.
TJC-/SJC-Zählbereich nicht angegeben. Für Scores und Laborwerte fehlen eigenständige Erhebungsdaten; das klinische Datum wird nicht als Messdatum vorausgesetzt.
BKS 26/47 gemäß Studienkonvention als BSG nach einer Stunde mit 26 mm übernommen.
Vor Einleitung der empfohlenen Basistherapie ausdrücklich keine bisherige immunsuppressive Basistherapie: „Bisher sei keine immunsuppressive Basistherapie erfolgt.“
CRP-Auswahl: erster dokumentierter Messwert in der Briefreihenfolge; daraus kein genaues Labordatum abgeleitet.</t>
        </is>
      </c>
    </row>
    <row r="30" ht="270" customHeight="1">
      <c r="A30" s="17" t="n">
        <v>45</v>
      </c>
      <c r="B30" s="18" t="inlineStr">
        <is>
          <t>PsA</t>
        </is>
      </c>
      <c r="C30" s="18" t="inlineStr">
        <is>
          <t>Follow-up</t>
        </is>
      </c>
      <c r="D30" s="19" t="n">
        <v>44081</v>
      </c>
      <c r="E30" s="19" t="n">
        <v>44104</v>
      </c>
      <c r="F30" s="17">
        <f>IF(E30="","",E30-D30)</f>
        <v/>
      </c>
      <c r="G30" s="20" t="n"/>
      <c r="H30" s="20" t="n"/>
      <c r="I30" s="20" t="n"/>
      <c r="J30" s="20" t="n"/>
      <c r="K30" s="20" t="n"/>
      <c r="L30" s="20" t="n"/>
      <c r="M30" s="20" t="n"/>
      <c r="N30" s="18" t="inlineStr">
        <is>
          <t>Ja</t>
        </is>
      </c>
      <c r="O30" s="20" t="n">
        <v>5.2</v>
      </c>
      <c r="P30" s="18" t="inlineStr">
        <is>
          <t>&lt;</t>
        </is>
      </c>
      <c r="Q30" s="18" t="inlineStr">
        <is>
          <t>mg/l</t>
        </is>
      </c>
      <c r="R30" s="20" t="n">
        <v>16</v>
      </c>
      <c r="S30" s="18" t="inlineStr">
        <is>
          <t>Secukinumab</t>
        </is>
      </c>
      <c r="T30" s="18" t="inlineStr">
        <is>
          <t>Zufriedenstellend kontrollierte PsA mit gelegentlichen Rückenschmerzen und bewegungsabhängigen Arthralgien; kleine Hautreststellen an den Beinen.</t>
        </is>
      </c>
      <c r="U30" s="18" t="inlineStr">
        <is>
          <t>vorhanden</t>
        </is>
      </c>
      <c r="V30" s="18" t="inlineStr">
        <is>
          <t>vorhanden</t>
        </is>
      </c>
      <c r="W30" s="18" t="inlineStr">
        <is>
          <t>verneint</t>
        </is>
      </c>
      <c r="X30" s="18" t="inlineStr">
        <is>
          <t>verneint</t>
        </is>
      </c>
      <c r="Y30" s="18" t="inlineStr">
        <is>
          <t>verneint</t>
        </is>
      </c>
      <c r="Z30" s="18" t="inlineStr">
        <is>
          <t>vorhanden</t>
        </is>
      </c>
      <c r="AA30" s="18" t="inlineStr">
        <is>
          <t>verneint</t>
        </is>
      </c>
      <c r="AB30" s="18" t="inlineStr">
        <is>
          <t>Rücken; periphere Gelenke ohne nähere Lokalisation; Haut an den Beinen.</t>
        </is>
      </c>
      <c r="AC30" s="18" t="inlineStr">
        <is>
          <t>Gelegentliche Rückenschmerzen, Schmerz-VAS maximal 4, ohne nächtliches Erwachen; manchmal bewegungsabhängige Arthralgien, Morgensteifigkeit wenige Minuten. Keine Gelenkschwellungen oder Druckschmerzen, kein Druckschmerz an Wirbelsäule/ISG. Enthesitiden und Daktylitis verneint. Kleine rötliche, alte Hautstellen an den Beinen ohne Schuppung; keine Nagelbeteiligung dokumentiert.</t>
        </is>
      </c>
      <c r="AD30" s="18" t="inlineStr">
        <is>
          <t>Secukinumab</t>
        </is>
      </c>
      <c r="AE30" s="18" t="inlineStr">
        <is>
          <t>Nicht beurteilbar</t>
        </is>
      </c>
      <c r="AF30" s="18" t="inlineStr">
        <is>
          <t>Gut kontrolliert</t>
        </is>
      </c>
      <c r="AG30" s="18" t="inlineStr">
        <is>
          <t>Unter Secukinumab seit August 2019 aktuell zufriedenstellende Krankheitskontrolle; Fortführung empfohlen. Gelegentliche Rücken- und bewegungsabhängige Gelenkschmerzen bleiben ohne klinische Schwellungen. Haut gut kontrolliert mit kleinen Reststellen. Ein ausdrücklicher klinischer Veränderungsnachweis unter Secukinumab fehlt. Frühere NSAR-/Lokaltherapie hatte die Krankheitsaktivität unzureichend kontrolliert und war mit erhöhten Blutdruckwerten verbunden.</t>
        </is>
      </c>
      <c r="AH30" s="18" t="inlineStr">
        <is>
          <t>Ansprechen auf Secukinumab nicht beurteilbar: dokumentiert ist die aktuelle zufriedenstellende Kontrolle, kein ausdrücklicher klinischer Veränderungsnachweis. Die frühere unzureichende NSAR-/Lokaltherapie wird getrennt im Verlauf erhalten.
Rücken- und bewegungsabhängige Gelenkschmerzen sind dokumentiert; eine aktuelle entzündliche Ursache wird nicht eindeutig zugeordnet.
Keine standardisierten TJC-/SJC-Zahlen dokumentiert; aus dem unauffälligen Untersuchungsbefund keine Nullen abgeleitet.
Weitere Scores: BASMI 0 und MASES 0; Originalbeleg aus 45_FollowUp.docx: „WS/ISG kein DS, BASMI 0 MASES 0“. MASES nicht als LEI übernommen.
BSG 16/29 mm gemäß Studienkonvention mit dem ersten Wert 16 mm nach einer Stunde übernommen.
Eigenständige Labordaten fehlen; das klinische Datum wird nicht als Labordatum vorausgesetzt.
CRP-Auswahl: erster dokumentierter Messwert in der Briefreihenfolge; daraus kein genaues Labordatum abgeleitet.</t>
        </is>
      </c>
    </row>
    <row r="31" ht="120" customHeight="1">
      <c r="A31" s="13" t="n">
        <v>46</v>
      </c>
      <c r="B31" s="14" t="inlineStr">
        <is>
          <t>PsA</t>
        </is>
      </c>
      <c r="C31" s="14" t="inlineStr">
        <is>
          <t>Baseline</t>
        </is>
      </c>
      <c r="D31" s="15" t="n">
        <v>43521</v>
      </c>
      <c r="E31" s="15" t="n">
        <v>43507</v>
      </c>
      <c r="F31" s="13">
        <f>IF(E31="","",E31-D31)</f>
        <v/>
      </c>
      <c r="G31" s="16" t="n"/>
      <c r="H31" s="16" t="n"/>
      <c r="I31" s="16" t="n">
        <v>1</v>
      </c>
      <c r="J31" s="16" t="n">
        <v>1</v>
      </c>
      <c r="K31" s="16" t="n"/>
      <c r="L31" s="16" t="n"/>
      <c r="M31" s="16" t="n"/>
      <c r="N31" s="14" t="inlineStr">
        <is>
          <t>Ja</t>
        </is>
      </c>
      <c r="O31" s="16" t="n">
        <v>5.2</v>
      </c>
      <c r="P31" s="14" t="inlineStr">
        <is>
          <t>&lt;</t>
        </is>
      </c>
      <c r="Q31" s="14" t="inlineStr">
        <is>
          <t>mg/l</t>
        </is>
      </c>
      <c r="R31" s="16" t="n"/>
      <c r="S31" s="14" t="inlineStr">
        <is>
          <t>Methotrexat; Ibuprofen; Naproxen; Oxycodon; Naloxon</t>
        </is>
      </c>
      <c r="T31" s="14" t="inlineStr">
        <is>
          <t>Aktive PsA mit führender Enthesitis, Daktylitis rechts IV und verbliebener schmerzhafter Gelenkschwellung am PIP IV rechts.</t>
        </is>
      </c>
      <c r="U31" s="14" t="inlineStr">
        <is>
          <t>vorhanden</t>
        </is>
      </c>
      <c r="V31" s="14" t="inlineStr">
        <is>
          <t>vorhanden</t>
        </is>
      </c>
      <c r="W31" s="14" t="inlineStr">
        <is>
          <t>vorhanden</t>
        </is>
      </c>
      <c r="X31" s="14" t="inlineStr">
        <is>
          <t>vorhanden</t>
        </is>
      </c>
      <c r="Y31" s="14" t="inlineStr">
        <is>
          <t>vorhanden</t>
        </is>
      </c>
      <c r="Z31" s="14" t="inlineStr">
        <is>
          <t>verneint</t>
        </is>
      </c>
      <c r="AA31" s="14" t="inlineStr">
        <is>
          <t>vorhanden</t>
        </is>
      </c>
      <c r="AB31" s="14" t="inlineStr">
        <is>
          <t>PIP IV und Finger IV rechts; Finger, Ellenbogen, Schultern, Achillessehnen und Plantarfaszien beidseits; kostovertebraler Bereich; sämtliche Nägel.</t>
        </is>
      </c>
      <c r="AC31" s="14" t="inlineStr">
        <is>
          <t>Synovitis kleiner Fingergelenke nach Prednisolonstoß deutlich rückläufig; weiterhin ausgeprägte Sehnenbeschwerden. Klinisch Enthesitis sämtlicher Enthesen, Daktylitis IV rechts und Druckschmerz mit Schwellung am PIP IV rechts. Kostovertebrale Beschwerden bei frei beweglicher Wirbelsäule; FBA, Hinterhauptwandabstand und WTA jeweils 0 cm. Keine Hautpsoriasis, Nagelpsoriasis sämtlicher Nägel.</t>
        </is>
      </c>
      <c r="AD31" s="14" t="n"/>
      <c r="AE31" s="14" t="n"/>
      <c r="AF31" s="14" t="inlineStr">
        <is>
          <t>Aktiv</t>
        </is>
      </c>
      <c r="AG31" s="14" t="inlineStr">
        <is>
          <t>Unter MTX persistierende PsA-Aktivität mit führender Enthesitis. Nach Prednisolonstoß deutliche Rückbildung der Fingersynovitis, jedoch weiterhin relevante Sehnenbeschwerden und Daktylitis. Erweiterung um Tofacitinib empfohlen.</t>
        </is>
      </c>
      <c r="AH31" s="14" t="inlineStr">
        <is>
          <t>CRP-Labordatum nicht separat angegeben.
Zählbereich von TJC und SJC nicht angegeben.
Kostovertebrale Beschwerden sind klinisch dokumentiert; eine entzündliche axiale Beteiligung ist damit nicht gesichert.
Keine konkrete Funktionseinschränkung dokumentiert.
CRP-Auswahl: erster dokumentierter Messwert in der Briefreihenfolge; daraus kein genaues Labordatum abgeleitet.</t>
        </is>
      </c>
    </row>
    <row r="32" ht="285" customHeight="1">
      <c r="A32" s="17" t="n">
        <v>46</v>
      </c>
      <c r="B32" s="18" t="inlineStr">
        <is>
          <t>PsA</t>
        </is>
      </c>
      <c r="C32" s="18" t="inlineStr">
        <is>
          <t>Follow-up</t>
        </is>
      </c>
      <c r="D32" s="19" t="n">
        <v>44064</v>
      </c>
      <c r="E32" s="19" t="n">
        <v>44097</v>
      </c>
      <c r="F32" s="17">
        <f>IF(E32="","",E32-D32)</f>
        <v/>
      </c>
      <c r="G32" s="20" t="n"/>
      <c r="H32" s="20" t="n"/>
      <c r="I32" s="20" t="n"/>
      <c r="J32" s="20" t="n"/>
      <c r="K32" s="20" t="n"/>
      <c r="L32" s="20" t="n"/>
      <c r="M32" s="20" t="n"/>
      <c r="N32" s="18" t="inlineStr">
        <is>
          <t>Ja</t>
        </is>
      </c>
      <c r="O32" s="20" t="n">
        <v>5.2</v>
      </c>
      <c r="P32" s="18" t="inlineStr">
        <is>
          <t>&lt;</t>
        </is>
      </c>
      <c r="Q32" s="18" t="inlineStr">
        <is>
          <t>mg/l</t>
        </is>
      </c>
      <c r="R32" s="20" t="n">
        <v>26</v>
      </c>
      <c r="S32" s="18" t="n"/>
      <c r="T32" s="18" t="inlineStr">
        <is>
          <t>Persistierende periphere und rechtsbetonte ISG-Schmerzen mit etwa einstündiger Morgensteifigkeit und leichter Schwellung des linken Knies bei pausierter Basistherapie.</t>
        </is>
      </c>
      <c r="U32" s="18" t="inlineStr">
        <is>
          <t>vorhanden</t>
        </is>
      </c>
      <c r="V32" s="18" t="inlineStr">
        <is>
          <t>vorhanden</t>
        </is>
      </c>
      <c r="W32" s="18" t="inlineStr">
        <is>
          <t>vorhanden</t>
        </is>
      </c>
      <c r="X32" s="18" t="inlineStr">
        <is>
          <t>nicht erwähnt</t>
        </is>
      </c>
      <c r="Y32" s="18" t="inlineStr">
        <is>
          <t>nicht erwähnt</t>
        </is>
      </c>
      <c r="Z32" s="18" t="inlineStr">
        <is>
          <t>verneint</t>
        </is>
      </c>
      <c r="AA32" s="18" t="inlineStr">
        <is>
          <t>nicht erwähnt</t>
        </is>
      </c>
      <c r="AB32" s="18" t="inlineStr">
        <is>
          <t>Hände und Füße; linkes Knie, rechte Schulter; ISG rechts stärker als links.</t>
        </is>
      </c>
      <c r="AC32" s="18" t="inlineStr">
        <is>
          <t>Schmerzen an Händen und Füßen mit gelegentlichen Schwellungen, Morgensteifigkeit etwa 1 Stunde. Klinisch leichte Schwellung am linken Knie, Schmerzen und Druckschmerz an der rechten Schulter sowie rechtsseitiger ISG-Befund mit positivem Patrick-Test. Der Gelenkstatus nennt zugleich allgemein keine Druckschmerzen. Aktuelle Psoriasis verneint; Enthesitis, Daktylitis und Nagelbeteiligung nur in der Diagnosehistorie genannt.</t>
        </is>
      </c>
      <c r="AD32" s="18" t="n"/>
      <c r="AE32" s="18" t="inlineStr">
        <is>
          <t>Nicht beurteilbar</t>
        </is>
      </c>
      <c r="AF32" s="18" t="inlineStr">
        <is>
          <t>Aktiv</t>
        </is>
      </c>
      <c r="AG32" s="18" t="inlineStr">
        <is>
          <t>Tofacitinib bis Dezember 2019 wegen rezidivierender Infekte beendet; seit Februar 2020 Etanercept zusätzlich zu MTX. Beide seit 14 Tagen wegen Infektionen und Kieferwundheilungsstörung pausiert, ebenso weitere Pause der Osteoporosetherapie empfohlen. Aktuell Schmerzen, Morgensteifigkeit und Gelenkschwellung ohne erhöhte systemische Entzündungsparameter. Überbrückend Etoricoxib empfohlen. Eine klinische Veränderung unter MTX/Etanercept ist nicht dokumentiert; die PET-Rückbildung begründet kein klinisches Ansprechen.</t>
        </is>
      </c>
      <c r="AH32" s="18" t="inlineStr">
        <is>
          <t>Kein klinischer Veränderungsnachweis unter einer eindeutig beurteilten Therapie; daher Ansprechen Nicht beurteilbar und Beurteilte Therapie null. PET-Rückbildung allein genügt nicht.
Aktiver klinischer Zustand anhand aktueller Schmerzen, Morgensteifigkeit und Gelenkschwellung eingeordnet; entzündliche Ursache der einzelnen Schmerzregionen nicht durchgehend gesichert.
CRP und BSG ohne separat angegebenen Messtag; keine automatische Zuordnung zum klinischen Referenztermin.
BSG gemäß Studienkonvention aus dem ersten Wert der Angabe 26/44 mm/h übernommen.
Keine laufende Basistherapie zum Besuch: MTX und Etanercept seit 14 Tagen pausiert.
Allgemeine Angabe keine DS bei zugleich dokumentiertem Druckschmerz der rechten Schulter; kein standardisierter TJC oder SJC angegeben.
Historische Diagnoseangaben zu Enthesitis, Daktylitis und Nagelbeteiligung belegen keinen aktuellen Befund dieser Domänen.
CRP-Auswahl: erster dokumentierter Messwert in der Briefreihenfolge; daraus kein genaues Labordatum abgeleitet.</t>
        </is>
      </c>
    </row>
    <row r="33" ht="225" customHeight="1">
      <c r="A33" s="13" t="n">
        <v>47</v>
      </c>
      <c r="B33" s="14" t="inlineStr">
        <is>
          <t>PsA</t>
        </is>
      </c>
      <c r="C33" s="14" t="inlineStr">
        <is>
          <t>Baseline</t>
        </is>
      </c>
      <c r="D33" s="15" t="n">
        <v>43437</v>
      </c>
      <c r="E33" s="15" t="n">
        <v>43430</v>
      </c>
      <c r="F33" s="13">
        <f>IF(E33="","",E33-D33)</f>
        <v/>
      </c>
      <c r="G33" s="16" t="n"/>
      <c r="H33" s="16" t="n"/>
      <c r="I33" s="16" t="n">
        <v>0</v>
      </c>
      <c r="J33" s="16" t="n">
        <v>0</v>
      </c>
      <c r="K33" s="16" t="n"/>
      <c r="L33" s="16" t="n">
        <v>5.1</v>
      </c>
      <c r="M33" s="16" t="n"/>
      <c r="N33" s="14" t="inlineStr">
        <is>
          <t>Ja</t>
        </is>
      </c>
      <c r="O33" s="16" t="n">
        <v>9</v>
      </c>
      <c r="P33" s="14" t="inlineStr">
        <is>
          <t>=</t>
        </is>
      </c>
      <c r="Q33" s="14" t="inlineStr">
        <is>
          <t>mg/l</t>
        </is>
      </c>
      <c r="R33" s="16" t="n"/>
      <c r="S33" s="14" t="inlineStr">
        <is>
          <t>Diclofenac</t>
        </is>
      </c>
      <c r="T33" s="14" t="inlineStr">
        <is>
          <t>Enthesitis bei dominant peripherer PsA mit oligoartikulärem und DIP-Befallstyp; aktuell keine druckschmerzhaften oder geschwollenen Gelenke.</t>
        </is>
      </c>
      <c r="U33" s="14" t="inlineStr">
        <is>
          <t>vorhanden</t>
        </is>
      </c>
      <c r="V33" s="14" t="inlineStr">
        <is>
          <t>nicht erwähnt</t>
        </is>
      </c>
      <c r="W33" s="14" t="inlineStr">
        <is>
          <t>verneint</t>
        </is>
      </c>
      <c r="X33" s="14" t="inlineStr">
        <is>
          <t>vorhanden</t>
        </is>
      </c>
      <c r="Y33" s="14" t="inlineStr">
        <is>
          <t>verneint</t>
        </is>
      </c>
      <c r="Z33" s="14" t="inlineStr">
        <is>
          <t>vorhanden</t>
        </is>
      </c>
      <c r="AA33" s="14" t="inlineStr">
        <is>
          <t>verneint</t>
        </is>
      </c>
      <c r="AB33" s="14" t="inlineStr">
        <is>
          <t>Enthesen beidseits costochondral an der 1. und 7. Rippe, beidseits Spina iliaca anterior superior und linke Achillessehne; Haut an beiden Ellenbogen, beiden Leisten und gesamtem Capillitium.</t>
        </is>
      </c>
      <c r="AC33" s="14" t="inlineStr">
        <is>
          <t>Anamnestisch rezidivierende Schwellungen kleiner Fingergelenke einschließlich DIP sowie Sehnenbeschwerden an Achillessehne, Hüfte und Ellenbogen; aktuell TJC 0 und SJC 0. Leichter enthesealer Druckschmerz an den genannten Lokalisationen. Psoriasiforme Plaques auf 10 % der Körperoberfläche. Wirbelsäule frei beweglich; keine klinische Aussage zu axialen Schmerzen.</t>
        </is>
      </c>
      <c r="AD33" s="14" t="n"/>
      <c r="AE33" s="14" t="n"/>
      <c r="AF33" s="14" t="inlineStr">
        <is>
          <t>Aktiv</t>
        </is>
      </c>
      <c r="AG33" s="14" t="inlineStr">
        <is>
          <t>Persistierende PsA-Aktivität mit klinischer Enthesitis und Hautbeteiligung. NSAR und zuletzt Secukinumab ohne ausreichende Wirkung; Secukinumab pausiert. Umstellung auf Tofacitinib empfohlen.</t>
        </is>
      </c>
      <c r="AH33" s="14" t="inlineStr">
        <is>
          <t>CRP: erster Messwert nach Reihenfolge; kein eigenes Labordatum angegeben.
TJC, SJC und PASI ohne separates Untersuchungsdatum; Zählbereich von TJC und SJC nicht angegeben.
Anamnestisch rezidivierende Gelenkschwellungen, im aktuellen Gelenkstatus SJC 0.
MASES 7; Beleg 47_Baseline.docx: „Enthesaler Druckschmerz bds. costochondral 1. und 7. Rippe, Spina iliaca anterior superior bds., Achillessehne li., Schweregrad gesamt leicht; MASES 7“. Kein LEI dokumentiert.
Topische Therapie laufend, Wirkstoff und Dosierung nicht genannt; Beleg 47_Baseline.docx: „aktuelle Therapie: topische Therapie, geplante Umstellung auf Tofacitinib“.
CRP-Auswahl: erster dokumentierter Messwert in der Briefreihenfolge; daraus kein genaues Labordatum abgeleitet.</t>
        </is>
      </c>
    </row>
    <row r="34" ht="300" customHeight="1">
      <c r="A34" s="17" t="n">
        <v>47</v>
      </c>
      <c r="B34" s="18" t="inlineStr">
        <is>
          <t>PsA</t>
        </is>
      </c>
      <c r="C34" s="18" t="inlineStr">
        <is>
          <t>Follow-up</t>
        </is>
      </c>
      <c r="D34" s="19" t="n">
        <v>44113</v>
      </c>
      <c r="E34" s="19" t="n">
        <v>44183</v>
      </c>
      <c r="F34" s="17">
        <f>IF(E34="","",E34-D34)</f>
        <v/>
      </c>
      <c r="G34" s="20" t="n"/>
      <c r="H34" s="20" t="n"/>
      <c r="I34" s="20" t="n"/>
      <c r="J34" s="20" t="n"/>
      <c r="K34" s="20" t="n"/>
      <c r="L34" s="20" t="n"/>
      <c r="M34" s="20" t="n"/>
      <c r="N34" s="18" t="inlineStr">
        <is>
          <t>Ja</t>
        </is>
      </c>
      <c r="O34" s="20" t="n">
        <v>6.4</v>
      </c>
      <c r="P34" s="18" t="inlineStr">
        <is>
          <t>=</t>
        </is>
      </c>
      <c r="Q34" s="18" t="inlineStr">
        <is>
          <t>mg/l</t>
        </is>
      </c>
      <c r="R34" s="20" t="n"/>
      <c r="S34" s="18" t="inlineStr">
        <is>
          <t>Certolizumab</t>
        </is>
      </c>
      <c r="T34" s="18" t="inlineStr">
        <is>
          <t>Gut kontrollierte PsA mit gelegentlichen Handgelenkschmerzen und dezentem radialem Druckschmerz beidseits, ohne klinische Gelenkschwellung.</t>
        </is>
      </c>
      <c r="U34" s="18" t="inlineStr">
        <is>
          <t>vorhanden</t>
        </is>
      </c>
      <c r="V34" s="18" t="inlineStr">
        <is>
          <t>nicht erwähnt</t>
        </is>
      </c>
      <c r="W34" s="18" t="inlineStr">
        <is>
          <t>verneint</t>
        </is>
      </c>
      <c r="X34" s="18" t="inlineStr">
        <is>
          <t>unklar</t>
        </is>
      </c>
      <c r="Y34" s="18" t="inlineStr">
        <is>
          <t>verneint</t>
        </is>
      </c>
      <c r="Z34" s="18" t="inlineStr">
        <is>
          <t>verneint</t>
        </is>
      </c>
      <c r="AA34" s="18" t="inlineStr">
        <is>
          <t>verneint</t>
        </is>
      </c>
      <c r="AB34" s="18" t="inlineStr">
        <is>
          <t>Handgelenke radial beidseits; gelegentliche Hauterscheinungen in der Rima ani, aktuell keine Plaques.</t>
        </is>
      </c>
      <c r="AC34" s="18" t="inlineStr">
        <is>
          <t>Gelegentliche Handgelenkschmerzen und dezenter radialer Druckschmerz beidseits bei fehlenden geschwollenen Gelenken. Fußschmerzen vollständig verschwunden. Keine Morgensteifigkeit. Aktuell keine erythrosquamösen Plaques; gelegentliche psoriasiforme Plaques in der Rima ani topisch gut kontrollierbar. Enthesitis nur in der Diagnosenliste ohne aktuellen Lokalbefund genannt.</t>
        </is>
      </c>
      <c r="AD34" s="18" t="inlineStr">
        <is>
          <t>Tofacitinib</t>
        </is>
      </c>
      <c r="AE34" s="18" t="inlineStr">
        <is>
          <t>Keines</t>
        </is>
      </c>
      <c r="AF34" s="18" t="inlineStr">
        <is>
          <t>Gut kontrolliert</t>
        </is>
      </c>
      <c r="AG34" s="18" t="inlineStr">
        <is>
          <t>Tofacitinib wurde 05/2019 wegen Leberwerterhöhung und unzureichenden Therapieansprechens beendet. Unter aktuellem Certolizumab klinisch gute Kontrolle ohne Aktivitätszeichen; gelegentliche Handgelenksbeschwerden verbleiben, Fußschmerzen sind verschwunden. Haut aktuell ohne Plaques, gelegentliche Läsionen topisch kontrollierbar. Fortführung von Certolizumab empfohlen.</t>
        </is>
      </c>
      <c r="AH34" s="18" t="inlineStr">
        <is>
          <t>CRP: erster Messwert nach Reihenfolge; kein eigenes Labordatum angegeben.
Ansprechen Keines bezieht sich auf das ausdrücklich dokumentierte Versagen von Tofacitinib, nicht auf das aktuell laufende Certolizumab. Für Certolizumab ist gute aktuelle Kontrolle dokumentiert; das Ausmaß einer muskuloskelettalen Veränderung bleibt unzureichend zuordenbar.
Widersprüchliche Schmerzanamnese: 47_FollowUp.docx: „Keine Gelenkschmerzen, Keine Gelenkschwellungen, Keine Morgensteifigkeit.“ Gleichzeitig gelegentliche Handgelenkschmerzen und objektiver Druckschmerz; daher periphere Gelenkbeschwerden vorhanden.
Enthesitis steht nur in der Diagnosenliste; aktuelle klinische Aktivität und Lokalisation bleiben unklar.
Haut aktuell im Untersuchungsbefund ohne Plaques; episodische Läsionen in der Rima ani bleiben im Verlauf erhalten.
Topische Therapie zur Hautkontrolle, Wirkstoff und Dosierung nicht genannt; Beleg 47_FollowUp.docx: „Dies würde durch topische Therapie gut zu kontrollieren sein.“
CRP-Auswahl: erster dokumentierter Messwert in der Briefreihenfolge; daraus kein genaues Labordatum abgeleitet.</t>
        </is>
      </c>
    </row>
    <row r="35" ht="150" customHeight="1">
      <c r="A35" s="13" t="n">
        <v>48</v>
      </c>
      <c r="B35" s="14" t="inlineStr">
        <is>
          <t>PsA</t>
        </is>
      </c>
      <c r="C35" s="14" t="inlineStr">
        <is>
          <t>Baseline</t>
        </is>
      </c>
      <c r="D35" s="15" t="n">
        <v>44135</v>
      </c>
      <c r="E35" s="15" t="n">
        <v>44105</v>
      </c>
      <c r="F35" s="13">
        <f>IF(E35="","",E35-D35)</f>
        <v/>
      </c>
      <c r="G35" s="16" t="n"/>
      <c r="H35" s="16" t="n"/>
      <c r="I35" s="16" t="n"/>
      <c r="J35" s="16" t="n"/>
      <c r="K35" s="16" t="n"/>
      <c r="L35" s="16" t="n">
        <v>3</v>
      </c>
      <c r="M35" s="16" t="n">
        <v>1.75</v>
      </c>
      <c r="N35" s="14" t="inlineStr">
        <is>
          <t>Ja</t>
        </is>
      </c>
      <c r="O35" s="16" t="n">
        <v>5.6</v>
      </c>
      <c r="P35" s="14" t="inlineStr">
        <is>
          <t>=</t>
        </is>
      </c>
      <c r="Q35" s="14" t="inlineStr">
        <is>
          <t>mg/l</t>
        </is>
      </c>
      <c r="R35" s="16" t="n">
        <v>9</v>
      </c>
      <c r="S35" s="14" t="inlineStr">
        <is>
          <t>Secukinumab; Prednisolon; Metamizol; Pregabalin; Flucidine</t>
        </is>
      </c>
      <c r="T35" s="14" t="inlineStr">
        <is>
          <t>Führende Hautpsoriasis bei geringen Gelenkbeschwerden und Schwellung am PIP III rechts.</t>
        </is>
      </c>
      <c r="U35" s="14" t="inlineStr">
        <is>
          <t>vorhanden</t>
        </is>
      </c>
      <c r="V35" s="14" t="inlineStr">
        <is>
          <t>nicht erwähnt</t>
        </is>
      </c>
      <c r="W35" s="14" t="inlineStr">
        <is>
          <t>vorhanden</t>
        </is>
      </c>
      <c r="X35" s="14" t="inlineStr">
        <is>
          <t>nicht erwähnt</t>
        </is>
      </c>
      <c r="Y35" s="14" t="inlineStr">
        <is>
          <t>nicht erwähnt</t>
        </is>
      </c>
      <c r="Z35" s="14" t="inlineStr">
        <is>
          <t>vorhanden</t>
        </is>
      </c>
      <c r="AA35" s="14" t="inlineStr">
        <is>
          <t>nicht erwähnt</t>
        </is>
      </c>
      <c r="AB35" s="14" t="inlineStr">
        <is>
          <t>PIP III rechts; Unterschenkel beidseits und Ellenbogen.</t>
        </is>
      </c>
      <c r="AC35" s="14" t="inlineStr">
        <is>
          <t>Kein Gelenkdruckschmerz, Schwellung am PIP III rechts. Psoriasisplaques an beiden Unterschenkeln; Ellenbogenseite widersprüchlich dokumentiert.</t>
        </is>
      </c>
      <c r="AD35" s="14" t="n"/>
      <c r="AE35" s="14" t="n"/>
      <c r="AF35" s="14" t="inlineStr">
        <is>
          <t>Aktiv</t>
        </is>
      </c>
      <c r="AG35" s="14" t="inlineStr">
        <is>
          <t>Geringe Gelenkbeschwerden unter Secukinumab bei verbleibender Gelenkschwellung. Führende Hautbeschwerden sprechen auf die neu begonnene topische Therapie an; bisherige Therapie wird fortgeführt.</t>
        </is>
      </c>
      <c r="AH35" s="14" t="inlineStr">
        <is>
          <t>Laborwerte und Scores ohne eigenständiges Messdatum im Brief; keine gesonderte Datierung auf den Referenztermin vorgenommen.
Ellenbogenbefall links in den Diagnosen, rechts im Untersuchungsbefund.
Zusätzlicher Score BAS-G 6; Originalbeleg: „HAQ 1,75; BAS-G 6“ (48_Baseline.docx).
Psoriasis unguium nur als Diagnose genannt; kein aktueller Nagelbefund beschrieben.
CRP-Auswahl: erster dokumentierter Messwert in der Briefreihenfolge; daraus kein genaues Labordatum abgeleitet.</t>
        </is>
      </c>
    </row>
    <row r="36" ht="210" customHeight="1">
      <c r="A36" s="17" t="n">
        <v>48</v>
      </c>
      <c r="B36" s="18" t="inlineStr">
        <is>
          <t>PsA</t>
        </is>
      </c>
      <c r="C36" s="18" t="inlineStr">
        <is>
          <t>Follow-up</t>
        </is>
      </c>
      <c r="D36" s="19" t="n">
        <v>44512</v>
      </c>
      <c r="E36" s="19" t="n">
        <v>44462</v>
      </c>
      <c r="F36" s="17">
        <f>IF(E36="","",E36-D36)</f>
        <v/>
      </c>
      <c r="G36" s="20" t="n"/>
      <c r="H36" s="20" t="n"/>
      <c r="I36" s="20" t="n"/>
      <c r="J36" s="20" t="n"/>
      <c r="K36" s="20" t="n"/>
      <c r="L36" s="20" t="n"/>
      <c r="M36" s="20" t="n"/>
      <c r="N36" s="18" t="inlineStr">
        <is>
          <t>Ja</t>
        </is>
      </c>
      <c r="O36" s="20" t="n">
        <v>5.1</v>
      </c>
      <c r="P36" s="18" t="inlineStr">
        <is>
          <t>&lt;</t>
        </is>
      </c>
      <c r="Q36" s="18" t="inlineStr">
        <is>
          <t>mg/l</t>
        </is>
      </c>
      <c r="R36" s="20" t="n">
        <v>7</v>
      </c>
      <c r="S36" s="18" t="inlineStr">
        <is>
          <t>Guselkumab; Prednisolon; Metamizol; Pregabalin</t>
        </is>
      </c>
      <c r="T36" s="18" t="inlineStr">
        <is>
          <t>Ausreichend kontrollierter Gelenkstatus mit kurzzeitigen Schmerzen und unklaren Kiefergelenkbeschwerden; weiterhin ausgeprägte Hautpsoriasis.</t>
        </is>
      </c>
      <c r="U36" s="18" t="inlineStr">
        <is>
          <t>vorhanden</t>
        </is>
      </c>
      <c r="V36" s="18" t="inlineStr">
        <is>
          <t>nicht erwähnt</t>
        </is>
      </c>
      <c r="W36" s="18" t="inlineStr">
        <is>
          <t>verneint</t>
        </is>
      </c>
      <c r="X36" s="18" t="inlineStr">
        <is>
          <t>nicht erwähnt</t>
        </is>
      </c>
      <c r="Y36" s="18" t="inlineStr">
        <is>
          <t>nicht erwähnt</t>
        </is>
      </c>
      <c r="Z36" s="18" t="inlineStr">
        <is>
          <t>vorhanden</t>
        </is>
      </c>
      <c r="AA36" s="18" t="inlineStr">
        <is>
          <t>verneint</t>
        </is>
      </c>
      <c r="AB36" s="18" t="inlineStr">
        <is>
          <t>Kiefergelenk ohne Seitenangabe; Haut an Beinen, Unterschenkeln und Füßen beidseits.</t>
        </is>
      </c>
      <c r="AC36" s="18" t="inlineStr">
        <is>
          <t>Kurzzeitige Gelenkschmerzen, Morgensteifigkeit 5 Minuten. Kein Gelenkdruckschmerz und keine Schwellung. Unklare Kiefersperre in kieferorthopädischer Abklärung. Ausgeprägt aktive Plaques an Beinen und Füßen beidseits, anamnestisch abheilend; keine Nagelveränderungen.</t>
        </is>
      </c>
      <c r="AD36" s="18" t="inlineStr">
        <is>
          <t>Guselkumab</t>
        </is>
      </c>
      <c r="AE36" s="18" t="inlineStr">
        <is>
          <t>Partiell</t>
        </is>
      </c>
      <c r="AF36" s="18" t="inlineStr">
        <is>
          <t>Gut kontrolliert</t>
        </is>
      </c>
      <c r="AG36" s="18" t="inlineStr">
        <is>
          <t>Nach Wechsel wegen unzureichender Hautkontrolle unter Secukinumab auf Guselkumab seit etwa 14 Wochen nur minimale Gelenkbesserung, aber ausreichend kontrollierter Gelenkstatus. Haut deutlich gebessert, klinisch weiterhin ausgeprägte Plaques. Unklare Kiefergelenkbeschwerden werden abgeklärt; Guselkumab wird fortgeführt.</t>
        </is>
      </c>
      <c r="AH36" s="18" t="inlineStr">
        <is>
          <t>Laborwerte ohne eigenständiges Messdatum im Brief; keine gesonderte Datierung auf den Referenztermin vorgenommen.
Partielles muskuloskelettales Ansprechen aufgrund ausdrücklich minimaler Gelenkbesserung; deutliche Hautbesserung getrennt bewertet.
Gut kontrolliert bezieht sich auf den ärztlich beurteilten Gelenkstatus; die Haut bleibt aktiv.
Kiefergelenkbeschwerden unklarer Ursache, keine gesicherte entzündliche Zuordnung.
Keine standardisierten Gelenkzählwerte dokumentiert; aus fehlender Schwellung und fehlendem Druckschmerz keine Nullwerte abgeleitet.
CRP-Auswahl: erster dokumentierter Messwert in der Briefreihenfolge; daraus kein genaues Labordatum abgeleitet.</t>
        </is>
      </c>
    </row>
  </sheetData>
  <autoFilter ref="A2:AH36"/>
  <mergeCells count="5">
    <mergeCell ref="T1:AC1"/>
    <mergeCell ref="A1:F1"/>
    <mergeCell ref="AD1:AH1"/>
    <mergeCell ref="G1:M1"/>
    <mergeCell ref="N1:R1"/>
  </mergeCells>
  <dataValidations count="11">
    <dataValidation sqref="U3:U36" showDropDown="0" showInputMessage="0" showErrorMessage="0" allowBlank="1" type="list">
      <formula1>"vorhanden,verneint,unklar,nicht erwähnt"</formula1>
    </dataValidation>
    <dataValidation sqref="V3:V36" showDropDown="0" showInputMessage="0" showErrorMessage="0" allowBlank="1" type="list">
      <formula1>"vorhanden,verneint,unklar,nicht erwähnt"</formula1>
    </dataValidation>
    <dataValidation sqref="W3:W36" showDropDown="0" showInputMessage="0" showErrorMessage="0" allowBlank="1" type="list">
      <formula1>"vorhanden,verneint,unklar,nicht erwähnt"</formula1>
    </dataValidation>
    <dataValidation sqref="X3:X36" showDropDown="0" showInputMessage="0" showErrorMessage="0" allowBlank="1" type="list">
      <formula1>"vorhanden,verneint,unklar,nicht erwähnt"</formula1>
    </dataValidation>
    <dataValidation sqref="Y3:Y36" showDropDown="0" showInputMessage="0" showErrorMessage="0" allowBlank="1" type="list">
      <formula1>"vorhanden,verneint,unklar,nicht erwähnt"</formula1>
    </dataValidation>
    <dataValidation sqref="Z3:Z36" showDropDown="0" showInputMessage="0" showErrorMessage="0" allowBlank="1" type="list">
      <formula1>"vorhanden,verneint,unklar,nicht erwähnt"</formula1>
    </dataValidation>
    <dataValidation sqref="AA3:AA36" showDropDown="0" showInputMessage="0" showErrorMessage="0" allowBlank="1" type="list">
      <formula1>"vorhanden,verneint,unklar,nicht erwähnt"</formula1>
    </dataValidation>
    <dataValidation sqref="P3:P36" showDropDown="0" showInputMessage="0" showErrorMessage="0" allowBlank="1" type="list">
      <formula1>"=,&lt;,&lt;=,&gt;,&gt;="</formula1>
    </dataValidation>
    <dataValidation sqref="N3:N36" showDropDown="0" showInputMessage="0" showErrorMessage="0" allowBlank="1" type="list">
      <formula1>"Ja,Nein"</formula1>
    </dataValidation>
    <dataValidation sqref="AE3:AE36" showDropDown="0" showInputMessage="0" showErrorMessage="0" allowBlank="1" type="list">
      <formula1>"Deutlich,Partiell,Keines,Nicht beurteilbar"</formula1>
    </dataValidation>
    <dataValidation sqref="AF3:AF36" showDropDown="0" showInputMessage="0" showErrorMessage="0" allowBlank="1" type="list">
      <formula1>"Remission,Gut kontrolliert,Aktiv,Unklar"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40" customWidth="1" min="11" max="11"/>
    <col width="40" customWidth="1" min="12" max="12"/>
    <col width="65" customWidth="1" min="13" max="13"/>
    <col width="65" customWidth="1" min="14" max="14"/>
  </cols>
  <sheetData>
    <row r="1" ht="40" customHeight="1">
      <c r="A1" s="21" t="inlineStr">
        <is>
          <t>Patient</t>
        </is>
      </c>
      <c r="B1" s="21" t="inlineStr">
        <is>
          <t>Erkrankung</t>
        </is>
      </c>
      <c r="C1" s="21" t="inlineStr">
        <is>
          <t>Zeitpunkt</t>
        </is>
      </c>
      <c r="D1" s="21" t="inlineStr">
        <is>
          <t>Wirkstoff</t>
        </is>
      </c>
      <c r="E1" s="21" t="inlineStr">
        <is>
          <t>Dosis</t>
        </is>
      </c>
      <c r="F1" s="21" t="inlineStr">
        <is>
          <t>Dosiseinheit</t>
        </is>
      </c>
      <c r="G1" s="21" t="inlineStr">
        <is>
          <t>Intervallzahl</t>
        </is>
      </c>
      <c r="H1" s="21" t="inlineStr">
        <is>
          <t>Intervalleinheit</t>
        </is>
      </c>
      <c r="I1" s="21" t="inlineStr">
        <is>
          <t>Bedarf</t>
        </is>
      </c>
      <c r="J1" s="21" t="inlineStr">
        <is>
          <t>Status</t>
        </is>
      </c>
      <c r="K1" s="21" t="inlineStr">
        <is>
          <t>Dosierung (Original)</t>
        </is>
      </c>
      <c r="L1" s="21" t="inlineStr">
        <is>
          <t>Quelle</t>
        </is>
      </c>
      <c r="M1" s="21" t="inlineStr">
        <is>
          <t>Originalbeleg</t>
        </is>
      </c>
      <c r="N1" s="21" t="inlineStr">
        <is>
          <t>Hinweise</t>
        </is>
      </c>
    </row>
    <row r="2">
      <c r="A2" s="22" t="n">
        <v>32</v>
      </c>
      <c r="B2" s="23" t="inlineStr">
        <is>
          <t>PsA</t>
        </is>
      </c>
      <c r="C2" s="23" t="inlineStr">
        <is>
          <t>Baseline</t>
        </is>
      </c>
      <c r="D2" s="23" t="inlineStr">
        <is>
          <t>Certolizumab</t>
        </is>
      </c>
      <c r="E2" s="23" t="n"/>
      <c r="F2" s="23" t="n"/>
      <c r="G2" s="23" t="n"/>
      <c r="H2" s="23" t="n"/>
      <c r="I2" s="23" t="inlineStr">
        <is>
          <t>Unklar</t>
        </is>
      </c>
      <c r="J2" s="23" t="inlineStr">
        <is>
          <t>beendet</t>
        </is>
      </c>
      <c r="K2" s="23" t="n"/>
      <c r="L2" s="23" t="inlineStr">
        <is>
          <t>32_Baseline.docx</t>
        </is>
      </c>
      <c r="M2" s="23" t="inlineStr">
        <is>
          <t>Z.n Certolizumab bis 10/23 (zunehmende Hautbefund)
Aktuell Cimzia/Leflunomid</t>
        </is>
      </c>
      <c r="N2" s="23" t="inlineStr">
        <is>
          <t>Bis Oktober 2023 dokumentiert; die Therapiehistorie bezeichnet die Kombination abweichend noch als aktuell.</t>
        </is>
      </c>
    </row>
    <row r="3">
      <c r="A3" s="22" t="n">
        <v>32</v>
      </c>
      <c r="B3" s="23" t="inlineStr">
        <is>
          <t>PsA</t>
        </is>
      </c>
      <c r="C3" s="23" t="inlineStr">
        <is>
          <t>Baseline</t>
        </is>
      </c>
      <c r="D3" s="23" t="inlineStr">
        <is>
          <t>Leflunomid</t>
        </is>
      </c>
      <c r="E3" s="22" t="n">
        <v>20</v>
      </c>
      <c r="F3" s="23" t="inlineStr">
        <is>
          <t>mg</t>
        </is>
      </c>
      <c r="G3" s="23" t="n"/>
      <c r="H3" s="23" t="n"/>
      <c r="I3" s="23" t="inlineStr">
        <is>
          <t>Unklar</t>
        </is>
      </c>
      <c r="J3" s="23" t="inlineStr">
        <is>
          <t>laufend</t>
        </is>
      </c>
      <c r="K3" s="23" t="inlineStr">
        <is>
          <t>Die Therapie mit Arava wurde zuletzt auf 20 mg erhöht, dies wird nicht optimal vertragen, hier vermehrt Übelkeit u. Erbrechen.</t>
        </is>
      </c>
      <c r="L3" s="23" t="inlineStr">
        <is>
          <t>32_Baseline.docx</t>
        </is>
      </c>
      <c r="M3" s="23" t="inlineStr">
        <is>
          <t>Die Therapie mit Arava wurde zuletzt auf 20 mg erhöht, dies wird nicht optimal vertragen, hier vermehrt Übelkeit u. Erbrechen.
Die Therapie mit Leflunomid soll abgesetzt werden.</t>
        </is>
      </c>
      <c r="N3" s="23" t="inlineStr">
        <is>
          <t>Bei Vorstellung noch eingenommen; Absetzen empfohlen. Diagnosenliste nennt bereits ein Ende im Oktober 2023.</t>
        </is>
      </c>
    </row>
    <row r="4">
      <c r="A4" s="22" t="n">
        <v>32</v>
      </c>
      <c r="B4" s="23" t="inlineStr">
        <is>
          <t>PsA</t>
        </is>
      </c>
      <c r="C4" s="23" t="inlineStr">
        <is>
          <t>Baseline</t>
        </is>
      </c>
      <c r="D4" s="23" t="inlineStr">
        <is>
          <t>Bimekizumab</t>
        </is>
      </c>
      <c r="E4" s="22" t="n">
        <v>160</v>
      </c>
      <c r="F4" s="23" t="inlineStr">
        <is>
          <t>mg</t>
        </is>
      </c>
      <c r="G4" s="23" t="n"/>
      <c r="H4" s="23" t="n"/>
      <c r="I4" s="23" t="inlineStr">
        <is>
          <t>Nein</t>
        </is>
      </c>
      <c r="J4" s="23" t="inlineStr">
        <is>
          <t>geplant</t>
        </is>
      </c>
      <c r="K4" s="23" t="inlineStr">
        <is>
          <t>Bimekizumab 160mg. Hier müssten zwei Spritzen alle 4 Wochen, die erste 5 Male (Woche 0, 4, 8, 12 und 16), danach zwei Spritzen alle 8 Wochen, unter regelm. Blutkontrollen.</t>
        </is>
      </c>
      <c r="L4" s="23" t="inlineStr">
        <is>
          <t>32_Baseline.docx</t>
        </is>
      </c>
      <c r="M4" s="23" t="inlineStr">
        <is>
          <t>In Zusammenschau der Befunde bei noch aktiver Grunderkrankung empfehlen wir eine Therapieumstellung auf Bimekizumab 160mg.
Hier müssten zwei Spritzen alle 4 Wochen, die erste 5 Male (Woche 0, 4, 8, 12 und 16), danach zwei Spritzen alle 8 Wochen, unter regelm. Blutkontrollen.</t>
        </is>
      </c>
      <c r="N4" s="23" t="inlineStr">
        <is>
          <t>Dokumentierte Stärke 160 mg; Gesamtdosis aus zwei Spritzen nicht errechnet. Wechselndes Intervall im Originalschema erhalten.</t>
        </is>
      </c>
    </row>
    <row r="5">
      <c r="A5" s="22" t="n">
        <v>32</v>
      </c>
      <c r="B5" s="23" t="inlineStr">
        <is>
          <t>PsA</t>
        </is>
      </c>
      <c r="C5" s="23" t="inlineStr">
        <is>
          <t>Follow-up</t>
        </is>
      </c>
      <c r="D5" s="23" t="inlineStr">
        <is>
          <t>Bimekizumab</t>
        </is>
      </c>
      <c r="E5" s="22" t="n">
        <v>160</v>
      </c>
      <c r="F5" s="23" t="inlineStr">
        <is>
          <t>mg</t>
        </is>
      </c>
      <c r="G5" s="22" t="n">
        <v>4</v>
      </c>
      <c r="H5" s="23" t="inlineStr">
        <is>
          <t>Wochen</t>
        </is>
      </c>
      <c r="I5" s="23" t="inlineStr">
        <is>
          <t>Nein</t>
        </is>
      </c>
      <c r="J5" s="23" t="inlineStr">
        <is>
          <t>laufend</t>
        </is>
      </c>
      <c r="K5" s="23" t="inlineStr">
        <is>
          <t>Bimekizumab 160mg alle 4 Wochen (seit 10/23)</t>
        </is>
      </c>
      <c r="L5" s="23" t="inlineStr">
        <is>
          <t>32_FollowUp.docx</t>
        </is>
      </c>
      <c r="M5" s="23" t="inlineStr">
        <is>
          <t>Bimekizumab 160mg alle 4 Wochen (seit 10/23)
Bimekizumab (Bimzelx) 160 mg beenden</t>
        </is>
      </c>
      <c r="N5" s="23" t="inlineStr">
        <is>
          <t>Bei Vorstellung laufend; Beendigung im Rahmen des empfohlenen Therapiewechsels vorgesehen.</t>
        </is>
      </c>
    </row>
    <row r="6">
      <c r="A6" s="22" t="n">
        <v>32</v>
      </c>
      <c r="B6" s="23" t="inlineStr">
        <is>
          <t>PsA</t>
        </is>
      </c>
      <c r="C6" s="23" t="inlineStr">
        <is>
          <t>Follow-up</t>
        </is>
      </c>
      <c r="D6" s="23" t="inlineStr">
        <is>
          <t>Etanercept</t>
        </is>
      </c>
      <c r="E6" s="22" t="n">
        <v>50</v>
      </c>
      <c r="F6" s="23" t="inlineStr">
        <is>
          <t>mg</t>
        </is>
      </c>
      <c r="G6" s="22" t="n">
        <v>1</v>
      </c>
      <c r="H6" s="23" t="inlineStr">
        <is>
          <t>Wochen</t>
        </is>
      </c>
      <c r="I6" s="23" t="inlineStr">
        <is>
          <t>Nein</t>
        </is>
      </c>
      <c r="J6" s="23" t="inlineStr">
        <is>
          <t>geplant</t>
        </is>
      </c>
      <c r="K6" s="23" t="inlineStr">
        <is>
          <t>Etanercept (Benepali) 50 mg 1x wöchentlich</t>
        </is>
      </c>
      <c r="L6" s="23" t="inlineStr">
        <is>
          <t>32_FollowUp.docx</t>
        </is>
      </c>
      <c r="M6" s="23" t="inlineStr">
        <is>
          <t>Etanercept (Benepali) 50 mg 1x wöchentlich
Daher wird mit der Patientin der probatorische Wechsel auf den alternativen TNF-Blocker Etanercept (Benepali) besprochen.</t>
        </is>
      </c>
      <c r="N6" s="23" t="n"/>
    </row>
    <row r="7">
      <c r="A7" s="22" t="n">
        <v>33</v>
      </c>
      <c r="B7" s="23" t="inlineStr">
        <is>
          <t>PsA</t>
        </is>
      </c>
      <c r="C7" s="23" t="inlineStr">
        <is>
          <t>Baseline</t>
        </is>
      </c>
      <c r="D7" s="23" t="inlineStr">
        <is>
          <t>Apremilast</t>
        </is>
      </c>
      <c r="E7" s="22" t="n">
        <v>30</v>
      </c>
      <c r="F7" s="23" t="inlineStr">
        <is>
          <t>mg</t>
        </is>
      </c>
      <c r="G7" s="23" t="n"/>
      <c r="H7" s="23" t="n"/>
      <c r="I7" s="23" t="inlineStr">
        <is>
          <t>Nein</t>
        </is>
      </c>
      <c r="J7" s="23" t="inlineStr">
        <is>
          <t>laufend</t>
        </is>
      </c>
      <c r="K7" s="23" t="inlineStr">
        <is>
          <t>Apremilast 30 mg 1-0-1</t>
        </is>
      </c>
      <c r="L7" s="23" t="inlineStr">
        <is>
          <t>33_Baseline.docx</t>
        </is>
      </c>
      <c r="M7" s="23" t="inlineStr">
        <is>
          <t>Apremilast 30 mg 1-0-1
Aktuelle Therapie: Apremilast seit 05/2021</t>
        </is>
      </c>
      <c r="N7" s="23" t="n"/>
    </row>
    <row r="8">
      <c r="A8" s="22" t="n">
        <v>33</v>
      </c>
      <c r="B8" s="23" t="inlineStr">
        <is>
          <t>PsA</t>
        </is>
      </c>
      <c r="C8" s="23" t="inlineStr">
        <is>
          <t>Baseline</t>
        </is>
      </c>
      <c r="D8" s="23" t="inlineStr">
        <is>
          <t>Enstilar</t>
        </is>
      </c>
      <c r="E8" s="23" t="n"/>
      <c r="F8" s="23" t="n"/>
      <c r="G8" s="23" t="n"/>
      <c r="H8" s="23" t="n"/>
      <c r="I8" s="23" t="inlineStr">
        <is>
          <t>Ja</t>
        </is>
      </c>
      <c r="J8" s="23" t="inlineStr">
        <is>
          <t>laufend</t>
        </is>
      </c>
      <c r="K8" s="23" t="inlineStr">
        <is>
          <t>Enstilar Schaum b.B</t>
        </is>
      </c>
      <c r="L8" s="23" t="inlineStr">
        <is>
          <t>33_Baseline.docx</t>
        </is>
      </c>
      <c r="M8" s="23" t="inlineStr">
        <is>
          <t>Enstilar Schaum b.B</t>
        </is>
      </c>
      <c r="N8" s="23" t="inlineStr">
        <is>
          <t>Handelsname erhalten; Einzelwirkstoffe im Brief nicht angegeben.</t>
        </is>
      </c>
    </row>
    <row r="9">
      <c r="A9" s="22" t="n">
        <v>33</v>
      </c>
      <c r="B9" s="23" t="inlineStr">
        <is>
          <t>PsA</t>
        </is>
      </c>
      <c r="C9" s="23" t="inlineStr">
        <is>
          <t>Baseline</t>
        </is>
      </c>
      <c r="D9" s="23" t="inlineStr">
        <is>
          <t>Prednisolon</t>
        </is>
      </c>
      <c r="E9" s="23" t="n"/>
      <c r="F9" s="23" t="n"/>
      <c r="G9" s="23" t="n"/>
      <c r="H9" s="23" t="n"/>
      <c r="I9" s="23" t="inlineStr">
        <is>
          <t>Unklar</t>
        </is>
      </c>
      <c r="J9" s="23" t="inlineStr">
        <is>
          <t>beendet</t>
        </is>
      </c>
      <c r="K9" s="23" t="n"/>
      <c r="L9" s="23" t="inlineStr">
        <is>
          <t>33_Baseline.docx</t>
        </is>
      </c>
      <c r="M9" s="23" t="inlineStr">
        <is>
          <t>Die Prednisolon-Therapie sei letzten Sommer eingenommen und wie besprochen ausgeschlichen worden, diese habe jedoch keine Besserung erbracht.</t>
        </is>
      </c>
      <c r="N9" s="23" t="inlineStr">
        <is>
          <t>Abgeschlossene Behandlung ohne berichteten Nutzen.</t>
        </is>
      </c>
    </row>
    <row r="10">
      <c r="A10" s="22" t="n">
        <v>33</v>
      </c>
      <c r="B10" s="23" t="inlineStr">
        <is>
          <t>PsA</t>
        </is>
      </c>
      <c r="C10" s="23" t="inlineStr">
        <is>
          <t>Baseline</t>
        </is>
      </c>
      <c r="D10" s="23" t="inlineStr">
        <is>
          <t>Etoricoxib</t>
        </is>
      </c>
      <c r="E10" s="22" t="n">
        <v>60</v>
      </c>
      <c r="F10" s="23" t="inlineStr">
        <is>
          <t>mg</t>
        </is>
      </c>
      <c r="G10" s="23" t="n"/>
      <c r="H10" s="23" t="n"/>
      <c r="I10" s="23" t="inlineStr">
        <is>
          <t>Ja</t>
        </is>
      </c>
      <c r="J10" s="23" t="inlineStr">
        <is>
          <t>geplant</t>
        </is>
      </c>
      <c r="K10" s="23" t="inlineStr">
        <is>
          <t>Arcoxia 60 mg 1-0-1 über 2 Wochen, dann 1-0-0 über 2 Wochen und dann bei Bedarf bis max. 2x/täglich.</t>
        </is>
      </c>
      <c r="L10" s="23" t="inlineStr">
        <is>
          <t>33_Baseline.docx</t>
        </is>
      </c>
      <c r="M10" s="23" t="inlineStr">
        <is>
          <t>Wir empfahlen des Weiteren eine Therapie mit Arcoxia 60 mg 1-0-1 über 2 Wochen, dann 1-0-0 über 2 Wochen und dann bei Bedarf bis max. 2x/täglich.</t>
        </is>
      </c>
      <c r="N10" s="23" t="inlineStr">
        <is>
          <t>Zunächst regelmäßige Einnahme nach Stufenschema, anschließend bei Bedarf; kein einheitliches Intervall.</t>
        </is>
      </c>
    </row>
    <row r="11">
      <c r="A11" s="22" t="n">
        <v>33</v>
      </c>
      <c r="B11" s="23" t="inlineStr">
        <is>
          <t>PsA</t>
        </is>
      </c>
      <c r="C11" s="23" t="inlineStr">
        <is>
          <t>Follow-up</t>
        </is>
      </c>
      <c r="D11" s="23" t="inlineStr">
        <is>
          <t>Bimekizumab</t>
        </is>
      </c>
      <c r="E11" s="22" t="n">
        <v>160</v>
      </c>
      <c r="F11" s="23" t="inlineStr">
        <is>
          <t>mg</t>
        </is>
      </c>
      <c r="G11" s="22" t="n">
        <v>28</v>
      </c>
      <c r="H11" s="23" t="inlineStr">
        <is>
          <t>Tage</t>
        </is>
      </c>
      <c r="I11" s="23" t="inlineStr">
        <is>
          <t>Nein</t>
        </is>
      </c>
      <c r="J11" s="23" t="inlineStr">
        <is>
          <t>pausiert</t>
        </is>
      </c>
      <c r="K11" s="23" t="inlineStr">
        <is>
          <t>Bimekizumab 160mg s.c. alle 28 d seit 08/2024, aktuell pausiert bei rez. Infekten und Mukositis</t>
        </is>
      </c>
      <c r="L11" s="23" t="inlineStr">
        <is>
          <t>33_FollowUp.docx</t>
        </is>
      </c>
      <c r="M11" s="23" t="inlineStr">
        <is>
          <t>Aktuelle Therapie: Bimekizumab 160mg s.c. alle 28 d seit 08/2024, aktuell pausiert bei rez. Infekten und Mukositis
Da die Patientin bisher von Bimekizumab gut profitiert hat, empfahlen wir einmalig noch das Medikament zu verabreichen und eine Beobachtung hinsichtlich de Mukositis.</t>
        </is>
      </c>
      <c r="N11" s="23" t="inlineStr">
        <is>
          <t>Zuletzt am 28.01. appliziert; einmalige erneute Gabe empfohlen, Durchführung nicht belegt.</t>
        </is>
      </c>
    </row>
    <row r="12">
      <c r="A12" s="22" t="n">
        <v>33</v>
      </c>
      <c r="B12" s="23" t="inlineStr">
        <is>
          <t>PsA</t>
        </is>
      </c>
      <c r="C12" s="23" t="inlineStr">
        <is>
          <t>Follow-up</t>
        </is>
      </c>
      <c r="D12" s="23" t="inlineStr">
        <is>
          <t>Guselkumab</t>
        </is>
      </c>
      <c r="E12" s="23" t="n"/>
      <c r="F12" s="23" t="n"/>
      <c r="G12" s="23" t="n"/>
      <c r="H12" s="23" t="n"/>
      <c r="I12" s="23" t="inlineStr">
        <is>
          <t>Unklar</t>
        </is>
      </c>
      <c r="J12" s="23" t="inlineStr">
        <is>
          <t>geplant</t>
        </is>
      </c>
      <c r="K12" s="23" t="n"/>
      <c r="L12" s="23" t="inlineStr">
        <is>
          <t>33_FollowUp.docx</t>
        </is>
      </c>
      <c r="M12" s="23" t="inlineStr">
        <is>
          <t>Sollte die Mukositis wieder auftreten, planen wir die Umstellung der bDMARD-Therapie, in erster Linie steht eine anti-IL23 -Therapie wie Guselkumab in Raum.</t>
        </is>
      </c>
      <c r="N12" s="23" t="inlineStr">
        <is>
          <t>Bedingte Planung bei erneutem Auftreten der Mukositis.</t>
        </is>
      </c>
    </row>
    <row r="13">
      <c r="A13" s="22" t="n">
        <v>33</v>
      </c>
      <c r="B13" s="23" t="inlineStr">
        <is>
          <t>PsA</t>
        </is>
      </c>
      <c r="C13" s="23" t="inlineStr">
        <is>
          <t>Follow-up</t>
        </is>
      </c>
      <c r="D13" s="23" t="inlineStr">
        <is>
          <t>Apremilast</t>
        </is>
      </c>
      <c r="E13" s="23" t="n"/>
      <c r="F13" s="23" t="n"/>
      <c r="G13" s="23" t="n"/>
      <c r="H13" s="23" t="n"/>
      <c r="I13" s="23" t="inlineStr">
        <is>
          <t>Unklar</t>
        </is>
      </c>
      <c r="J13" s="23" t="inlineStr">
        <is>
          <t>beendet</t>
        </is>
      </c>
      <c r="K13" s="23" t="n"/>
      <c r="L13" s="23" t="inlineStr">
        <is>
          <t>33_FollowUp.docx</t>
        </is>
      </c>
      <c r="M13" s="23" t="inlineStr">
        <is>
          <t>bisherige Therapie: Apremilast seit 05/2021 bis 06.24</t>
        </is>
      </c>
      <c r="N13" s="23" t="inlineStr">
        <is>
          <t>Im Juni 2024 beendet; keine Dosisangabe in dieser Briefgruppe.</t>
        </is>
      </c>
    </row>
    <row r="14">
      <c r="A14" s="22" t="n">
        <v>34</v>
      </c>
      <c r="B14" s="23" t="inlineStr">
        <is>
          <t>PsA</t>
        </is>
      </c>
      <c r="C14" s="23" t="inlineStr">
        <is>
          <t>Baseline</t>
        </is>
      </c>
      <c r="D14" s="23" t="inlineStr">
        <is>
          <t>Secukinumab</t>
        </is>
      </c>
      <c r="E14" s="22" t="n">
        <v>300</v>
      </c>
      <c r="F14" s="23" t="inlineStr">
        <is>
          <t>mg</t>
        </is>
      </c>
      <c r="G14" s="23" t="n"/>
      <c r="H14" s="23" t="n"/>
      <c r="I14" s="23" t="inlineStr">
        <is>
          <t>Unklar</t>
        </is>
      </c>
      <c r="J14" s="23" t="inlineStr">
        <is>
          <t>beendet</t>
        </is>
      </c>
      <c r="K14" s="23" t="inlineStr">
        <is>
          <t>Secukinumab 300mg s.c. abgesetzt</t>
        </is>
      </c>
      <c r="L14" s="23" t="inlineStr">
        <is>
          <t>34_Baseline.docx</t>
        </is>
      </c>
      <c r="M14" s="23" t="inlineStr">
        <is>
          <t>Secukinumab 300mg s.c. abgesetzt</t>
        </is>
      </c>
      <c r="N14" s="23" t="n"/>
    </row>
    <row r="15">
      <c r="A15" s="22" t="n">
        <v>34</v>
      </c>
      <c r="B15" s="23" t="inlineStr">
        <is>
          <t>PsA</t>
        </is>
      </c>
      <c r="C15" s="23" t="inlineStr">
        <is>
          <t>Baseline</t>
        </is>
      </c>
      <c r="D15" s="23" t="inlineStr">
        <is>
          <t>Adalimumab</t>
        </is>
      </c>
      <c r="E15" s="22" t="n">
        <v>40</v>
      </c>
      <c r="F15" s="23" t="inlineStr">
        <is>
          <t>mg</t>
        </is>
      </c>
      <c r="G15" s="22" t="n">
        <v>2</v>
      </c>
      <c r="H15" s="23" t="inlineStr">
        <is>
          <t>Wochen</t>
        </is>
      </c>
      <c r="I15" s="23" t="inlineStr">
        <is>
          <t>Nein</t>
        </is>
      </c>
      <c r="J15" s="23" t="inlineStr">
        <is>
          <t>geplant</t>
        </is>
      </c>
      <c r="K15" s="23" t="inlineStr">
        <is>
          <t>Adalimumab 40 mg alle 2 Wochen</t>
        </is>
      </c>
      <c r="L15" s="23" t="inlineStr">
        <is>
          <t>34_Baseline.docx</t>
        </is>
      </c>
      <c r="M15" s="23" t="inlineStr">
        <is>
          <t>Daher empfehlen wir eine Therapieumstellung auf Adalimumab 40 mg alle 2 Wochen.</t>
        </is>
      </c>
      <c r="N15" s="23" t="inlineStr">
        <is>
          <t>Empfohlene Umstellung; tatsächliche erste Anwendung nicht eindeutig belegt.</t>
        </is>
      </c>
    </row>
    <row r="16">
      <c r="A16" s="22" t="n">
        <v>34</v>
      </c>
      <c r="B16" s="23" t="inlineStr">
        <is>
          <t>PsA</t>
        </is>
      </c>
      <c r="C16" s="23" t="inlineStr">
        <is>
          <t>Baseline</t>
        </is>
      </c>
      <c r="D16" s="23" t="inlineStr">
        <is>
          <t>Ibuprofen</t>
        </is>
      </c>
      <c r="E16" s="22" t="n">
        <v>600</v>
      </c>
      <c r="F16" s="23" t="n"/>
      <c r="G16" s="23" t="n"/>
      <c r="H16" s="23" t="n"/>
      <c r="I16" s="23" t="inlineStr">
        <is>
          <t>Unklar</t>
        </is>
      </c>
      <c r="J16" s="23" t="inlineStr">
        <is>
          <t>unklar</t>
        </is>
      </c>
      <c r="K16" s="23" t="inlineStr">
        <is>
          <t>Ibuprofen 600 praktisch nicht mehr</t>
        </is>
      </c>
      <c r="L16" s="23" t="inlineStr">
        <is>
          <t>34_Baseline.docx</t>
        </is>
      </c>
      <c r="M16" s="23" t="inlineStr">
        <is>
          <t>Ibuprofen 600 praktisch nicht mehr</t>
        </is>
      </c>
      <c r="N16" s="23" t="inlineStr">
        <is>
          <t>Einheit, Einnahmehäufigkeit und vollständiges Absetzen nicht eindeutig dokumentiert.</t>
        </is>
      </c>
    </row>
    <row r="17">
      <c r="A17" s="22" t="n">
        <v>34</v>
      </c>
      <c r="B17" s="23" t="inlineStr">
        <is>
          <t>PsA</t>
        </is>
      </c>
      <c r="C17" s="23" t="inlineStr">
        <is>
          <t>Baseline</t>
        </is>
      </c>
      <c r="D17" s="23" t="inlineStr">
        <is>
          <t>Triamcinolon</t>
        </is>
      </c>
      <c r="E17" s="22" t="n">
        <v>40</v>
      </c>
      <c r="F17" s="23" t="inlineStr">
        <is>
          <t>mg</t>
        </is>
      </c>
      <c r="G17" s="23" t="n"/>
      <c r="H17" s="23" t="n"/>
      <c r="I17" s="23" t="inlineStr">
        <is>
          <t>Unklar</t>
        </is>
      </c>
      <c r="J17" s="23" t="inlineStr">
        <is>
          <t>beendet</t>
        </is>
      </c>
      <c r="K17" s="23" t="inlineStr">
        <is>
          <t>Am Ende des Eingriffs wurden 40 mg Triancinolon injiziert.</t>
        </is>
      </c>
      <c r="L17" s="23" t="inlineStr">
        <is>
          <t>34_Baseline.docx</t>
        </is>
      </c>
      <c r="M17" s="23" t="inlineStr">
        <is>
          <t>Am Ende des Eingriffs wurden 40 mg Triancinolon injiziert.</t>
        </is>
      </c>
      <c r="N17" s="23" t="inlineStr">
        <is>
          <t>Einmalige lokale Injektion bei Gelenkpunktion am 26.07.2023; Originalschreibweise Triancinolon.</t>
        </is>
      </c>
    </row>
    <row r="18">
      <c r="A18" s="22" t="n">
        <v>34</v>
      </c>
      <c r="B18" s="23" t="inlineStr">
        <is>
          <t>PsA</t>
        </is>
      </c>
      <c r="C18" s="23" t="inlineStr">
        <is>
          <t>Follow-up</t>
        </is>
      </c>
      <c r="D18" s="23" t="inlineStr">
        <is>
          <t>Risankizumab</t>
        </is>
      </c>
      <c r="E18" s="23" t="n"/>
      <c r="F18" s="23" t="n"/>
      <c r="G18" s="23" t="n"/>
      <c r="H18" s="23" t="n"/>
      <c r="I18" s="23" t="inlineStr">
        <is>
          <t>Unklar</t>
        </is>
      </c>
      <c r="J18" s="23" t="inlineStr">
        <is>
          <t>laufend</t>
        </is>
      </c>
      <c r="K18" s="23" t="inlineStr">
        <is>
          <t>Die Injektionen wurden am 28.07.2025 und 28.08.2025 appliziert.</t>
        </is>
      </c>
      <c r="L18" s="23" t="inlineStr">
        <is>
          <t>34_FollowUp.docx</t>
        </is>
      </c>
      <c r="M18" s="23" t="inlineStr">
        <is>
          <t>Wiedervorstellung zur Verlaufskontrolle bei bekannter Psoriasis-Arthritis, zuletzt unter Therapie mit Risankizumab.
Die Injektionen wurden am 28.07.2025 und 28.08.2025 appliziert.</t>
        </is>
      </c>
      <c r="N18" s="23" t="inlineStr">
        <is>
          <t>Aus zwei Anwendungstagen kein regelmäßiges Intervall abgeleitet; Umstellung empfohlen, Absetzen nicht ausdrücklich bestätigt.</t>
        </is>
      </c>
    </row>
    <row r="19">
      <c r="A19" s="22" t="n">
        <v>34</v>
      </c>
      <c r="B19" s="23" t="inlineStr">
        <is>
          <t>PsA</t>
        </is>
      </c>
      <c r="C19" s="23" t="inlineStr">
        <is>
          <t>Follow-up</t>
        </is>
      </c>
      <c r="D19" s="23" t="inlineStr">
        <is>
          <t>Ibuprofen</t>
        </is>
      </c>
      <c r="E19" s="22" t="n">
        <v>600</v>
      </c>
      <c r="F19" s="23" t="inlineStr">
        <is>
          <t>mg</t>
        </is>
      </c>
      <c r="G19" s="22" t="n">
        <v>1</v>
      </c>
      <c r="H19" s="23" t="inlineStr">
        <is>
          <t>Tage</t>
        </is>
      </c>
      <c r="I19" s="23" t="inlineStr">
        <is>
          <t>Nein</t>
        </is>
      </c>
      <c r="J19" s="23" t="inlineStr">
        <is>
          <t>laufend</t>
        </is>
      </c>
      <c r="K19" s="23" t="inlineStr">
        <is>
          <t>täglich 600 mg Ibuprofen</t>
        </is>
      </c>
      <c r="L19" s="23" t="inlineStr">
        <is>
          <t>34_FollowUp.docx</t>
        </is>
      </c>
      <c r="M19" s="23" t="inlineStr">
        <is>
          <t>Der Patient nimmt derzeit täglich 600 mg Ibuprofen ein.</t>
        </is>
      </c>
      <c r="N19" s="23" t="n"/>
    </row>
    <row r="20">
      <c r="A20" s="22" t="n">
        <v>34</v>
      </c>
      <c r="B20" s="23" t="inlineStr">
        <is>
          <t>PsA</t>
        </is>
      </c>
      <c r="C20" s="23" t="inlineStr">
        <is>
          <t>Follow-up</t>
        </is>
      </c>
      <c r="D20" s="23" t="inlineStr">
        <is>
          <t>Prednisolon</t>
        </is>
      </c>
      <c r="E20" s="22" t="n">
        <v>20</v>
      </c>
      <c r="F20" s="23" t="inlineStr">
        <is>
          <t>mg</t>
        </is>
      </c>
      <c r="G20" s="23" t="n"/>
      <c r="H20" s="23" t="n"/>
      <c r="I20" s="23" t="inlineStr">
        <is>
          <t>Unklar</t>
        </is>
      </c>
      <c r="J20" s="23" t="inlineStr">
        <is>
          <t>beendet</t>
        </is>
      </c>
      <c r="K20" s="23" t="inlineStr">
        <is>
          <t>Am 28.07.2025 wurde zusätzlich ein Kortisonstoß mit 20 mg Prednisolon über zwei Wochen durchgeführt.</t>
        </is>
      </c>
      <c r="L20" s="23" t="inlineStr">
        <is>
          <t>34_FollowUp.docx</t>
        </is>
      </c>
      <c r="M20" s="23" t="inlineStr">
        <is>
          <t>Am 28.07.2025 wurde zusätzlich ein Kortisonstoß mit 20 mg Prednisolon über zwei Wochen durchgeführt.</t>
        </is>
      </c>
      <c r="N20" s="23" t="inlineStr">
        <is>
          <t>Zwei Wochen bezeichnet die Behandlungsdauer; Einnahmeintervall nicht ausdrücklich angegeben.</t>
        </is>
      </c>
    </row>
    <row r="21">
      <c r="A21" s="22" t="n">
        <v>34</v>
      </c>
      <c r="B21" s="23" t="inlineStr">
        <is>
          <t>PsA</t>
        </is>
      </c>
      <c r="C21" s="23" t="inlineStr">
        <is>
          <t>Follow-up</t>
        </is>
      </c>
      <c r="D21" s="23" t="inlineStr">
        <is>
          <t>Golimumab</t>
        </is>
      </c>
      <c r="E21" s="22" t="n">
        <v>50</v>
      </c>
      <c r="F21" s="23" t="inlineStr">
        <is>
          <t>mg</t>
        </is>
      </c>
      <c r="G21" s="23" t="n"/>
      <c r="H21" s="23" t="n"/>
      <c r="I21" s="23" t="inlineStr">
        <is>
          <t>Nein</t>
        </is>
      </c>
      <c r="J21" s="23" t="inlineStr">
        <is>
          <t>geplant</t>
        </is>
      </c>
      <c r="K21" s="23" t="inlineStr">
        <is>
          <t>Beginn Golimumab 50mg 1x monatlich; Golimumab 50 mg einmal wöchentlich</t>
        </is>
      </c>
      <c r="L21" s="23" t="inlineStr">
        <is>
          <t>34_FollowUp.docx</t>
        </is>
      </c>
      <c r="M21" s="23" t="inlineStr">
        <is>
          <t>Beginn Golimumab 50mg 1x monatlich
Daher empfehlen wir die Umstellung der Therapie auf Golimumab 50 mg einmal wöchentlich.</t>
        </is>
      </c>
      <c r="N21" s="23" t="inlineStr">
        <is>
          <t>Widersprüchliches Intervall: monatlich in Diagnose und Therapieempfehlung, wöchentlich im Verlauf; daher Intervallfelder null.</t>
        </is>
      </c>
    </row>
    <row r="22">
      <c r="A22" s="22" t="n">
        <v>35</v>
      </c>
      <c r="B22" s="23" t="inlineStr">
        <is>
          <t>PsA</t>
        </is>
      </c>
      <c r="C22" s="23" t="inlineStr">
        <is>
          <t>Baseline</t>
        </is>
      </c>
      <c r="D22" s="23" t="inlineStr">
        <is>
          <t>Tildrakizumab</t>
        </is>
      </c>
      <c r="E22" s="22" t="n">
        <v>100</v>
      </c>
      <c r="F22" s="23" t="inlineStr">
        <is>
          <t>mg</t>
        </is>
      </c>
      <c r="G22" s="22" t="n">
        <v>12</v>
      </c>
      <c r="H22" s="23" t="inlineStr">
        <is>
          <t>Wochen</t>
        </is>
      </c>
      <c r="I22" s="23" t="inlineStr">
        <is>
          <t>Nein</t>
        </is>
      </c>
      <c r="J22" s="23" t="inlineStr">
        <is>
          <t>laufend</t>
        </is>
      </c>
      <c r="K22" s="23" t="inlineStr">
        <is>
          <t>Tildrakizumab 100 mg s.c. alle 12 Wochen weiter</t>
        </is>
      </c>
      <c r="L22" s="23" t="inlineStr">
        <is>
          <t>35_Baseline.docx</t>
        </is>
      </c>
      <c r="M22" s="23" t="inlineStr">
        <is>
          <t>Tildrakizumab 100 mg s.c. alle 12 Wochen weiter</t>
        </is>
      </c>
      <c r="N22" s="23" t="n"/>
    </row>
    <row r="23">
      <c r="A23" s="22" t="n">
        <v>35</v>
      </c>
      <c r="B23" s="23" t="inlineStr">
        <is>
          <t>PsA</t>
        </is>
      </c>
      <c r="C23" s="23" t="inlineStr">
        <is>
          <t>Follow-up</t>
        </is>
      </c>
      <c r="D23" s="23" t="inlineStr">
        <is>
          <t>Tildrakizumab</t>
        </is>
      </c>
      <c r="E23" s="22" t="n">
        <v>100</v>
      </c>
      <c r="F23" s="23" t="inlineStr">
        <is>
          <t>mg</t>
        </is>
      </c>
      <c r="G23" s="22" t="n">
        <v>12</v>
      </c>
      <c r="H23" s="23" t="inlineStr">
        <is>
          <t>Wochen</t>
        </is>
      </c>
      <c r="I23" s="23" t="inlineStr">
        <is>
          <t>Nein</t>
        </is>
      </c>
      <c r="J23" s="23" t="inlineStr">
        <is>
          <t>laufend</t>
        </is>
      </c>
      <c r="K23" s="23" t="inlineStr">
        <is>
          <t>aktuelle Therapie: Tildrakizumab 100 mg s.c. alle 12 Wochen</t>
        </is>
      </c>
      <c r="L23" s="23" t="inlineStr">
        <is>
          <t>35_FollowUp.docx</t>
        </is>
      </c>
      <c r="M23" s="23" t="inlineStr">
        <is>
          <t>aktuelle Therapie: Tildrakizumab 100 mg s.c. alle 12 Wochen</t>
        </is>
      </c>
      <c r="N23" s="23" t="n"/>
    </row>
    <row r="24">
      <c r="A24" s="22" t="n">
        <v>36</v>
      </c>
      <c r="B24" s="23" t="inlineStr">
        <is>
          <t>PsA</t>
        </is>
      </c>
      <c r="C24" s="23" t="inlineStr">
        <is>
          <t>Baseline</t>
        </is>
      </c>
      <c r="D24" s="23" t="inlineStr">
        <is>
          <t>Methotrexat</t>
        </is>
      </c>
      <c r="E24" s="23" t="n"/>
      <c r="F24" s="23" t="n"/>
      <c r="G24" s="23" t="n"/>
      <c r="H24" s="23" t="n"/>
      <c r="I24" s="23" t="inlineStr">
        <is>
          <t>Unklar</t>
        </is>
      </c>
      <c r="J24" s="23" t="inlineStr">
        <is>
          <t>laufend</t>
        </is>
      </c>
      <c r="K24" s="23" t="n"/>
      <c r="L24" s="23" t="inlineStr">
        <is>
          <t>36_Baseline.docx</t>
        </is>
      </c>
      <c r="M24" s="23" t="inlineStr">
        <is>
          <t>MTX seit 2016
Anhand der Anamnese, klinischer und bildgebender Untersuchung zeigt sich die Erkrankung (PsA) unter MTX klar unzureichend therapiert.</t>
        </is>
      </c>
      <c r="N24" s="23" t="inlineStr">
        <is>
          <t>Dosis und Einnahmeintervall im Baseline-Brief nicht angegeben.</t>
        </is>
      </c>
    </row>
    <row r="25">
      <c r="A25" s="22" t="n">
        <v>36</v>
      </c>
      <c r="B25" s="23" t="inlineStr">
        <is>
          <t>PsA</t>
        </is>
      </c>
      <c r="C25" s="23" t="inlineStr">
        <is>
          <t>Follow-up</t>
        </is>
      </c>
      <c r="D25" s="23" t="inlineStr">
        <is>
          <t>Secukinumab</t>
        </is>
      </c>
      <c r="E25" s="22" t="n">
        <v>300</v>
      </c>
      <c r="F25" s="23" t="inlineStr">
        <is>
          <t>mg</t>
        </is>
      </c>
      <c r="G25" s="22" t="n">
        <v>1</v>
      </c>
      <c r="H25" s="23" t="inlineStr">
        <is>
          <t>Monate</t>
        </is>
      </c>
      <c r="I25" s="23" t="inlineStr">
        <is>
          <t>Nein</t>
        </is>
      </c>
      <c r="J25" s="23" t="inlineStr">
        <is>
          <t>laufend</t>
        </is>
      </c>
      <c r="K25" s="23" t="inlineStr">
        <is>
          <t>Cosentyx 300 mg 1x/Monat</t>
        </is>
      </c>
      <c r="L25" s="23" t="inlineStr">
        <is>
          <t>36_FollowUp.docx</t>
        </is>
      </c>
      <c r="M25" s="23" t="inlineStr">
        <is>
          <t>Secukinumab im Rahmen einer Studie seit 12/2020 + Methotrexat
Cosentyx 300 mg 1x/Monat</t>
        </is>
      </c>
      <c r="N25" s="23" t="n"/>
    </row>
    <row r="26">
      <c r="A26" s="22" t="n">
        <v>36</v>
      </c>
      <c r="B26" s="23" t="inlineStr">
        <is>
          <t>PsA</t>
        </is>
      </c>
      <c r="C26" s="23" t="inlineStr">
        <is>
          <t>Follow-up</t>
        </is>
      </c>
      <c r="D26" s="23" t="inlineStr">
        <is>
          <t>Methotrexat</t>
        </is>
      </c>
      <c r="E26" s="22" t="n">
        <v>10</v>
      </c>
      <c r="F26" s="23" t="inlineStr">
        <is>
          <t>mg</t>
        </is>
      </c>
      <c r="G26" s="22" t="n">
        <v>1</v>
      </c>
      <c r="H26" s="23" t="inlineStr">
        <is>
          <t>Wochen</t>
        </is>
      </c>
      <c r="I26" s="23" t="inlineStr">
        <is>
          <t>Nein</t>
        </is>
      </c>
      <c r="J26" s="23" t="inlineStr">
        <is>
          <t>laufend</t>
        </is>
      </c>
      <c r="K26" s="23" t="inlineStr">
        <is>
          <t>Methotrexat 10 mg s.c./Woche seit 2016</t>
        </is>
      </c>
      <c r="L26" s="23" t="inlineStr">
        <is>
          <t>36_FollowUp.docx</t>
        </is>
      </c>
      <c r="M26" s="23" t="inlineStr">
        <is>
          <t>Methotrexat 10 mg s.c./Woche seit 2016</t>
        </is>
      </c>
      <c r="N26" s="23" t="inlineStr">
        <is>
          <t>Subkutane Anwendung.</t>
        </is>
      </c>
    </row>
    <row r="27">
      <c r="A27" s="22" t="n">
        <v>36</v>
      </c>
      <c r="B27" s="23" t="inlineStr">
        <is>
          <t>PsA</t>
        </is>
      </c>
      <c r="C27" s="23" t="inlineStr">
        <is>
          <t>Follow-up</t>
        </is>
      </c>
      <c r="D27" s="23" t="inlineStr">
        <is>
          <t>Enstilar Schaum</t>
        </is>
      </c>
      <c r="E27" s="23" t="n"/>
      <c r="F27" s="23" t="n"/>
      <c r="G27" s="23" t="n"/>
      <c r="H27" s="23" t="n"/>
      <c r="I27" s="23" t="inlineStr">
        <is>
          <t>Unklar</t>
        </is>
      </c>
      <c r="J27" s="23" t="inlineStr">
        <is>
          <t>laufend</t>
        </is>
      </c>
      <c r="K27" s="23" t="n"/>
      <c r="L27" s="23" t="inlineStr">
        <is>
          <t>36_FollowUp.docx</t>
        </is>
      </c>
      <c r="M27" s="23" t="inlineStr">
        <is>
          <t>aktuelle Therapie: Enstilar Schaum + Silkis</t>
        </is>
      </c>
      <c r="N27" s="23" t="inlineStr">
        <is>
          <t>Originalpräparatname; einzelne Wirkstoffe im Brief nicht angegeben und nicht erschlossen.</t>
        </is>
      </c>
    </row>
    <row r="28">
      <c r="A28" s="22" t="n">
        <v>36</v>
      </c>
      <c r="B28" s="23" t="inlineStr">
        <is>
          <t>PsA</t>
        </is>
      </c>
      <c r="C28" s="23" t="inlineStr">
        <is>
          <t>Follow-up</t>
        </is>
      </c>
      <c r="D28" s="23" t="inlineStr">
        <is>
          <t>Silkis</t>
        </is>
      </c>
      <c r="E28" s="23" t="n"/>
      <c r="F28" s="23" t="n"/>
      <c r="G28" s="23" t="n"/>
      <c r="H28" s="23" t="n"/>
      <c r="I28" s="23" t="inlineStr">
        <is>
          <t>Unklar</t>
        </is>
      </c>
      <c r="J28" s="23" t="inlineStr">
        <is>
          <t>laufend</t>
        </is>
      </c>
      <c r="K28" s="23" t="n"/>
      <c r="L28" s="23" t="inlineStr">
        <is>
          <t>36_FollowUp.docx</t>
        </is>
      </c>
      <c r="M28" s="23" t="inlineStr">
        <is>
          <t>aktuelle Therapie: Enstilar Schaum + Silkis</t>
        </is>
      </c>
      <c r="N28" s="23" t="inlineStr">
        <is>
          <t>Originalpräparatname; Wirkstoff im Brief nicht angegeben und nicht erschlossen.</t>
        </is>
      </c>
    </row>
    <row r="29">
      <c r="A29" s="22" t="n">
        <v>37</v>
      </c>
      <c r="B29" s="23" t="inlineStr">
        <is>
          <t>PsA</t>
        </is>
      </c>
      <c r="C29" s="23" t="inlineStr">
        <is>
          <t>Baseline</t>
        </is>
      </c>
      <c r="D29" s="23" t="inlineStr">
        <is>
          <t>Prednisolon</t>
        </is>
      </c>
      <c r="E29" s="22" t="n">
        <v>10</v>
      </c>
      <c r="F29" s="23" t="inlineStr">
        <is>
          <t>mg</t>
        </is>
      </c>
      <c r="G29" s="23" t="n"/>
      <c r="H29" s="23" t="n"/>
      <c r="I29" s="23" t="inlineStr">
        <is>
          <t>Unklar</t>
        </is>
      </c>
      <c r="J29" s="23" t="inlineStr">
        <is>
          <t>laufend</t>
        </is>
      </c>
      <c r="K29" s="23" t="inlineStr">
        <is>
          <t>Prednisolon 10 mg</t>
        </is>
      </c>
      <c r="L29" s="23" t="inlineStr">
        <is>
          <t>37_Baseline.docx</t>
        </is>
      </c>
      <c r="M29" s="23" t="inlineStr">
        <is>
          <t>Prednisolon 10 mg
Aktuell würde keine systemische Immunsuppression eingenommen werden, verschiedene Basistherapeutika waren wegen Unverträglichkeit in der Vergangenheit abgesetzt worden, aktuell würde die Behandlung vor allem durch Prednisolon überbrückt.</t>
        </is>
      </c>
      <c r="N29" s="23" t="inlineStr">
        <is>
          <t>Einnahmeintervall und Bedarfsanwendung nicht dokumentiert.</t>
        </is>
      </c>
    </row>
    <row r="30">
      <c r="A30" s="22" t="n">
        <v>37</v>
      </c>
      <c r="B30" s="23" t="inlineStr">
        <is>
          <t>PsA</t>
        </is>
      </c>
      <c r="C30" s="23" t="inlineStr">
        <is>
          <t>Baseline</t>
        </is>
      </c>
      <c r="D30" s="23" t="inlineStr">
        <is>
          <t>Secukinumab</t>
        </is>
      </c>
      <c r="E30" s="22" t="n">
        <v>300</v>
      </c>
      <c r="F30" s="23" t="inlineStr">
        <is>
          <t>mg</t>
        </is>
      </c>
      <c r="G30" s="22" t="n">
        <v>4</v>
      </c>
      <c r="H30" s="23" t="inlineStr">
        <is>
          <t>Wochen</t>
        </is>
      </c>
      <c r="I30" s="23" t="inlineStr">
        <is>
          <t>Nein</t>
        </is>
      </c>
      <c r="J30" s="23" t="inlineStr">
        <is>
          <t>geplant</t>
        </is>
      </c>
      <c r="K30" s="23" t="inlineStr">
        <is>
          <t>300mg (2 Spritzen a 150mg) alle 4 Wochen</t>
        </is>
      </c>
      <c r="L30" s="23" t="inlineStr">
        <is>
          <t>37_Baseline.docx</t>
        </is>
      </c>
      <c r="M30" s="23" t="inlineStr">
        <is>
          <t>Kommende Woche 13.11.2020 ist der Beginn mit Secukinumab geplant.
Dies wird mit  300mg (2 Spritzen a 150mg) alle 4 Wochen im Rahmen der Studie über 6 Monate eingenommen.</t>
        </is>
      </c>
      <c r="N30" s="23" t="n"/>
    </row>
    <row r="31">
      <c r="A31" s="22" t="n">
        <v>37</v>
      </c>
      <c r="B31" s="23" t="inlineStr">
        <is>
          <t>PsA</t>
        </is>
      </c>
      <c r="C31" s="23" t="inlineStr">
        <is>
          <t>Follow-up</t>
        </is>
      </c>
      <c r="D31" s="23" t="inlineStr">
        <is>
          <t>Secukinumab</t>
        </is>
      </c>
      <c r="E31" s="22" t="n">
        <v>300</v>
      </c>
      <c r="F31" s="23" t="inlineStr">
        <is>
          <t>mg</t>
        </is>
      </c>
      <c r="G31" s="22" t="n">
        <v>4</v>
      </c>
      <c r="H31" s="23" t="inlineStr">
        <is>
          <t>Wochen</t>
        </is>
      </c>
      <c r="I31" s="23" t="inlineStr">
        <is>
          <t>Nein</t>
        </is>
      </c>
      <c r="J31" s="23" t="inlineStr">
        <is>
          <t>laufend</t>
        </is>
      </c>
      <c r="K31" s="23" t="inlineStr">
        <is>
          <t>Secukinumab 300mg alle 4 Wochen seit 11/2020</t>
        </is>
      </c>
      <c r="L31" s="23" t="inlineStr">
        <is>
          <t>37_FollowUp.docx</t>
        </is>
      </c>
      <c r="M31" s="23" t="inlineStr">
        <is>
          <t>aktuelle Therapie: Secukinumab 300mg alle 4 Wochen seit 11/2020 initial im Rahmen einer Studie
Wir empfehlen die Therapie zunächst unverändert mit 300mg Secukinumab alle 4 Wochen fortzuführen.</t>
        </is>
      </c>
      <c r="N31" s="23" t="n"/>
    </row>
    <row r="32">
      <c r="A32" s="22" t="n">
        <v>37</v>
      </c>
      <c r="B32" s="23" t="inlineStr">
        <is>
          <t>PsA</t>
        </is>
      </c>
      <c r="C32" s="23" t="inlineStr">
        <is>
          <t>Follow-up</t>
        </is>
      </c>
      <c r="D32" s="23" t="inlineStr">
        <is>
          <t>Prednisolon</t>
        </is>
      </c>
      <c r="E32" s="23" t="n"/>
      <c r="F32" s="23" t="n"/>
      <c r="G32" s="23" t="n"/>
      <c r="H32" s="23" t="n"/>
      <c r="I32" s="23" t="inlineStr">
        <is>
          <t>Unklar</t>
        </is>
      </c>
      <c r="J32" s="23" t="inlineStr">
        <is>
          <t>beendet</t>
        </is>
      </c>
      <c r="K32" s="23" t="inlineStr">
        <is>
          <t>Prednisolon 10 mg</t>
        </is>
      </c>
      <c r="L32" s="23" t="inlineStr">
        <is>
          <t>37_FollowUp.docx</t>
        </is>
      </c>
      <c r="M32" s="23" t="inlineStr">
        <is>
          <t>Prednisolon 10 mg
Ebenfalls ist Frau Streit seit der Behandlung Prednisolonfrei.</t>
        </is>
      </c>
      <c r="N32" s="23" t="inlineStr">
        <is>
          <t>Diagnosenliste nennt noch 10 mg; die ausdrückliche aktuelle Verlaufsangabe beschreibt Prednisolonfreiheit. Keine aktuelle Dosis übernommen; Absetzdatum fehlt.</t>
        </is>
      </c>
    </row>
    <row r="33">
      <c r="A33" s="22" t="n">
        <v>38</v>
      </c>
      <c r="B33" s="23" t="inlineStr">
        <is>
          <t>PsA</t>
        </is>
      </c>
      <c r="C33" s="23" t="inlineStr">
        <is>
          <t>Baseline</t>
        </is>
      </c>
      <c r="D33" s="23" t="inlineStr">
        <is>
          <t>Secukinumab</t>
        </is>
      </c>
      <c r="E33" s="23" t="n"/>
      <c r="F33" s="23" t="n"/>
      <c r="G33" s="23" t="n"/>
      <c r="H33" s="23" t="n"/>
      <c r="I33" s="23" t="inlineStr">
        <is>
          <t>Unklar</t>
        </is>
      </c>
      <c r="J33" s="23" t="inlineStr">
        <is>
          <t>geplant</t>
        </is>
      </c>
      <c r="K33" s="23" t="n"/>
      <c r="L33" s="23" t="inlineStr">
        <is>
          <t>38_Baseline.docx</t>
        </is>
      </c>
      <c r="M33" s="23" t="inlineStr">
        <is>
          <t>seit 11/20: Beginn Secukinumab im Rahmen eBio-Studie
Wir empfehlen den Beginn einer Biologika-Therapie.</t>
        </is>
      </c>
      <c r="N33" s="23" t="inlineStr">
        <is>
          <t>Zum Referenztermin noch keine Basistherapie; Beginn ab November 2020 im selben Brief nachgetragen.</t>
        </is>
      </c>
    </row>
    <row r="34">
      <c r="A34" s="22" t="n">
        <v>38</v>
      </c>
      <c r="B34" s="23" t="inlineStr">
        <is>
          <t>PsA</t>
        </is>
      </c>
      <c r="C34" s="23" t="inlineStr">
        <is>
          <t>Follow-up</t>
        </is>
      </c>
      <c r="D34" s="23" t="inlineStr">
        <is>
          <t>Secukinumab</t>
        </is>
      </c>
      <c r="E34" s="22" t="n">
        <v>300</v>
      </c>
      <c r="F34" s="23" t="inlineStr">
        <is>
          <t>mg</t>
        </is>
      </c>
      <c r="G34" s="22" t="n">
        <v>4</v>
      </c>
      <c r="H34" s="23" t="inlineStr">
        <is>
          <t>Wochen</t>
        </is>
      </c>
      <c r="I34" s="23" t="inlineStr">
        <is>
          <t>Nein</t>
        </is>
      </c>
      <c r="J34" s="23" t="inlineStr">
        <is>
          <t>laufend</t>
        </is>
      </c>
      <c r="K34" s="23" t="inlineStr">
        <is>
          <t>300mg alle 4 Wochen</t>
        </is>
      </c>
      <c r="L34" s="23" t="inlineStr">
        <is>
          <t>38_FollowUp.docx</t>
        </is>
      </c>
      <c r="M34" s="23" t="inlineStr">
        <is>
          <t>Secukinumab gut vertragen und rglm appliziert (300mg alle 4 Wochen).</t>
        </is>
      </c>
      <c r="N34" s="23" t="n"/>
    </row>
    <row r="35">
      <c r="A35" s="22" t="n">
        <v>39</v>
      </c>
      <c r="B35" s="23" t="inlineStr">
        <is>
          <t>PsA</t>
        </is>
      </c>
      <c r="C35" s="23" t="inlineStr">
        <is>
          <t>Baseline</t>
        </is>
      </c>
      <c r="D35" s="23" t="inlineStr">
        <is>
          <t>Methotrexat</t>
        </is>
      </c>
      <c r="E35" s="22" t="n">
        <v>15</v>
      </c>
      <c r="F35" s="23" t="inlineStr">
        <is>
          <t>mg</t>
        </is>
      </c>
      <c r="G35" s="22" t="n">
        <v>1</v>
      </c>
      <c r="H35" s="23" t="inlineStr">
        <is>
          <t>Wochen</t>
        </is>
      </c>
      <c r="I35" s="23" t="inlineStr">
        <is>
          <t>Nein</t>
        </is>
      </c>
      <c r="J35" s="23" t="inlineStr">
        <is>
          <t>laufend</t>
        </is>
      </c>
      <c r="K35" s="23" t="inlineStr">
        <is>
          <t>MTX 15 mg s.c. 1x pro Woche</t>
        </is>
      </c>
      <c r="L35" s="23" t="inlineStr">
        <is>
          <t>39_Baseline.docx</t>
        </is>
      </c>
      <c r="M35" s="23" t="inlineStr">
        <is>
          <t>aktuelle Therapie: MTX 15 mg per os und Etoricoxib 90 mg 1x tgl. seit 05/2020
Beginn einer Therapie mit MTX 15 mg s.c. 1x pro Woche unter Folsäuresupplementation mit 5 mg 24 h nach der MTX-Einnahme</t>
        </is>
      </c>
      <c r="N35" s="23" t="inlineStr">
        <is>
          <t>Applikationsweg widersprüchlich: per os in der Diagnosenliste, subkutan in Therapiehistorie und Empfehlung; Beginn seit 05/2020 angegeben.</t>
        </is>
      </c>
    </row>
    <row r="36">
      <c r="A36" s="22" t="n">
        <v>39</v>
      </c>
      <c r="B36" s="23" t="inlineStr">
        <is>
          <t>PsA</t>
        </is>
      </c>
      <c r="C36" s="23" t="inlineStr">
        <is>
          <t>Baseline</t>
        </is>
      </c>
      <c r="D36" s="23" t="inlineStr">
        <is>
          <t>Etoricoxib</t>
        </is>
      </c>
      <c r="E36" s="22" t="n">
        <v>90</v>
      </c>
      <c r="F36" s="23" t="inlineStr">
        <is>
          <t>mg</t>
        </is>
      </c>
      <c r="G36" s="22" t="n">
        <v>1</v>
      </c>
      <c r="H36" s="23" t="inlineStr">
        <is>
          <t>Tage</t>
        </is>
      </c>
      <c r="I36" s="23" t="inlineStr">
        <is>
          <t>Nein</t>
        </is>
      </c>
      <c r="J36" s="23" t="inlineStr">
        <is>
          <t>laufend</t>
        </is>
      </c>
      <c r="K36" s="23" t="inlineStr">
        <is>
          <t>Etoricoxib 90 mg 1x tgl.</t>
        </is>
      </c>
      <c r="L36" s="23" t="inlineStr">
        <is>
          <t>39_Baseline.docx</t>
        </is>
      </c>
      <c r="M36" s="23" t="inlineStr">
        <is>
          <t>aktuelle Therapie: MTX 15 mg per os und Etoricoxib 90 mg 1x tgl. seit 05/2020</t>
        </is>
      </c>
      <c r="N36" s="23" t="n"/>
    </row>
    <row r="37">
      <c r="A37" s="22" t="n">
        <v>39</v>
      </c>
      <c r="B37" s="23" t="inlineStr">
        <is>
          <t>PsA</t>
        </is>
      </c>
      <c r="C37" s="23" t="inlineStr">
        <is>
          <t>Baseline</t>
        </is>
      </c>
      <c r="D37" s="23" t="inlineStr">
        <is>
          <t>Diclofenac</t>
        </is>
      </c>
      <c r="E37" s="22" t="n">
        <v>75</v>
      </c>
      <c r="F37" s="23" t="inlineStr">
        <is>
          <t>mg</t>
        </is>
      </c>
      <c r="G37" s="23" t="n"/>
      <c r="H37" s="23" t="n"/>
      <c r="I37" s="23" t="inlineStr">
        <is>
          <t>Nein</t>
        </is>
      </c>
      <c r="J37" s="23" t="inlineStr">
        <is>
          <t>beendet</t>
        </is>
      </c>
      <c r="K37" s="23" t="inlineStr">
        <is>
          <t>Diclofenac 75 mg fest, &gt; 4 Wochen</t>
        </is>
      </c>
      <c r="L37" s="23" t="inlineStr">
        <is>
          <t>39_Baseline.docx</t>
        </is>
      </c>
      <c r="M37" s="23" t="inlineStr">
        <is>
          <t>Diclofenac 75 mg fest, &gt; 4 Wochen
bisherige Therapie: Z.n. Ibuprofen bei Bedarf, Z.n. Diclofenac feste Einnahme 02/2020-05/2020 (ohne ausreichende Wirkung)</t>
        </is>
      </c>
      <c r="N37" s="23" t="inlineStr">
        <is>
          <t>In der Dauermedikation noch aufgeführt, im Episodenverlauf durch Etoricoxib ersetzt.</t>
        </is>
      </c>
    </row>
    <row r="38">
      <c r="A38" s="22" t="n">
        <v>39</v>
      </c>
      <c r="B38" s="23" t="inlineStr">
        <is>
          <t>PsA</t>
        </is>
      </c>
      <c r="C38" s="23" t="inlineStr">
        <is>
          <t>Baseline</t>
        </is>
      </c>
      <c r="D38" s="23" t="inlineStr">
        <is>
          <t>Ibuprofen</t>
        </is>
      </c>
      <c r="E38" s="22" t="n">
        <v>600</v>
      </c>
      <c r="F38" s="23" t="inlineStr">
        <is>
          <t>mg</t>
        </is>
      </c>
      <c r="G38" s="23" t="n"/>
      <c r="H38" s="23" t="n"/>
      <c r="I38" s="23" t="inlineStr">
        <is>
          <t>Ja</t>
        </is>
      </c>
      <c r="J38" s="23" t="inlineStr">
        <is>
          <t>beendet</t>
        </is>
      </c>
      <c r="K38" s="23" t="inlineStr">
        <is>
          <t>Ibuprofen 600  mg bei Bedarf</t>
        </is>
      </c>
      <c r="L38" s="23" t="inlineStr">
        <is>
          <t>39_Baseline.docx</t>
        </is>
      </c>
      <c r="M38" s="23" t="inlineStr">
        <is>
          <t>Z.n. Ibuprofen 600  mg bei Bedarf, passagere Einnahme ohne ausreichende Wirkung</t>
        </is>
      </c>
      <c r="N38" s="23" t="n"/>
    </row>
    <row r="39">
      <c r="A39" s="22" t="n">
        <v>39</v>
      </c>
      <c r="B39" s="23" t="inlineStr">
        <is>
          <t>PsA</t>
        </is>
      </c>
      <c r="C39" s="23" t="inlineStr">
        <is>
          <t>Baseline</t>
        </is>
      </c>
      <c r="D39" s="23" t="inlineStr">
        <is>
          <t>Adalimumab</t>
        </is>
      </c>
      <c r="E39" s="23" t="n"/>
      <c r="F39" s="23" t="n"/>
      <c r="G39" s="23" t="n"/>
      <c r="H39" s="23" t="n"/>
      <c r="I39" s="23" t="inlineStr">
        <is>
          <t>Unklar</t>
        </is>
      </c>
      <c r="J39" s="23" t="inlineStr">
        <is>
          <t>geplant</t>
        </is>
      </c>
      <c r="K39" s="23" t="n"/>
      <c r="L39" s="23" t="inlineStr">
        <is>
          <t>39_Baseline.docx</t>
        </is>
      </c>
      <c r="M39" s="23" t="inlineStr">
        <is>
          <t>Zeitnahe WV zur Erweiterung der Therapie auf Adalimumab.
Therapieempfehlung: zügige Erweiterung auf einen TNF-Blocker (z.B. Adalimumab) bei nicht ausreichender Wirkung des 2.NSARs</t>
        </is>
      </c>
      <c r="N39" s="23" t="inlineStr">
        <is>
          <t>Erweiterung abhängig von unzureichender Wirkung des zweiten NSAR.</t>
        </is>
      </c>
    </row>
    <row r="40">
      <c r="A40" s="22" t="n">
        <v>39</v>
      </c>
      <c r="B40" s="23" t="inlineStr">
        <is>
          <t>PsA</t>
        </is>
      </c>
      <c r="C40" s="23" t="inlineStr">
        <is>
          <t>Baseline</t>
        </is>
      </c>
      <c r="D40" s="23" t="inlineStr">
        <is>
          <t>Allopurinol</t>
        </is>
      </c>
      <c r="E40" s="23" t="n"/>
      <c r="F40" s="23" t="n"/>
      <c r="G40" s="23" t="n"/>
      <c r="H40" s="23" t="n"/>
      <c r="I40" s="23" t="inlineStr">
        <is>
          <t>Unklar</t>
        </is>
      </c>
      <c r="J40" s="23" t="inlineStr">
        <is>
          <t>geplant</t>
        </is>
      </c>
      <c r="K40" s="23" t="n"/>
      <c r="L40" s="23" t="inlineStr">
        <is>
          <t>39_Baseline.docx</t>
        </is>
      </c>
      <c r="M40" s="23" t="inlineStr">
        <is>
          <t>Bei nachgewiesener Gichtarthropathie (DE-CT vom 31.03.2020) und erhöhtem Harnsäurewert empfehlen wir Alkoholkarenz und purinarme Diät sowie den Beginn einer harnsäuresenkenden Therapie, z.B. mit Allopurinol.</t>
        </is>
      </c>
      <c r="N40" s="23" t="inlineStr">
        <is>
          <t>Als mögliche harnsäuresenkende Therapie der begleitenden Gichtarthropathie empfohlen.</t>
        </is>
      </c>
    </row>
    <row r="41">
      <c r="A41" s="22" t="n">
        <v>39</v>
      </c>
      <c r="B41" s="23" t="inlineStr">
        <is>
          <t>PsA</t>
        </is>
      </c>
      <c r="C41" s="23" t="inlineStr">
        <is>
          <t>Follow-up</t>
        </is>
      </c>
      <c r="D41" s="23" t="inlineStr">
        <is>
          <t>Methotrexat</t>
        </is>
      </c>
      <c r="E41" s="22" t="n">
        <v>15</v>
      </c>
      <c r="F41" s="23" t="inlineStr">
        <is>
          <t>mg</t>
        </is>
      </c>
      <c r="G41" s="22" t="n">
        <v>1</v>
      </c>
      <c r="H41" s="23" t="inlineStr">
        <is>
          <t>Wochen</t>
        </is>
      </c>
      <c r="I41" s="23" t="inlineStr">
        <is>
          <t>Nein</t>
        </is>
      </c>
      <c r="J41" s="23" t="inlineStr">
        <is>
          <t>laufend</t>
        </is>
      </c>
      <c r="K41" s="23" t="inlineStr">
        <is>
          <t>MTX: wöchentlich 15 mg s.c. (=1 Fertigspritze)</t>
        </is>
      </c>
      <c r="L41" s="23" t="inlineStr">
        <is>
          <t>39_FollowUp.docx</t>
        </is>
      </c>
      <c r="M41" s="23" t="inlineStr">
        <is>
          <t>MTX: wöchentlich 15 mg s.c. (=1 Fertigspritze), Einnahme von Folsäure 5 mg 24 h nach MTX (ebenfalls wöchentlich)
In der Anamnese stellte sich heute heraus, dass Herr Geist das MTX fälschlicherweise seit Beginn des Adalimumabs nur 2-wöchentlich einnahm.
Bei schlechter Verträglichkeit (Unwohlsein, Übelkeit) stellten wir die heute das MTX auf Subkutangaben mittels Fertigspritzen um.</t>
        </is>
      </c>
      <c r="N41" s="23" t="inlineStr">
        <is>
          <t>Intervall beschreibt die korrigierte Verordnung; tatsächlich zuvor seit Adalimumab-Beginn nur alle zwei Wochen eingenommen.
Applikationsangaben innerhalb des Briefes uneinheitlich; die Beurteilung dokumentiert die heutige Umstellung auf subkutan.</t>
        </is>
      </c>
    </row>
    <row r="42">
      <c r="A42" s="22" t="n">
        <v>39</v>
      </c>
      <c r="B42" s="23" t="inlineStr">
        <is>
          <t>PsA</t>
        </is>
      </c>
      <c r="C42" s="23" t="inlineStr">
        <is>
          <t>Follow-up</t>
        </is>
      </c>
      <c r="D42" s="23" t="inlineStr">
        <is>
          <t>Adalimumab</t>
        </is>
      </c>
      <c r="E42" s="22" t="n">
        <v>40</v>
      </c>
      <c r="F42" s="23" t="inlineStr">
        <is>
          <t>mg</t>
        </is>
      </c>
      <c r="G42" s="22" t="n">
        <v>2</v>
      </c>
      <c r="H42" s="23" t="inlineStr">
        <is>
          <t>Wochen</t>
        </is>
      </c>
      <c r="I42" s="23" t="inlineStr">
        <is>
          <t>Nein</t>
        </is>
      </c>
      <c r="J42" s="23" t="inlineStr">
        <is>
          <t>laufend</t>
        </is>
      </c>
      <c r="K42" s="23" t="inlineStr">
        <is>
          <t>Adalimumab 40 mg 2-wöchentlich (=1 Fertigspritze)</t>
        </is>
      </c>
      <c r="L42" s="23" t="inlineStr">
        <is>
          <t>39_FollowUp.docx</t>
        </is>
      </c>
      <c r="M42" s="23" t="inlineStr">
        <is>
          <t>Adalimumab 40 mg 2-wöchentlich (=1 Fertigspritze)
Adalimumab 40 mg/2 Wochen neu 07/2020
Zunächst Fortführung der Therapie mit Adalimumab/ MTX, unter regelm. klinischen und laborchemischen nach Maßgabe der DGRh</t>
        </is>
      </c>
      <c r="N42" s="23" t="n"/>
    </row>
    <row r="43">
      <c r="A43" s="22" t="n">
        <v>39</v>
      </c>
      <c r="B43" s="23" t="inlineStr">
        <is>
          <t>PsA</t>
        </is>
      </c>
      <c r="C43" s="23" t="inlineStr">
        <is>
          <t>Follow-up</t>
        </is>
      </c>
      <c r="D43" s="23" t="inlineStr">
        <is>
          <t>Etoricoxib</t>
        </is>
      </c>
      <c r="E43" s="22" t="n">
        <v>90</v>
      </c>
      <c r="F43" s="23" t="inlineStr">
        <is>
          <t>mg</t>
        </is>
      </c>
      <c r="G43" s="23" t="n"/>
      <c r="H43" s="23" t="n"/>
      <c r="I43" s="23" t="inlineStr">
        <is>
          <t>Ja</t>
        </is>
      </c>
      <c r="J43" s="23" t="inlineStr">
        <is>
          <t>laufend</t>
        </is>
      </c>
      <c r="K43" s="23" t="inlineStr">
        <is>
          <t>Etoricoxib 90 mg bei Bedarf</t>
        </is>
      </c>
      <c r="L43" s="23" t="inlineStr">
        <is>
          <t>39_FollowUp.docx</t>
        </is>
      </c>
      <c r="M43" s="23" t="inlineStr">
        <is>
          <t>Etoricoxib 90 mg bei Bedarf</t>
        </is>
      </c>
      <c r="N43" s="23" t="n"/>
    </row>
    <row r="44">
      <c r="A44" s="22" t="n">
        <v>39</v>
      </c>
      <c r="B44" s="23" t="inlineStr">
        <is>
          <t>PsA</t>
        </is>
      </c>
      <c r="C44" s="23" t="inlineStr">
        <is>
          <t>Follow-up</t>
        </is>
      </c>
      <c r="D44" s="23" t="inlineStr">
        <is>
          <t>Allopurinol</t>
        </is>
      </c>
      <c r="E44" s="22" t="n">
        <v>200</v>
      </c>
      <c r="F44" s="23" t="inlineStr">
        <is>
          <t>mg</t>
        </is>
      </c>
      <c r="G44" s="22" t="n">
        <v>1</v>
      </c>
      <c r="H44" s="23" t="inlineStr">
        <is>
          <t>Tage</t>
        </is>
      </c>
      <c r="I44" s="23" t="inlineStr">
        <is>
          <t>Nein</t>
        </is>
      </c>
      <c r="J44" s="23" t="inlineStr">
        <is>
          <t>laufend</t>
        </is>
      </c>
      <c r="K44" s="23" t="inlineStr">
        <is>
          <t>Erhöhung der Allopurinol-Dosis auf 200 mg (=2 Tabletten) täglich.</t>
        </is>
      </c>
      <c r="L44" s="23" t="inlineStr">
        <is>
          <t>39_FollowUp.docx</t>
        </is>
      </c>
      <c r="M44" s="23" t="inlineStr">
        <is>
          <t>Bei weiterhin erhöhter Harnsäure empfehlen wir Erhöhung der Allopurinol-Dosis auf 200 mg (=2 Tabletten) täglich.</t>
        </is>
      </c>
      <c r="N44" s="23" t="inlineStr">
        <is>
          <t>Angegebene Dosis ist die empfohlene Erhöhung; bisherige Dosis nicht dokumentiert. Behandlung der begleitenden Gichtarthropathie.</t>
        </is>
      </c>
    </row>
    <row r="45">
      <c r="A45" s="22" t="n">
        <v>39</v>
      </c>
      <c r="B45" s="23" t="inlineStr">
        <is>
          <t>PsA</t>
        </is>
      </c>
      <c r="C45" s="23" t="inlineStr">
        <is>
          <t>Follow-up</t>
        </is>
      </c>
      <c r="D45" s="23" t="inlineStr">
        <is>
          <t>Secukinumab</t>
        </is>
      </c>
      <c r="E45" s="23" t="n"/>
      <c r="F45" s="23" t="n"/>
      <c r="G45" s="23" t="n"/>
      <c r="H45" s="23" t="n"/>
      <c r="I45" s="23" t="inlineStr">
        <is>
          <t>Unklar</t>
        </is>
      </c>
      <c r="J45" s="23" t="inlineStr">
        <is>
          <t>geplant</t>
        </is>
      </c>
      <c r="K45" s="23" t="n"/>
      <c r="L45" s="23" t="inlineStr">
        <is>
          <t>39_FollowUp.docx</t>
        </is>
      </c>
      <c r="M45" s="23" t="inlineStr">
        <is>
          <t>Sollte dies nicht möglich sein, wäre eine zeitnaher Präparatwechsel auf ein anderes Biologikum z.B. auf den anti-IL 17-Ak Secukinumab, denkbar.</t>
        </is>
      </c>
      <c r="N45" s="23" t="inlineStr">
        <is>
          <t>Nur bedingte Therapieoption bei nicht möglicher Studienumstellung; kein dokumentierter Beginn.</t>
        </is>
      </c>
    </row>
    <row r="46">
      <c r="A46" s="22" t="n">
        <v>40</v>
      </c>
      <c r="B46" s="23" t="inlineStr">
        <is>
          <t>PsA</t>
        </is>
      </c>
      <c r="C46" s="23" t="inlineStr">
        <is>
          <t>Baseline</t>
        </is>
      </c>
      <c r="D46" s="23" t="inlineStr">
        <is>
          <t>Apremilast</t>
        </is>
      </c>
      <c r="E46" s="23" t="n"/>
      <c r="F46" s="23" t="n"/>
      <c r="G46" s="23" t="n"/>
      <c r="H46" s="23" t="n"/>
      <c r="I46" s="23" t="inlineStr">
        <is>
          <t>Nein</t>
        </is>
      </c>
      <c r="J46" s="23" t="inlineStr">
        <is>
          <t>beendet</t>
        </is>
      </c>
      <c r="K46" s="23" t="n"/>
      <c r="L46" s="23" t="inlineStr">
        <is>
          <t>40_Baseline.docx</t>
        </is>
      </c>
      <c r="M46" s="23" t="inlineStr">
        <is>
          <t>Apremilast seit 10/2019
Apremilast abgesetzt.</t>
        </is>
      </c>
      <c r="N46" s="23" t="inlineStr">
        <is>
          <t>Bis zur Therapieentscheidung als Dauermedikation dokumentiert.</t>
        </is>
      </c>
    </row>
    <row r="47">
      <c r="A47" s="22" t="n">
        <v>40</v>
      </c>
      <c r="B47" s="23" t="inlineStr">
        <is>
          <t>PsA</t>
        </is>
      </c>
      <c r="C47" s="23" t="inlineStr">
        <is>
          <t>Baseline</t>
        </is>
      </c>
      <c r="D47" s="23" t="inlineStr">
        <is>
          <t>Sulfasalazin</t>
        </is>
      </c>
      <c r="E47" s="23" t="n"/>
      <c r="F47" s="23" t="n"/>
      <c r="G47" s="23" t="n"/>
      <c r="H47" s="23" t="n"/>
      <c r="I47" s="23" t="inlineStr">
        <is>
          <t>Nein</t>
        </is>
      </c>
      <c r="J47" s="23" t="inlineStr">
        <is>
          <t>geplant</t>
        </is>
      </c>
      <c r="K47" s="23" t="inlineStr">
        <is>
          <t>Woche 1: Sulfasalazin 500 mg 0-0-1; Woche 2: Sulfasalazin 500 mg 1-0-1; Woche 3: Sulfasalazin 500 mg 1-0-2; Woche 4: Sulfasalazin 500 mg 2-0-2</t>
        </is>
      </c>
      <c r="L47" s="23" t="inlineStr">
        <is>
          <t>40_Baseline.docx</t>
        </is>
      </c>
      <c r="M47" s="23" t="inlineStr">
        <is>
          <t>Woche 1: Sulfasalazin 500 mg 0-0-1
Woche 2: Sulfasalazin 500 mg 1-0-1
Woche 3: Sulfasalazin 500 mg 1-0-2
Woche 4: Sulfasalazin 500 mg 2-0-2</t>
        </is>
      </c>
      <c r="N47" s="23" t="inlineStr">
        <is>
          <t>Aufdosierungsschema; keine einheitliche Einzeldosis oder Dauerdosis abgeleitet.</t>
        </is>
      </c>
    </row>
    <row r="48">
      <c r="A48" s="22" t="n">
        <v>40</v>
      </c>
      <c r="B48" s="23" t="inlineStr">
        <is>
          <t>PsA</t>
        </is>
      </c>
      <c r="C48" s="23" t="inlineStr">
        <is>
          <t>Baseline</t>
        </is>
      </c>
      <c r="D48" s="23" t="inlineStr">
        <is>
          <t>Naproxen</t>
        </is>
      </c>
      <c r="E48" s="22" t="n">
        <v>500</v>
      </c>
      <c r="F48" s="23" t="inlineStr">
        <is>
          <t>mg</t>
        </is>
      </c>
      <c r="G48" s="23" t="n"/>
      <c r="H48" s="23" t="n"/>
      <c r="I48" s="23" t="inlineStr">
        <is>
          <t>Ja</t>
        </is>
      </c>
      <c r="J48" s="23" t="inlineStr">
        <is>
          <t>laufend</t>
        </is>
      </c>
      <c r="K48" s="23" t="inlineStr">
        <is>
          <t>Naproxen 500 mg bei Bedarf</t>
        </is>
      </c>
      <c r="L48" s="23" t="inlineStr">
        <is>
          <t>40_Baseline.docx</t>
        </is>
      </c>
      <c r="M48" s="23" t="inlineStr">
        <is>
          <t>Naproxen 500 mg bei Bedarf</t>
        </is>
      </c>
      <c r="N48" s="23" t="n"/>
    </row>
    <row r="49">
      <c r="A49" s="22" t="n">
        <v>40</v>
      </c>
      <c r="B49" s="23" t="inlineStr">
        <is>
          <t>PsA</t>
        </is>
      </c>
      <c r="C49" s="23" t="inlineStr">
        <is>
          <t>Baseline</t>
        </is>
      </c>
      <c r="D49" s="23" t="inlineStr">
        <is>
          <t>Metamizol</t>
        </is>
      </c>
      <c r="E49" s="22" t="n">
        <v>500</v>
      </c>
      <c r="F49" s="23" t="inlineStr">
        <is>
          <t>mg</t>
        </is>
      </c>
      <c r="G49" s="23" t="n"/>
      <c r="H49" s="23" t="n"/>
      <c r="I49" s="23" t="inlineStr">
        <is>
          <t>Ja</t>
        </is>
      </c>
      <c r="J49" s="23" t="inlineStr">
        <is>
          <t>laufend</t>
        </is>
      </c>
      <c r="K49" s="23" t="inlineStr">
        <is>
          <t>Novaminsulfon 500 mg bei Bedarf</t>
        </is>
      </c>
      <c r="L49" s="23" t="inlineStr">
        <is>
          <t>40_Baseline.docx</t>
        </is>
      </c>
      <c r="M49" s="23" t="inlineStr">
        <is>
          <t>Novaminsulfon 500 mg bei Bedarf</t>
        </is>
      </c>
      <c r="N49" s="23" t="n"/>
    </row>
    <row r="50">
      <c r="A50" s="22" t="n">
        <v>40</v>
      </c>
      <c r="B50" s="23" t="inlineStr">
        <is>
          <t>PsA</t>
        </is>
      </c>
      <c r="C50" s="23" t="inlineStr">
        <is>
          <t>Follow-up</t>
        </is>
      </c>
      <c r="D50" s="23" t="inlineStr">
        <is>
          <t>Sulfasalazin</t>
        </is>
      </c>
      <c r="E50" s="23" t="n"/>
      <c r="F50" s="23" t="n"/>
      <c r="G50" s="23" t="n"/>
      <c r="H50" s="23" t="n"/>
      <c r="I50" s="23" t="inlineStr">
        <is>
          <t>Nein</t>
        </is>
      </c>
      <c r="J50" s="23" t="inlineStr">
        <is>
          <t>laufend</t>
        </is>
      </c>
      <c r="K50" s="23" t="inlineStr">
        <is>
          <t>Sulfasalazin 500 mg 2-0-2 seit 05/2020</t>
        </is>
      </c>
      <c r="L50" s="23" t="inlineStr">
        <is>
          <t>40_FollowUp.docx</t>
        </is>
      </c>
      <c r="M50" s="23" t="inlineStr">
        <is>
          <t>Sulfasalazin 500 mg 2-0-2 seit 05/2020</t>
        </is>
      </c>
      <c r="N50" s="23" t="inlineStr">
        <is>
          <t>Tablettenstärke und Einnahmeschema im Original erhalten; keine Einzeldosis errechnet.</t>
        </is>
      </c>
    </row>
    <row r="51">
      <c r="A51" s="22" t="n">
        <v>40</v>
      </c>
      <c r="B51" s="23" t="inlineStr">
        <is>
          <t>PsA</t>
        </is>
      </c>
      <c r="C51" s="23" t="inlineStr">
        <is>
          <t>Follow-up</t>
        </is>
      </c>
      <c r="D51" s="23" t="inlineStr">
        <is>
          <t>Secukinumab</t>
        </is>
      </c>
      <c r="E51" s="22" t="n">
        <v>150</v>
      </c>
      <c r="F51" s="23" t="inlineStr">
        <is>
          <t>mg</t>
        </is>
      </c>
      <c r="G51" s="22" t="n">
        <v>4</v>
      </c>
      <c r="H51" s="23" t="inlineStr">
        <is>
          <t>Wochen</t>
        </is>
      </c>
      <c r="I51" s="23" t="inlineStr">
        <is>
          <t>Nein</t>
        </is>
      </c>
      <c r="J51" s="23" t="inlineStr">
        <is>
          <t>beendet</t>
        </is>
      </c>
      <c r="K51" s="23" t="inlineStr">
        <is>
          <t>Secukinumab 150mg sc., zunächst wöchentlich, dann alle 4 Wochen 11-2020 bis 3-2021</t>
        </is>
      </c>
      <c r="L51" s="23" t="inlineStr">
        <is>
          <t>40_FollowUp.docx</t>
        </is>
      </c>
      <c r="M51" s="23" t="inlineStr">
        <is>
          <t>Beginn mit Aufsättigung IL-17 Antikörper Secukinumab 150mg sc., zunächst wöchentlich, dann alle 4 Wochen 11-2020 bis 3-2021
Aktuell: Umstellung auf Adalimumab 40mg alle 2 Wochen s.c. bei unzureichendem Ansprechen auf IL-17 Inhbition ab 3-2021</t>
        </is>
      </c>
      <c r="N51" s="23" t="inlineStr">
        <is>
          <t>Erhaltungsintervall erfasst; vorausgehende wöchentliche Aufsättigung im Original erhalten. Beendigung im März 2021 im Zusammenhang mit der Umstellung.</t>
        </is>
      </c>
    </row>
    <row r="52">
      <c r="A52" s="22" t="n">
        <v>40</v>
      </c>
      <c r="B52" s="23" t="inlineStr">
        <is>
          <t>PsA</t>
        </is>
      </c>
      <c r="C52" s="23" t="inlineStr">
        <is>
          <t>Follow-up</t>
        </is>
      </c>
      <c r="D52" s="23" t="inlineStr">
        <is>
          <t>Adalimumab</t>
        </is>
      </c>
      <c r="E52" s="22" t="n">
        <v>40</v>
      </c>
      <c r="F52" s="23" t="inlineStr">
        <is>
          <t>mg</t>
        </is>
      </c>
      <c r="G52" s="22" t="n">
        <v>2</v>
      </c>
      <c r="H52" s="23" t="inlineStr">
        <is>
          <t>Wochen</t>
        </is>
      </c>
      <c r="I52" s="23" t="inlineStr">
        <is>
          <t>Nein</t>
        </is>
      </c>
      <c r="J52" s="23" t="inlineStr">
        <is>
          <t>geplant</t>
        </is>
      </c>
      <c r="K52" s="23" t="inlineStr">
        <is>
          <t>Adalimumab 40mg alle 2 Wochen s.c.</t>
        </is>
      </c>
      <c r="L52" s="23" t="inlineStr">
        <is>
          <t>40_FollowUp.docx</t>
        </is>
      </c>
      <c r="M52" s="23" t="inlineStr">
        <is>
          <t>Aktuell: Umstellung auf Adalimumab 40mg alle 2 Wochen s.c. bei unzureichendem Ansprechen auf IL-17 Inhbition ab 3-2021
Umstellung auf Adalimumab 40mg s.c. alle 14 d sowie regelmäßige Laborkontrollen nach den Empfehlungen der DGRh (www.rheumanet.org)</t>
        </is>
      </c>
      <c r="N52" s="23" t="inlineStr">
        <is>
          <t>Umstellung empfohlen; tatsächlich erfolgte erste Gabe nicht eindeutig dokumentiert.</t>
        </is>
      </c>
    </row>
    <row r="53">
      <c r="A53" s="22" t="n">
        <v>40</v>
      </c>
      <c r="B53" s="23" t="inlineStr">
        <is>
          <t>PsA</t>
        </is>
      </c>
      <c r="C53" s="23" t="inlineStr">
        <is>
          <t>Follow-up</t>
        </is>
      </c>
      <c r="D53" s="23" t="inlineStr">
        <is>
          <t>Naproxen</t>
        </is>
      </c>
      <c r="E53" s="22" t="n">
        <v>500</v>
      </c>
      <c r="F53" s="23" t="inlineStr">
        <is>
          <t>mg</t>
        </is>
      </c>
      <c r="G53" s="23" t="n"/>
      <c r="H53" s="23" t="n"/>
      <c r="I53" s="23" t="inlineStr">
        <is>
          <t>Ja</t>
        </is>
      </c>
      <c r="J53" s="23" t="inlineStr">
        <is>
          <t>laufend</t>
        </is>
      </c>
      <c r="K53" s="23" t="inlineStr">
        <is>
          <t>Naproxen 500 mg bei Bedarf</t>
        </is>
      </c>
      <c r="L53" s="23" t="inlineStr">
        <is>
          <t>40_FollowUp.docx</t>
        </is>
      </c>
      <c r="M53" s="23" t="inlineStr">
        <is>
          <t>Naproxen 500 mg bei Bedarf</t>
        </is>
      </c>
      <c r="N53" s="23" t="n"/>
    </row>
    <row r="54">
      <c r="A54" s="22" t="n">
        <v>40</v>
      </c>
      <c r="B54" s="23" t="inlineStr">
        <is>
          <t>PsA</t>
        </is>
      </c>
      <c r="C54" s="23" t="inlineStr">
        <is>
          <t>Follow-up</t>
        </is>
      </c>
      <c r="D54" s="23" t="inlineStr">
        <is>
          <t>Metamizol</t>
        </is>
      </c>
      <c r="E54" s="22" t="n">
        <v>500</v>
      </c>
      <c r="F54" s="23" t="inlineStr">
        <is>
          <t>mg</t>
        </is>
      </c>
      <c r="G54" s="23" t="n"/>
      <c r="H54" s="23" t="n"/>
      <c r="I54" s="23" t="inlineStr">
        <is>
          <t>Ja</t>
        </is>
      </c>
      <c r="J54" s="23" t="inlineStr">
        <is>
          <t>laufend</t>
        </is>
      </c>
      <c r="K54" s="23" t="inlineStr">
        <is>
          <t>Novaminsulfon 500 mg bei Bedarf</t>
        </is>
      </c>
      <c r="L54" s="23" t="inlineStr">
        <is>
          <t>40_FollowUp.docx</t>
        </is>
      </c>
      <c r="M54" s="23" t="inlineStr">
        <is>
          <t>Novaminsulfon 500 mg bei Bedarf</t>
        </is>
      </c>
      <c r="N54" s="23" t="n"/>
    </row>
    <row r="55">
      <c r="A55" s="22" t="n">
        <v>41</v>
      </c>
      <c r="B55" s="23" t="inlineStr">
        <is>
          <t>PsA</t>
        </is>
      </c>
      <c r="C55" s="23" t="inlineStr">
        <is>
          <t>Baseline</t>
        </is>
      </c>
      <c r="D55" s="23" t="inlineStr">
        <is>
          <t>Ixekizumab</t>
        </is>
      </c>
      <c r="E55" s="22" t="n">
        <v>80</v>
      </c>
      <c r="F55" s="23" t="inlineStr">
        <is>
          <t>mg</t>
        </is>
      </c>
      <c r="G55" s="23" t="n"/>
      <c r="H55" s="23" t="n"/>
      <c r="I55" s="23" t="inlineStr">
        <is>
          <t>Nein</t>
        </is>
      </c>
      <c r="J55" s="23" t="inlineStr">
        <is>
          <t>laufend</t>
        </is>
      </c>
      <c r="K55" s="23" t="inlineStr">
        <is>
          <t>Ixekizumab 80mg sc./ 2 Wochen die ersten 12 Wochen, dann 80mg sc./ 4 Wochen</t>
        </is>
      </c>
      <c r="L55" s="23" t="inlineStr">
        <is>
          <t>41_Baseline.docx</t>
        </is>
      </c>
      <c r="M55" s="23" t="inlineStr">
        <is>
          <t>Aktuelle Therapie: Beginn Ixekizumab 80mg sc./ 2 Wochen die ersten 12 Wochen, dann 80mg sc./ 4 Wochen
Wir empfehlen die Fortführung der Ixekizumab Therapie.</t>
        </is>
      </c>
      <c r="N55" s="23" t="inlineStr">
        <is>
          <t>Erneuter Therapiebeginn nach vorausgegangenem Wirkungsverlust; wechselndes Intervall im Induktionsschema.</t>
        </is>
      </c>
    </row>
    <row r="56">
      <c r="A56" s="22" t="n">
        <v>41</v>
      </c>
      <c r="B56" s="23" t="inlineStr">
        <is>
          <t>PsA</t>
        </is>
      </c>
      <c r="C56" s="23" t="inlineStr">
        <is>
          <t>Baseline</t>
        </is>
      </c>
      <c r="D56" s="23" t="inlineStr">
        <is>
          <t>Methotrexat</t>
        </is>
      </c>
      <c r="E56" s="22" t="n">
        <v>25</v>
      </c>
      <c r="F56" s="23" t="inlineStr">
        <is>
          <t>mg</t>
        </is>
      </c>
      <c r="G56" s="22" t="n">
        <v>1</v>
      </c>
      <c r="H56" s="23" t="inlineStr">
        <is>
          <t>Wochen</t>
        </is>
      </c>
      <c r="I56" s="23" t="inlineStr">
        <is>
          <t>Nein</t>
        </is>
      </c>
      <c r="J56" s="23" t="inlineStr">
        <is>
          <t>laufend</t>
        </is>
      </c>
      <c r="K56" s="23" t="inlineStr">
        <is>
          <t>MTX 25mg s.c./ Woche</t>
        </is>
      </c>
      <c r="L56" s="23" t="inlineStr">
        <is>
          <t>41_Baseline.docx</t>
        </is>
      </c>
      <c r="M56" s="23" t="inlineStr">
        <is>
          <t>MTX 25mg s.c./ Woche
Weiterführung der Dauermedikation</t>
        </is>
      </c>
      <c r="N56" s="23" t="n"/>
    </row>
    <row r="57">
      <c r="A57" s="22" t="n">
        <v>41</v>
      </c>
      <c r="B57" s="23" t="inlineStr">
        <is>
          <t>PsA</t>
        </is>
      </c>
      <c r="C57" s="23" t="inlineStr">
        <is>
          <t>Baseline</t>
        </is>
      </c>
      <c r="D57" s="23" t="inlineStr">
        <is>
          <t>Prednisolon</t>
        </is>
      </c>
      <c r="E57" s="22" t="n">
        <v>5</v>
      </c>
      <c r="F57" s="23" t="inlineStr">
        <is>
          <t>mg</t>
        </is>
      </c>
      <c r="G57" s="22" t="n">
        <v>1</v>
      </c>
      <c r="H57" s="23" t="inlineStr">
        <is>
          <t>Tage</t>
        </is>
      </c>
      <c r="I57" s="23" t="inlineStr">
        <is>
          <t>Nein</t>
        </is>
      </c>
      <c r="J57" s="23" t="inlineStr">
        <is>
          <t>laufend</t>
        </is>
      </c>
      <c r="K57" s="23" t="inlineStr">
        <is>
          <t>Prednisolon 5mg 1-0-0</t>
        </is>
      </c>
      <c r="L57" s="23" t="inlineStr">
        <is>
          <t>41_Baseline.docx</t>
        </is>
      </c>
      <c r="M57" s="23" t="inlineStr">
        <is>
          <t>Prednisolon 5mg 1-0-0</t>
        </is>
      </c>
      <c r="N57" s="23" t="n"/>
    </row>
    <row r="58">
      <c r="A58" s="22" t="n">
        <v>41</v>
      </c>
      <c r="B58" s="23" t="inlineStr">
        <is>
          <t>PsA</t>
        </is>
      </c>
      <c r="C58" s="23" t="inlineStr">
        <is>
          <t>Baseline</t>
        </is>
      </c>
      <c r="D58" s="23" t="inlineStr">
        <is>
          <t>Naproxen</t>
        </is>
      </c>
      <c r="E58" s="22" t="n">
        <v>500</v>
      </c>
      <c r="F58" s="23" t="inlineStr">
        <is>
          <t>mg</t>
        </is>
      </c>
      <c r="G58" s="23" t="n"/>
      <c r="H58" s="23" t="n"/>
      <c r="I58" s="23" t="inlineStr">
        <is>
          <t>Nein</t>
        </is>
      </c>
      <c r="J58" s="23" t="inlineStr">
        <is>
          <t>laufend</t>
        </is>
      </c>
      <c r="K58" s="23" t="inlineStr">
        <is>
          <t>Naproxen 500 mg 0-01</t>
        </is>
      </c>
      <c r="L58" s="23" t="inlineStr">
        <is>
          <t>41_Baseline.docx</t>
        </is>
      </c>
      <c r="M58" s="23" t="inlineStr">
        <is>
          <t>Naproxen 500 mg 0-01</t>
        </is>
      </c>
      <c r="N58" s="23" t="inlineStr">
        <is>
          <t>Einnahmeschema im Original unklar geschrieben.</t>
        </is>
      </c>
    </row>
    <row r="59">
      <c r="A59" s="22" t="n">
        <v>41</v>
      </c>
      <c r="B59" s="23" t="inlineStr">
        <is>
          <t>PsA</t>
        </is>
      </c>
      <c r="C59" s="23" t="inlineStr">
        <is>
          <t>Baseline</t>
        </is>
      </c>
      <c r="D59" s="23" t="inlineStr">
        <is>
          <t>Tilidinhydrochlorid</t>
        </is>
      </c>
      <c r="E59" s="22" t="n">
        <v>100</v>
      </c>
      <c r="F59" s="23" t="inlineStr">
        <is>
          <t>mg</t>
        </is>
      </c>
      <c r="G59" s="22" t="n">
        <v>1</v>
      </c>
      <c r="H59" s="23" t="inlineStr">
        <is>
          <t>Tage</t>
        </is>
      </c>
      <c r="I59" s="23" t="inlineStr">
        <is>
          <t>Nein</t>
        </is>
      </c>
      <c r="J59" s="23" t="inlineStr">
        <is>
          <t>laufend</t>
        </is>
      </c>
      <c r="K59" s="23" t="inlineStr">
        <is>
          <t>Tilidin hydrochlorid Naloxon 100 mg 8 mg 1-0</t>
        </is>
      </c>
      <c r="L59" s="23" t="inlineStr">
        <is>
          <t>41_Baseline.docx</t>
        </is>
      </c>
      <c r="M59" s="23" t="inlineStr">
        <is>
          <t>Tilidin hydrochlorid Naloxon 100 mg 8 mg 1-0</t>
        </is>
      </c>
      <c r="N59" s="23" t="inlineStr">
        <is>
          <t>Kombinationspräparat mit Naloxon; verkürzt dokumentiertes Einnahmeschema.</t>
        </is>
      </c>
    </row>
    <row r="60">
      <c r="A60" s="22" t="n">
        <v>41</v>
      </c>
      <c r="B60" s="23" t="inlineStr">
        <is>
          <t>PsA</t>
        </is>
      </c>
      <c r="C60" s="23" t="inlineStr">
        <is>
          <t>Baseline</t>
        </is>
      </c>
      <c r="D60" s="23" t="inlineStr">
        <is>
          <t>Naloxon</t>
        </is>
      </c>
      <c r="E60" s="22" t="n">
        <v>8</v>
      </c>
      <c r="F60" s="23" t="inlineStr">
        <is>
          <t>mg</t>
        </is>
      </c>
      <c r="G60" s="22" t="n">
        <v>1</v>
      </c>
      <c r="H60" s="23" t="inlineStr">
        <is>
          <t>Tage</t>
        </is>
      </c>
      <c r="I60" s="23" t="inlineStr">
        <is>
          <t>Nein</t>
        </is>
      </c>
      <c r="J60" s="23" t="inlineStr">
        <is>
          <t>laufend</t>
        </is>
      </c>
      <c r="K60" s="23" t="inlineStr">
        <is>
          <t>Tilidin hydrochlorid Naloxon 100 mg 8 mg 1-0</t>
        </is>
      </c>
      <c r="L60" s="23" t="inlineStr">
        <is>
          <t>41_Baseline.docx</t>
        </is>
      </c>
      <c r="M60" s="23" t="inlineStr">
        <is>
          <t>Tilidin hydrochlorid Naloxon 100 mg 8 mg 1-0</t>
        </is>
      </c>
      <c r="N60" s="23" t="inlineStr">
        <is>
          <t>Bestandteil des Tilidin-Kombinationspräparats.</t>
        </is>
      </c>
    </row>
    <row r="61">
      <c r="A61" s="22" t="n">
        <v>41</v>
      </c>
      <c r="B61" s="23" t="inlineStr">
        <is>
          <t>PsA</t>
        </is>
      </c>
      <c r="C61" s="23" t="inlineStr">
        <is>
          <t>Baseline</t>
        </is>
      </c>
      <c r="D61" s="23" t="inlineStr">
        <is>
          <t>Amitriptylin</t>
        </is>
      </c>
      <c r="E61" s="23" t="n"/>
      <c r="F61" s="23" t="n"/>
      <c r="G61" s="22" t="n">
        <v>1</v>
      </c>
      <c r="H61" s="23" t="inlineStr">
        <is>
          <t>Tage</t>
        </is>
      </c>
      <c r="I61" s="23" t="inlineStr">
        <is>
          <t>Nein</t>
        </is>
      </c>
      <c r="J61" s="23" t="inlineStr">
        <is>
          <t>laufend</t>
        </is>
      </c>
      <c r="K61" s="23" t="inlineStr">
        <is>
          <t>Amitryptilin 25 mg 0-0-1/2</t>
        </is>
      </c>
      <c r="L61" s="23" t="inlineStr">
        <is>
          <t>41_Baseline.docx</t>
        </is>
      </c>
      <c r="M61" s="23" t="inlineStr">
        <is>
          <t>Amitryptilin 25 mg 0-0-1/2</t>
        </is>
      </c>
      <c r="N61" s="23" t="inlineStr">
        <is>
          <t>Halbe Einheit abends; Einzeldosis nicht errechnet. Indikation nicht ausdrücklich genannt.</t>
        </is>
      </c>
    </row>
    <row r="62">
      <c r="A62" s="22" t="n">
        <v>41</v>
      </c>
      <c r="B62" s="23" t="inlineStr">
        <is>
          <t>PsA</t>
        </is>
      </c>
      <c r="C62" s="23" t="inlineStr">
        <is>
          <t>Baseline</t>
        </is>
      </c>
      <c r="D62" s="23" t="inlineStr">
        <is>
          <t>Abatacept</t>
        </is>
      </c>
      <c r="E62" s="22" t="n">
        <v>125</v>
      </c>
      <c r="F62" s="23" t="inlineStr">
        <is>
          <t>mg</t>
        </is>
      </c>
      <c r="G62" s="22" t="n">
        <v>1</v>
      </c>
      <c r="H62" s="23" t="inlineStr">
        <is>
          <t>Wochen</t>
        </is>
      </c>
      <c r="I62" s="23" t="inlineStr">
        <is>
          <t>Nein</t>
        </is>
      </c>
      <c r="J62" s="23" t="inlineStr">
        <is>
          <t>beendet</t>
        </is>
      </c>
      <c r="K62" s="23" t="inlineStr">
        <is>
          <t>Abatacept 125mg sc./ Woche</t>
        </is>
      </c>
      <c r="L62" s="23" t="inlineStr">
        <is>
          <t>41_Baseline.docx</t>
        </is>
      </c>
      <c r="M62" s="23" t="inlineStr">
        <is>
          <t>Im Sinne einer shared decision entschieden wir uns am 02.04.2020 für den Therapiebeginn mit dem CTLA-4 Inhibitor Abatacept 125mg sc./ Woche, nach 2 Applikationen präsentierte Herr Greiner eine deutliche Verschlechterung der Psoriasis Plaques, mit Juckreiz, Brennen und offenen Stellen, jedoch mit einer signifikanten Besserung der Gelenkbeschwerden.
Hier wurde nach dem Absetzten von Abatacept, eine probatorische Therapie mit dem JAK Inhibitor Tofacitinib initiiert, nach 4 Wochen und beim fehlenden klinischen Ansprechen entschieden wir uns für einen erneuten Therapieversuch mit Ixekizumab mit Induktionsschema, denn damit sei der Patient seitens der Haut für ca. 1 Jahr gut eigestellt gewesen.</t>
        </is>
      </c>
      <c r="N62" s="23" t="n"/>
    </row>
    <row r="63">
      <c r="A63" s="22" t="n">
        <v>41</v>
      </c>
      <c r="B63" s="23" t="inlineStr">
        <is>
          <t>PsA</t>
        </is>
      </c>
      <c r="C63" s="23" t="inlineStr">
        <is>
          <t>Baseline</t>
        </is>
      </c>
      <c r="D63" s="23" t="inlineStr">
        <is>
          <t>Tofacitinib</t>
        </is>
      </c>
      <c r="E63" s="23" t="n"/>
      <c r="F63" s="23" t="n"/>
      <c r="G63" s="23" t="n"/>
      <c r="H63" s="23" t="n"/>
      <c r="I63" s="23" t="inlineStr">
        <is>
          <t>Unklar</t>
        </is>
      </c>
      <c r="J63" s="23" t="inlineStr">
        <is>
          <t>beendet</t>
        </is>
      </c>
      <c r="K63" s="23" t="n"/>
      <c r="L63" s="23" t="inlineStr">
        <is>
          <t>41_Baseline.docx</t>
        </is>
      </c>
      <c r="M63" s="23" t="inlineStr">
        <is>
          <t>Hier wurde nach dem Absetzten von Abatacept, eine probatorische Therapie mit dem JAK Inhibitor Tofacitinib initiiert, nach 4 Wochen und beim fehlenden klinischen Ansprechen entschieden wir uns für einen erneuten Therapieversuch mit Ixekizumab mit Induktionsschema, denn damit sei der Patient seitens der Haut für ca. 1 Jahr gut eigestellt gewesen.</t>
        </is>
      </c>
      <c r="N63" s="23" t="n"/>
    </row>
    <row r="64">
      <c r="A64" s="22" t="n">
        <v>41</v>
      </c>
      <c r="B64" s="23" t="inlineStr">
        <is>
          <t>PsA</t>
        </is>
      </c>
      <c r="C64" s="23" t="inlineStr">
        <is>
          <t>Follow-up</t>
        </is>
      </c>
      <c r="D64" s="23" t="inlineStr">
        <is>
          <t>Ixekizumab</t>
        </is>
      </c>
      <c r="E64" s="22" t="n">
        <v>80</v>
      </c>
      <c r="F64" s="23" t="inlineStr">
        <is>
          <t>mg</t>
        </is>
      </c>
      <c r="G64" s="22" t="n">
        <v>4</v>
      </c>
      <c r="H64" s="23" t="inlineStr">
        <is>
          <t>Wochen</t>
        </is>
      </c>
      <c r="I64" s="23" t="inlineStr">
        <is>
          <t>Nein</t>
        </is>
      </c>
      <c r="J64" s="23" t="inlineStr">
        <is>
          <t>laufend</t>
        </is>
      </c>
      <c r="K64" s="23" t="inlineStr">
        <is>
          <t>Ixekizumab 80mg sc./ 4 Wochen erneut seit 05/2020</t>
        </is>
      </c>
      <c r="L64" s="23" t="inlineStr">
        <is>
          <t>41_FollowUp.docx</t>
        </is>
      </c>
      <c r="M64" s="23" t="inlineStr">
        <is>
          <t>Aktuelle Therapie: Ixekizumab 80mg sc./ 4 Wochen erneut seit 05/2020
Ixekizumab  wurde nicht pausiert.</t>
        </is>
      </c>
      <c r="N64" s="23" t="n"/>
    </row>
    <row r="65">
      <c r="A65" s="22" t="n">
        <v>41</v>
      </c>
      <c r="B65" s="23" t="inlineStr">
        <is>
          <t>PsA</t>
        </is>
      </c>
      <c r="C65" s="23" t="inlineStr">
        <is>
          <t>Follow-up</t>
        </is>
      </c>
      <c r="D65" s="23" t="inlineStr">
        <is>
          <t>Methotrexat</t>
        </is>
      </c>
      <c r="E65" s="22" t="n">
        <v>25</v>
      </c>
      <c r="F65" s="23" t="inlineStr">
        <is>
          <t>mg</t>
        </is>
      </c>
      <c r="G65" s="22" t="n">
        <v>1</v>
      </c>
      <c r="H65" s="23" t="inlineStr">
        <is>
          <t>Wochen</t>
        </is>
      </c>
      <c r="I65" s="23" t="inlineStr">
        <is>
          <t>Nein</t>
        </is>
      </c>
      <c r="J65" s="23" t="inlineStr">
        <is>
          <t>laufend</t>
        </is>
      </c>
      <c r="K65" s="23" t="inlineStr">
        <is>
          <t>MTX 25mg s.c. mittwochs</t>
        </is>
      </c>
      <c r="L65" s="23" t="inlineStr">
        <is>
          <t>41_FollowUp.docx</t>
        </is>
      </c>
      <c r="M65" s="23" t="inlineStr">
        <is>
          <t>MTX 25mg s.c. mittwochs</t>
        </is>
      </c>
      <c r="N65" s="23" t="n"/>
    </row>
    <row r="66">
      <c r="A66" s="22" t="n">
        <v>41</v>
      </c>
      <c r="B66" s="23" t="inlineStr">
        <is>
          <t>PsA</t>
        </is>
      </c>
      <c r="C66" s="23" t="inlineStr">
        <is>
          <t>Follow-up</t>
        </is>
      </c>
      <c r="D66" s="23" t="inlineStr">
        <is>
          <t>Prednisolon</t>
        </is>
      </c>
      <c r="E66" s="22" t="n">
        <v>4</v>
      </c>
      <c r="F66" s="23" t="inlineStr">
        <is>
          <t>mg</t>
        </is>
      </c>
      <c r="G66" s="22" t="n">
        <v>1</v>
      </c>
      <c r="H66" s="23" t="inlineStr">
        <is>
          <t>Tage</t>
        </is>
      </c>
      <c r="I66" s="23" t="inlineStr">
        <is>
          <t>Nein</t>
        </is>
      </c>
      <c r="J66" s="23" t="inlineStr">
        <is>
          <t>laufend</t>
        </is>
      </c>
      <c r="K66" s="23" t="inlineStr">
        <is>
          <t>Prednisolon 4mg 1-0-0</t>
        </is>
      </c>
      <c r="L66" s="23" t="inlineStr">
        <is>
          <t>41_FollowUp.docx</t>
        </is>
      </c>
      <c r="M66" s="23" t="inlineStr">
        <is>
          <t>Prednisolon 4mg 1-0-0</t>
        </is>
      </c>
      <c r="N66" s="23" t="n"/>
    </row>
    <row r="67">
      <c r="A67" s="22" t="n">
        <v>41</v>
      </c>
      <c r="B67" s="23" t="inlineStr">
        <is>
          <t>PsA</t>
        </is>
      </c>
      <c r="C67" s="23" t="inlineStr">
        <is>
          <t>Follow-up</t>
        </is>
      </c>
      <c r="D67" s="23" t="inlineStr">
        <is>
          <t>Naproxen</t>
        </is>
      </c>
      <c r="E67" s="22" t="n">
        <v>500</v>
      </c>
      <c r="F67" s="23" t="inlineStr">
        <is>
          <t>mg</t>
        </is>
      </c>
      <c r="G67" s="22" t="n">
        <v>1</v>
      </c>
      <c r="H67" s="23" t="inlineStr">
        <is>
          <t>Tage</t>
        </is>
      </c>
      <c r="I67" s="23" t="inlineStr">
        <is>
          <t>Nein</t>
        </is>
      </c>
      <c r="J67" s="23" t="inlineStr">
        <is>
          <t>laufend</t>
        </is>
      </c>
      <c r="K67" s="23" t="inlineStr">
        <is>
          <t>Naproxen 500 mg 0-0-1</t>
        </is>
      </c>
      <c r="L67" s="23" t="inlineStr">
        <is>
          <t>41_FollowUp.docx</t>
        </is>
      </c>
      <c r="M67" s="23" t="inlineStr">
        <is>
          <t>Naproxen 500 mg 0-0-1</t>
        </is>
      </c>
      <c r="N67" s="23" t="n"/>
    </row>
    <row r="68">
      <c r="A68" s="22" t="n">
        <v>41</v>
      </c>
      <c r="B68" s="23" t="inlineStr">
        <is>
          <t>PsA</t>
        </is>
      </c>
      <c r="C68" s="23" t="inlineStr">
        <is>
          <t>Follow-up</t>
        </is>
      </c>
      <c r="D68" s="23" t="inlineStr">
        <is>
          <t>Tilidin</t>
        </is>
      </c>
      <c r="E68" s="22" t="n">
        <v>100</v>
      </c>
      <c r="F68" s="23" t="inlineStr">
        <is>
          <t>mg</t>
        </is>
      </c>
      <c r="G68" s="22" t="n">
        <v>1</v>
      </c>
      <c r="H68" s="23" t="inlineStr">
        <is>
          <t>Tage</t>
        </is>
      </c>
      <c r="I68" s="23" t="inlineStr">
        <is>
          <t>Nein</t>
        </is>
      </c>
      <c r="J68" s="23" t="inlineStr">
        <is>
          <t>laufend</t>
        </is>
      </c>
      <c r="K68" s="23" t="inlineStr">
        <is>
          <t>Tilidin 100 mg 1-0-0</t>
        </is>
      </c>
      <c r="L68" s="23" t="inlineStr">
        <is>
          <t>41_FollowUp.docx</t>
        </is>
      </c>
      <c r="M68" s="23" t="inlineStr">
        <is>
          <t>Tilidin 100 mg 1-0-0</t>
        </is>
      </c>
      <c r="N68" s="23" t="n"/>
    </row>
    <row r="69">
      <c r="A69" s="22" t="n">
        <v>41</v>
      </c>
      <c r="B69" s="23" t="inlineStr">
        <is>
          <t>PsA</t>
        </is>
      </c>
      <c r="C69" s="23" t="inlineStr">
        <is>
          <t>Follow-up</t>
        </is>
      </c>
      <c r="D69" s="23" t="inlineStr">
        <is>
          <t>Amitriptylin</t>
        </is>
      </c>
      <c r="E69" s="23" t="n"/>
      <c r="F69" s="23" t="n"/>
      <c r="G69" s="22" t="n">
        <v>1</v>
      </c>
      <c r="H69" s="23" t="inlineStr">
        <is>
          <t>Tage</t>
        </is>
      </c>
      <c r="I69" s="23" t="inlineStr">
        <is>
          <t>Nein</t>
        </is>
      </c>
      <c r="J69" s="23" t="inlineStr">
        <is>
          <t>laufend</t>
        </is>
      </c>
      <c r="K69" s="23" t="inlineStr">
        <is>
          <t>Amitryptilin 25 mg 0-0-1/2</t>
        </is>
      </c>
      <c r="L69" s="23" t="inlineStr">
        <is>
          <t>41_FollowUp.docx</t>
        </is>
      </c>
      <c r="M69" s="23" t="inlineStr">
        <is>
          <t>Amitryptilin 25 mg 0-0-1/2</t>
        </is>
      </c>
      <c r="N69" s="23" t="inlineStr">
        <is>
          <t>Halbe Einheit abends; Einzeldosis nicht errechnet. Indikation nicht ausdrücklich genannt.</t>
        </is>
      </c>
    </row>
    <row r="70">
      <c r="A70" s="22" t="n">
        <v>41</v>
      </c>
      <c r="B70" s="23" t="inlineStr">
        <is>
          <t>PsA</t>
        </is>
      </c>
      <c r="C70" s="23" t="inlineStr">
        <is>
          <t>Follow-up</t>
        </is>
      </c>
      <c r="D70" s="23" t="inlineStr">
        <is>
          <t>Abatacept</t>
        </is>
      </c>
      <c r="E70" s="23" t="n"/>
      <c r="F70" s="23" t="n"/>
      <c r="G70" s="23" t="n"/>
      <c r="H70" s="23" t="n"/>
      <c r="I70" s="23" t="inlineStr">
        <is>
          <t>Unklar</t>
        </is>
      </c>
      <c r="J70" s="23" t="inlineStr">
        <is>
          <t>beendet</t>
        </is>
      </c>
      <c r="K70" s="23" t="n"/>
      <c r="L70" s="23" t="inlineStr">
        <is>
          <t>41_FollowUp.docx</t>
        </is>
      </c>
      <c r="M70" s="23" t="inlineStr">
        <is>
          <t>Z.n. Abatacept 04-05/2020 (kein Ansprechen Haut)</t>
        </is>
      </c>
      <c r="N70" s="23" t="inlineStr">
        <is>
          <t>Vorbehandlung für den Vergleich der Gelenkbeschwerden relevant; fehlendes Hautansprechen ist kein Beleg für fehlendes muskuloskelettales Ansprechen.</t>
        </is>
      </c>
    </row>
    <row r="71">
      <c r="A71" s="22" t="n">
        <v>41</v>
      </c>
      <c r="B71" s="23" t="inlineStr">
        <is>
          <t>PsA</t>
        </is>
      </c>
      <c r="C71" s="23" t="inlineStr">
        <is>
          <t>Follow-up</t>
        </is>
      </c>
      <c r="D71" s="23" t="inlineStr">
        <is>
          <t>Tofacitinib</t>
        </is>
      </c>
      <c r="E71" s="23" t="n"/>
      <c r="F71" s="23" t="n"/>
      <c r="G71" s="23" t="n"/>
      <c r="H71" s="23" t="n"/>
      <c r="I71" s="23" t="inlineStr">
        <is>
          <t>Unklar</t>
        </is>
      </c>
      <c r="J71" s="23" t="inlineStr">
        <is>
          <t>geplant</t>
        </is>
      </c>
      <c r="K71" s="23" t="n"/>
      <c r="L71" s="23" t="inlineStr">
        <is>
          <t>41_FollowUp.docx</t>
        </is>
      </c>
      <c r="M71" s="23" t="inlineStr">
        <is>
          <t>In Abhängigkeit des Befundes sollte dann eine erneute Therapieumstellung (gegebenenfalls Off-Label-Kombination Tofacitinib und Ixekizumab) diskutiert werden.</t>
        </is>
      </c>
      <c r="N71" s="23" t="inlineStr">
        <is>
          <t>Nur bedingte Therapieoption nach MRT-Kontrolle; kein beschlossener Therapiebeginn.</t>
        </is>
      </c>
    </row>
    <row r="72">
      <c r="A72" s="22" t="n">
        <v>42</v>
      </c>
      <c r="B72" s="23" t="inlineStr">
        <is>
          <t>PsA</t>
        </is>
      </c>
      <c r="C72" s="23" t="inlineStr">
        <is>
          <t>Baseline</t>
        </is>
      </c>
      <c r="D72" s="23" t="inlineStr">
        <is>
          <t>Methotrexat</t>
        </is>
      </c>
      <c r="E72" s="22" t="n">
        <v>25</v>
      </c>
      <c r="F72" s="23" t="inlineStr">
        <is>
          <t>mg</t>
        </is>
      </c>
      <c r="G72" s="22" t="n">
        <v>1</v>
      </c>
      <c r="H72" s="23" t="inlineStr">
        <is>
          <t>Wochen</t>
        </is>
      </c>
      <c r="I72" s="23" t="inlineStr">
        <is>
          <t>Nein</t>
        </is>
      </c>
      <c r="J72" s="23" t="inlineStr">
        <is>
          <t>laufend</t>
        </is>
      </c>
      <c r="K72" s="23" t="inlineStr">
        <is>
          <t>MTX 25 mg s.c. 1 x pro Woche</t>
        </is>
      </c>
      <c r="L72" s="23" t="inlineStr">
        <is>
          <t>42_Baseline.docx</t>
        </is>
      </c>
      <c r="M72" s="23" t="inlineStr">
        <is>
          <t>MTX 25 mg s.c. 1 x pro Woche</t>
        </is>
      </c>
      <c r="N72" s="23" t="n"/>
    </row>
    <row r="73">
      <c r="A73" s="22" t="n">
        <v>42</v>
      </c>
      <c r="B73" s="23" t="inlineStr">
        <is>
          <t>PsA</t>
        </is>
      </c>
      <c r="C73" s="23" t="inlineStr">
        <is>
          <t>Baseline</t>
        </is>
      </c>
      <c r="D73" s="23" t="inlineStr">
        <is>
          <t>Etanercept</t>
        </is>
      </c>
      <c r="E73" s="22" t="n">
        <v>50</v>
      </c>
      <c r="F73" s="23" t="inlineStr">
        <is>
          <t>mg</t>
        </is>
      </c>
      <c r="G73" s="23" t="n"/>
      <c r="H73" s="23" t="n"/>
      <c r="I73" s="23" t="inlineStr">
        <is>
          <t>Unklar</t>
        </is>
      </c>
      <c r="J73" s="23" t="inlineStr">
        <is>
          <t>beendet</t>
        </is>
      </c>
      <c r="K73" s="23" t="inlineStr">
        <is>
          <t>Z.n. Eternacept 50 mg in 09/19-03/20 (keine Wirkung)</t>
        </is>
      </c>
      <c r="L73" s="23" t="inlineStr">
        <is>
          <t>42_Baseline.docx</t>
        </is>
      </c>
      <c r="M73" s="23" t="inlineStr">
        <is>
          <t>Z.n. Eternacept 50 mg in 09/19-03/20 (keine Wirkung)
Etanercept abgesetzt.</t>
        </is>
      </c>
      <c r="N73" s="23" t="inlineStr">
        <is>
          <t>Schreibweise Eternacept anhand der übrigen eindeutigen Etanercept-Nennungen zugeordnet; Einnahmeintervall fehlt.</t>
        </is>
      </c>
    </row>
    <row r="74">
      <c r="A74" s="22" t="n">
        <v>42</v>
      </c>
      <c r="B74" s="23" t="inlineStr">
        <is>
          <t>PsA</t>
        </is>
      </c>
      <c r="C74" s="23" t="inlineStr">
        <is>
          <t>Baseline</t>
        </is>
      </c>
      <c r="D74" s="23" t="inlineStr">
        <is>
          <t>Tofacitinib</t>
        </is>
      </c>
      <c r="E74" s="22" t="n">
        <v>5</v>
      </c>
      <c r="F74" s="23" t="inlineStr">
        <is>
          <t>mg</t>
        </is>
      </c>
      <c r="G74" s="23" t="n"/>
      <c r="H74" s="23" t="n"/>
      <c r="I74" s="23" t="inlineStr">
        <is>
          <t>Nein</t>
        </is>
      </c>
      <c r="J74" s="23" t="inlineStr">
        <is>
          <t>laufend</t>
        </is>
      </c>
      <c r="K74" s="23" t="inlineStr">
        <is>
          <t>Tofacitinib begonnen 5 mg 1-0-1 unter regelmäßigen klinischen und serologischen Kontrollen nach Maßgabe der DGRh</t>
        </is>
      </c>
      <c r="L74" s="23" t="inlineStr">
        <is>
          <t>42_Baseline.docx</t>
        </is>
      </c>
      <c r="M74" s="23" t="inlineStr">
        <is>
          <t>Tofacitinib begonnen 5 mg 1-0-1 unter regelmäßigen klinischen und serologischen Kontrollen nach Maßgabe der DGRh</t>
        </is>
      </c>
      <c r="N74" s="23" t="inlineStr">
        <is>
          <t>Morgens und abends jeweils 5 mg; kein gleichmäßiges Stundenintervall dokumentiert.</t>
        </is>
      </c>
    </row>
    <row r="75">
      <c r="A75" s="22" t="n">
        <v>42</v>
      </c>
      <c r="B75" s="23" t="inlineStr">
        <is>
          <t>PsA</t>
        </is>
      </c>
      <c r="C75" s="23" t="inlineStr">
        <is>
          <t>Baseline</t>
        </is>
      </c>
      <c r="D75" s="23" t="inlineStr">
        <is>
          <t>Prednisolon</t>
        </is>
      </c>
      <c r="E75" s="23" t="n"/>
      <c r="F75" s="23" t="n"/>
      <c r="G75" s="23" t="n"/>
      <c r="H75" s="23" t="n"/>
      <c r="I75" s="23" t="inlineStr">
        <is>
          <t>Nein</t>
        </is>
      </c>
      <c r="J75" s="23" t="inlineStr">
        <is>
          <t>laufend</t>
        </is>
      </c>
      <c r="K75" s="23" t="inlineStr">
        <is>
          <t>Prednisolon 5 mg; Prednisolon 10 mg für 2 Woche, dann wöchentliche schrittweise Reduktion der Dosis auf 2.5 mg, bis Stopp</t>
        </is>
      </c>
      <c r="L75" s="23" t="inlineStr">
        <is>
          <t>42_Baseline.docx</t>
        </is>
      </c>
      <c r="M75" s="23" t="inlineStr">
        <is>
          <t>Prednisolon 5 mg
Prednisolon 10 mg für 2 Woche, dann wöchentliche schrittweise Reduktion der Dosis auf 2.5 mg, bis Stopp</t>
        </is>
      </c>
      <c r="N75" s="23" t="inlineStr">
        <is>
          <t>Bisher 5 mg; empfohlenes Ausschleichschema ohne errechnete konstante Einzeldosis erfasst.</t>
        </is>
      </c>
    </row>
    <row r="76">
      <c r="A76" s="22" t="n">
        <v>42</v>
      </c>
      <c r="B76" s="23" t="inlineStr">
        <is>
          <t>PsA</t>
        </is>
      </c>
      <c r="C76" s="23" t="inlineStr">
        <is>
          <t>Baseline</t>
        </is>
      </c>
      <c r="D76" s="23" t="inlineStr">
        <is>
          <t>Diclofenac</t>
        </is>
      </c>
      <c r="E76" s="23" t="n"/>
      <c r="F76" s="23" t="n"/>
      <c r="G76" s="23" t="n"/>
      <c r="H76" s="23" t="n"/>
      <c r="I76" s="23" t="inlineStr">
        <is>
          <t>Ja</t>
        </is>
      </c>
      <c r="J76" s="23" t="inlineStr">
        <is>
          <t>laufend</t>
        </is>
      </c>
      <c r="K76" s="23" t="inlineStr">
        <is>
          <t>Diclofenac bei Bedarf.</t>
        </is>
      </c>
      <c r="L76" s="23" t="inlineStr">
        <is>
          <t>42_Baseline.docx</t>
        </is>
      </c>
      <c r="M76" s="23" t="inlineStr">
        <is>
          <t>Diclofenac bei Bedarf.</t>
        </is>
      </c>
      <c r="N76" s="23" t="n"/>
    </row>
    <row r="77">
      <c r="A77" s="22" t="n">
        <v>42</v>
      </c>
      <c r="B77" s="23" t="inlineStr">
        <is>
          <t>PsA</t>
        </is>
      </c>
      <c r="C77" s="23" t="inlineStr">
        <is>
          <t>Follow-up</t>
        </is>
      </c>
      <c r="D77" s="23" t="inlineStr">
        <is>
          <t>Tofacitinib</t>
        </is>
      </c>
      <c r="E77" s="23" t="n"/>
      <c r="F77" s="23" t="n"/>
      <c r="G77" s="23" t="n"/>
      <c r="H77" s="23" t="n"/>
      <c r="I77" s="23" t="inlineStr">
        <is>
          <t>Unklar</t>
        </is>
      </c>
      <c r="J77" s="23" t="inlineStr">
        <is>
          <t>beendet</t>
        </is>
      </c>
      <c r="K77" s="23" t="n"/>
      <c r="L77" s="23" t="inlineStr">
        <is>
          <t>42_FollowUp.docx</t>
        </is>
      </c>
      <c r="M77" s="23" t="inlineStr">
        <is>
          <t>Beginn MTX 25 mg in 05/2019, Tofacitinib 04-06/2020, ohne ausreichende Wirkung
Die Wiedervorstellung erfolgte bei bekannter Psoriasisarthritis, nach zuletzt Therapieumstellung von Tofacitinib auf Secukinumab 150 mg s.c.</t>
        </is>
      </c>
      <c r="N77" s="23" t="n"/>
    </row>
    <row r="78">
      <c r="A78" s="22" t="n">
        <v>42</v>
      </c>
      <c r="B78" s="23" t="inlineStr">
        <is>
          <t>PsA</t>
        </is>
      </c>
      <c r="C78" s="23" t="inlineStr">
        <is>
          <t>Follow-up</t>
        </is>
      </c>
      <c r="D78" s="23" t="inlineStr">
        <is>
          <t>Secukinumab</t>
        </is>
      </c>
      <c r="E78" s="22" t="n">
        <v>150</v>
      </c>
      <c r="F78" s="23" t="inlineStr">
        <is>
          <t>mg</t>
        </is>
      </c>
      <c r="G78" s="23" t="n"/>
      <c r="H78" s="23" t="n"/>
      <c r="I78" s="23" t="inlineStr">
        <is>
          <t>Nein</t>
        </is>
      </c>
      <c r="J78" s="23" t="inlineStr">
        <is>
          <t>laufend</t>
        </is>
      </c>
      <c r="K78" s="23" t="inlineStr">
        <is>
          <t>Secukinumab 150 mg s.c.; Dosiserhöhung des Secukinumab auf 300mg pro Monat</t>
        </is>
      </c>
      <c r="L78" s="23" t="inlineStr">
        <is>
          <t>42_FollowUp.docx</t>
        </is>
      </c>
      <c r="M78" s="23" t="inlineStr">
        <is>
          <t>Die Wiedervorstellung erfolgte bei bekannter Psoriasisarthritis, nach zuletzt Therapieumstellung von Tofacitinib auf Secukinumab 150 mg s.c.
aktuelle Therapie: Beginn Secukinumab 06/2020, Dosiserhöhung 300mg ab 10/20
Bei bildmorphologisch rückläufigen entzündlichen Läsionen aber trotzdem anhaltender geringer entzündlicher Aktivität empfehlen wir eine Dosiserhöhung des Secukinumab auf 300mg pro Monat unter Kontrollen nach Maßgabe der DGRh.</t>
        </is>
      </c>
      <c r="N78" s="23" t="inlineStr">
        <is>
          <t>Bisher 150 mg subkutan ohne angegebenes Intervall; Erhöhung auf 300 mg alle 1 Monate ab Oktober empfohlen. Umsetzung zum Referenztermin nicht eindeutig belegt.</t>
        </is>
      </c>
    </row>
    <row r="79">
      <c r="A79" s="22" t="n">
        <v>42</v>
      </c>
      <c r="B79" s="23" t="inlineStr">
        <is>
          <t>PsA</t>
        </is>
      </c>
      <c r="C79" s="23" t="inlineStr">
        <is>
          <t>Follow-up</t>
        </is>
      </c>
      <c r="D79" s="23" t="inlineStr">
        <is>
          <t>Methotrexat</t>
        </is>
      </c>
      <c r="E79" s="22" t="n">
        <v>25</v>
      </c>
      <c r="F79" s="23" t="inlineStr">
        <is>
          <t>mg</t>
        </is>
      </c>
      <c r="G79" s="23" t="n"/>
      <c r="H79" s="23" t="n"/>
      <c r="I79" s="23" t="inlineStr">
        <is>
          <t>Nein</t>
        </is>
      </c>
      <c r="J79" s="23" t="inlineStr">
        <is>
          <t>laufend</t>
        </is>
      </c>
      <c r="K79" s="23" t="inlineStr">
        <is>
          <t>MTX 25 mg s. c.</t>
        </is>
      </c>
      <c r="L79" s="23" t="inlineStr">
        <is>
          <t>42_FollowUp.docx</t>
        </is>
      </c>
      <c r="M79" s="23" t="inlineStr">
        <is>
          <t>Dauermedikation:
MTX 25 mg s. c.</t>
        </is>
      </c>
      <c r="N79" s="23" t="inlineStr">
        <is>
          <t>Kein Intervall in der Follow-up-Briefgruppe dokumentiert.</t>
        </is>
      </c>
    </row>
    <row r="80">
      <c r="A80" s="22" t="n">
        <v>42</v>
      </c>
      <c r="B80" s="23" t="inlineStr">
        <is>
          <t>PsA</t>
        </is>
      </c>
      <c r="C80" s="23" t="inlineStr">
        <is>
          <t>Follow-up</t>
        </is>
      </c>
      <c r="D80" s="23" t="inlineStr">
        <is>
          <t>Prednisolon</t>
        </is>
      </c>
      <c r="E80" s="22" t="n">
        <v>5</v>
      </c>
      <c r="F80" s="23" t="inlineStr">
        <is>
          <t>mg</t>
        </is>
      </c>
      <c r="G80" s="23" t="n"/>
      <c r="H80" s="23" t="n"/>
      <c r="I80" s="23" t="inlineStr">
        <is>
          <t>Nein</t>
        </is>
      </c>
      <c r="J80" s="23" t="inlineStr">
        <is>
          <t>laufend</t>
        </is>
      </c>
      <c r="K80" s="23" t="inlineStr">
        <is>
          <t>Prednisolon 5 mg</t>
        </is>
      </c>
      <c r="L80" s="23" t="inlineStr">
        <is>
          <t>42_FollowUp.docx</t>
        </is>
      </c>
      <c r="M80" s="23" t="inlineStr">
        <is>
          <t>Prednisolon 5 mg</t>
        </is>
      </c>
      <c r="N80" s="23" t="inlineStr">
        <is>
          <t>Als Dauermedikation aufgeführt; Einnahmeintervall nicht angegeben.</t>
        </is>
      </c>
    </row>
    <row r="81">
      <c r="A81" s="22" t="n">
        <v>42</v>
      </c>
      <c r="B81" s="23" t="inlineStr">
        <is>
          <t>PsA</t>
        </is>
      </c>
      <c r="C81" s="23" t="inlineStr">
        <is>
          <t>Follow-up</t>
        </is>
      </c>
      <c r="D81" s="23" t="inlineStr">
        <is>
          <t>Diclofenac</t>
        </is>
      </c>
      <c r="E81" s="23" t="n"/>
      <c r="F81" s="23" t="n"/>
      <c r="G81" s="23" t="n"/>
      <c r="H81" s="23" t="n"/>
      <c r="I81" s="23" t="inlineStr">
        <is>
          <t>Ja</t>
        </is>
      </c>
      <c r="J81" s="23" t="inlineStr">
        <is>
          <t>laufend</t>
        </is>
      </c>
      <c r="K81" s="23" t="inlineStr">
        <is>
          <t>Diclofenac bei Bedarf</t>
        </is>
      </c>
      <c r="L81" s="23" t="inlineStr">
        <is>
          <t>42_FollowUp.docx</t>
        </is>
      </c>
      <c r="M81" s="23" t="inlineStr">
        <is>
          <t>Diclofenac bei Bedarf</t>
        </is>
      </c>
      <c r="N81" s="23" t="n"/>
    </row>
    <row r="82">
      <c r="A82" s="22" t="n">
        <v>43</v>
      </c>
      <c r="B82" s="23" t="inlineStr">
        <is>
          <t>PsA</t>
        </is>
      </c>
      <c r="C82" s="23" t="inlineStr">
        <is>
          <t>Baseline</t>
        </is>
      </c>
      <c r="D82" s="23" t="inlineStr">
        <is>
          <t>Methotrexat</t>
        </is>
      </c>
      <c r="E82" s="22" t="n">
        <v>10</v>
      </c>
      <c r="F82" s="23" t="inlineStr">
        <is>
          <t>mg</t>
        </is>
      </c>
      <c r="G82" s="22" t="n">
        <v>1</v>
      </c>
      <c r="H82" s="23" t="inlineStr">
        <is>
          <t>Wochen</t>
        </is>
      </c>
      <c r="I82" s="23" t="inlineStr">
        <is>
          <t>Nein</t>
        </is>
      </c>
      <c r="J82" s="23" t="inlineStr">
        <is>
          <t>laufend</t>
        </is>
      </c>
      <c r="K82" s="23" t="inlineStr">
        <is>
          <t>Lantarel 10 mg einmal die Woche</t>
        </is>
      </c>
      <c r="L82" s="23" t="inlineStr">
        <is>
          <t>43_Baseline.docx</t>
        </is>
      </c>
      <c r="M82" s="23" t="inlineStr">
        <is>
          <t>Lantarel 10 mg einmal die Woche
Daher wurde im Verlauf zusätzlich Methotrexat (Lantarel) vor etwa fünf Wochen verabreicht.</t>
        </is>
      </c>
      <c r="N82" s="23" t="n"/>
    </row>
    <row r="83">
      <c r="A83" s="22" t="n">
        <v>43</v>
      </c>
      <c r="B83" s="23" t="inlineStr">
        <is>
          <t>PsA</t>
        </is>
      </c>
      <c r="C83" s="23" t="inlineStr">
        <is>
          <t>Baseline</t>
        </is>
      </c>
      <c r="D83" s="23" t="inlineStr">
        <is>
          <t>Prednisolon</t>
        </is>
      </c>
      <c r="E83" s="22" t="n">
        <v>10</v>
      </c>
      <c r="F83" s="23" t="inlineStr">
        <is>
          <t>mg</t>
        </is>
      </c>
      <c r="G83" s="23" t="n"/>
      <c r="H83" s="23" t="n"/>
      <c r="I83" s="23" t="inlineStr">
        <is>
          <t>Unklar</t>
        </is>
      </c>
      <c r="J83" s="23" t="inlineStr">
        <is>
          <t>laufend</t>
        </is>
      </c>
      <c r="K83" s="23" t="inlineStr">
        <is>
          <t>Prednisolon 10 mg</t>
        </is>
      </c>
      <c r="L83" s="23" t="inlineStr">
        <is>
          <t>43_Baseline.docx</t>
        </is>
      </c>
      <c r="M83" s="23" t="inlineStr">
        <is>
          <t>Aktuell bestünde eine Therapie mit Prednisolon 10 mg.
Bisher wurde eine Hochdosis Prednisolon-Therapie vom Hausarzt, beziehungsweise Dr. Tiroch Nürnberg, initiiert.
Diese habe jedoch nur eine sehr begrenzte Wirkung gezeigt.</t>
        </is>
      </c>
      <c r="N83" s="23" t="inlineStr">
        <is>
          <t>Frühere Hochdosistherapie mit sehr begrenzter Wirkung; deren Dosis und Dauer fehlen.</t>
        </is>
      </c>
    </row>
    <row r="84">
      <c r="A84" s="22" t="n">
        <v>43</v>
      </c>
      <c r="B84" s="23" t="inlineStr">
        <is>
          <t>PsA</t>
        </is>
      </c>
      <c r="C84" s="23" t="inlineStr">
        <is>
          <t>Baseline</t>
        </is>
      </c>
      <c r="D84" s="23" t="inlineStr">
        <is>
          <t>Secukinumab</t>
        </is>
      </c>
      <c r="E84" s="22" t="n">
        <v>150</v>
      </c>
      <c r="F84" s="23" t="inlineStr">
        <is>
          <t>mg</t>
        </is>
      </c>
      <c r="G84" s="22" t="n">
        <v>1</v>
      </c>
      <c r="H84" s="23" t="inlineStr">
        <is>
          <t>Monate</t>
        </is>
      </c>
      <c r="I84" s="23" t="inlineStr">
        <is>
          <t>Nein</t>
        </is>
      </c>
      <c r="J84" s="23" t="inlineStr">
        <is>
          <t>laufend</t>
        </is>
      </c>
      <c r="K84" s="23" t="inlineStr">
        <is>
          <t>Secukinumab 150 mg zunächst 5x wöchentlich, dann monatliche Gaben</t>
        </is>
      </c>
      <c r="L84" s="23" t="inlineStr">
        <is>
          <t>43_Baseline.docx</t>
        </is>
      </c>
      <c r="M84" s="23" t="inlineStr">
        <is>
          <t>aktuelle Therapie: zusätzlich Secukinumab (seit 12/19)
Wir empfehlen daher eine Therapie-Eskalation auf Secukinumab 150 mg zunächst 5x wöchentlich, dann monatliche Gaben under Kontrollen nach Maßgabe der DGRh.</t>
        </is>
      </c>
      <c r="N84" s="23" t="inlineStr">
        <is>
          <t>Als aktuelle Therapie seit 12/2019 dokumentiert, somit nach dem Referenztermin und dem Baseline-Scan; im selben Brief als Empfehlung formuliert.
Intervall bezieht sich auf die monatliche Erhaltung; Einleitungsschema im Original erhalten.</t>
        </is>
      </c>
    </row>
    <row r="85">
      <c r="A85" s="22" t="n">
        <v>43</v>
      </c>
      <c r="B85" s="23" t="inlineStr">
        <is>
          <t>PsA</t>
        </is>
      </c>
      <c r="C85" s="23" t="inlineStr">
        <is>
          <t>Follow-up</t>
        </is>
      </c>
      <c r="D85" s="23" t="inlineStr">
        <is>
          <t>Methotrexat</t>
        </is>
      </c>
      <c r="E85" s="23" t="n"/>
      <c r="F85" s="23" t="n"/>
      <c r="G85" s="22" t="n">
        <v>1</v>
      </c>
      <c r="H85" s="23" t="inlineStr">
        <is>
          <t>Wochen</t>
        </is>
      </c>
      <c r="I85" s="23" t="inlineStr">
        <is>
          <t>Nein</t>
        </is>
      </c>
      <c r="J85" s="23" t="inlineStr">
        <is>
          <t>laufend</t>
        </is>
      </c>
      <c r="K85" s="23" t="inlineStr">
        <is>
          <t>MTX sollte fortgeführt werden in der üblichen Dosierung 1x/Wo.</t>
        </is>
      </c>
      <c r="L85" s="23" t="inlineStr">
        <is>
          <t>43_FollowUp.docx</t>
        </is>
      </c>
      <c r="M85" s="23" t="inlineStr">
        <is>
          <t>WV bei PsA unter MTX und Adalimumab zur Verlaufskontrolle.
MTX sollte fortgeführt werden in der üblichen Dosierung 1x/Wo. + Folsäure 5mg am Folgetag, unter Kontrollen nach Maßgabe der DGRh.</t>
        </is>
      </c>
      <c r="N85" s="23" t="inlineStr">
        <is>
          <t>Keine Methotrexat-Dosis in der Follow-up-Gruppe dokumentiert.</t>
        </is>
      </c>
    </row>
    <row r="86">
      <c r="A86" s="22" t="n">
        <v>43</v>
      </c>
      <c r="B86" s="23" t="inlineStr">
        <is>
          <t>PsA</t>
        </is>
      </c>
      <c r="C86" s="23" t="inlineStr">
        <is>
          <t>Follow-up</t>
        </is>
      </c>
      <c r="D86" s="23" t="inlineStr">
        <is>
          <t>Secukinumab</t>
        </is>
      </c>
      <c r="E86" s="23" t="n"/>
      <c r="F86" s="23" t="n"/>
      <c r="G86" s="23" t="n"/>
      <c r="H86" s="23" t="n"/>
      <c r="I86" s="23" t="inlineStr">
        <is>
          <t>Unklar</t>
        </is>
      </c>
      <c r="J86" s="23" t="inlineStr">
        <is>
          <t>beendet</t>
        </is>
      </c>
      <c r="K86" s="23" t="n"/>
      <c r="L86" s="23" t="inlineStr">
        <is>
          <t>43_FollowUp.docx</t>
        </is>
      </c>
      <c r="M86" s="23" t="inlineStr">
        <is>
          <t>Secukinumab 12/19 bis 9/20</t>
        </is>
      </c>
      <c r="N86" s="23" t="inlineStr">
        <is>
          <t>Therapieende 09/2020; keine ausdrückliche Bewertung des Ansprechens.</t>
        </is>
      </c>
    </row>
    <row r="87">
      <c r="A87" s="22" t="n">
        <v>43</v>
      </c>
      <c r="B87" s="23" t="inlineStr">
        <is>
          <t>PsA</t>
        </is>
      </c>
      <c r="C87" s="23" t="inlineStr">
        <is>
          <t>Follow-up</t>
        </is>
      </c>
      <c r="D87" s="23" t="inlineStr">
        <is>
          <t>Adalimumab</t>
        </is>
      </c>
      <c r="E87" s="23" t="n"/>
      <c r="F87" s="23" t="n"/>
      <c r="G87" s="23" t="n"/>
      <c r="H87" s="23" t="n"/>
      <c r="I87" s="23" t="inlineStr">
        <is>
          <t>Unklar</t>
        </is>
      </c>
      <c r="J87" s="23" t="inlineStr">
        <is>
          <t>beendet</t>
        </is>
      </c>
      <c r="K87" s="23" t="n"/>
      <c r="L87" s="23" t="inlineStr">
        <is>
          <t>43_FollowUp.docx</t>
        </is>
      </c>
      <c r="M87" s="23" t="inlineStr">
        <is>
          <t>Adalimumab 10/20 bis 12/20
Da Adalimumab zuletzt am 18.12. gespritzt wurde, sollte bis zur Therapieumstellung noch ein Sicherheitsabstand bis 28.12.2020 eingehalten werden.</t>
        </is>
      </c>
      <c r="N87" s="23" t="inlineStr">
        <is>
          <t>Am Referenztermin noch eingesetzt; letzte dokumentierte Gabe am 18.12.2020, anschließend Umstellung.</t>
        </is>
      </c>
    </row>
    <row r="88">
      <c r="A88" s="22" t="n">
        <v>43</v>
      </c>
      <c r="B88" s="23" t="inlineStr">
        <is>
          <t>PsA</t>
        </is>
      </c>
      <c r="C88" s="23" t="inlineStr">
        <is>
          <t>Follow-up</t>
        </is>
      </c>
      <c r="D88" s="23" t="inlineStr">
        <is>
          <t>Upadacitinib</t>
        </is>
      </c>
      <c r="E88" s="22" t="n">
        <v>15</v>
      </c>
      <c r="F88" s="23" t="inlineStr">
        <is>
          <t>mg</t>
        </is>
      </c>
      <c r="G88" s="22" t="n">
        <v>1</v>
      </c>
      <c r="H88" s="23" t="inlineStr">
        <is>
          <t>Tage</t>
        </is>
      </c>
      <c r="I88" s="23" t="inlineStr">
        <is>
          <t>Nein</t>
        </is>
      </c>
      <c r="J88" s="23" t="inlineStr">
        <is>
          <t>geplant</t>
        </is>
      </c>
      <c r="K88" s="23" t="inlineStr">
        <is>
          <t>Upadacitinib 15mg 1-0-0</t>
        </is>
      </c>
      <c r="L88" s="23" t="inlineStr">
        <is>
          <t>43_FollowUp.docx</t>
        </is>
      </c>
      <c r="M88" s="23" t="inlineStr">
        <is>
          <t>Wir empfehlen daher eine Umstellung der immunsuppressiven Therapie auf Upadacitinib 15mg 1-0-0 unter Kontrollen nach Maßgabe der DGRh.
Da Adalimumab zuletzt am 18.12. gespritzt wurde, sollte bis zur Therapieumstellung noch ein Sicherheitsabstand bis 28.12.2020 eingehalten werden.
aktuelle Therapie: Umstellung auf Upadacitinib seit 12/20</t>
        </is>
      </c>
      <c r="N88" s="23" t="inlineStr">
        <is>
          <t>Als aktuelle Umstellung seit 12/2020 bezeichnet; konkreter Beginn nicht bestätigt. Wegen des ausdrücklich vorgesehenen Sicherheitsabstands als geplant erfasst.</t>
        </is>
      </c>
    </row>
    <row r="89">
      <c r="A89" s="22" t="n">
        <v>44</v>
      </c>
      <c r="B89" s="23" t="inlineStr">
        <is>
          <t>PsA</t>
        </is>
      </c>
      <c r="C89" s="23" t="inlineStr">
        <is>
          <t>Baseline</t>
        </is>
      </c>
      <c r="D89" s="23" t="inlineStr">
        <is>
          <t>Methotrexat</t>
        </is>
      </c>
      <c r="E89" s="22" t="n">
        <v>15</v>
      </c>
      <c r="F89" s="23" t="inlineStr">
        <is>
          <t>mg</t>
        </is>
      </c>
      <c r="G89" s="22" t="n">
        <v>1</v>
      </c>
      <c r="H89" s="23" t="inlineStr">
        <is>
          <t>Wochen</t>
        </is>
      </c>
      <c r="I89" s="23" t="inlineStr">
        <is>
          <t>Nein</t>
        </is>
      </c>
      <c r="J89" s="23" t="inlineStr">
        <is>
          <t>geplant</t>
        </is>
      </c>
      <c r="K89" s="23" t="inlineStr">
        <is>
          <t>MTX 15 mg p.o. 0-0-1 einmal pro Woche</t>
        </is>
      </c>
      <c r="L89" s="23" t="inlineStr">
        <is>
          <t>44_Baseline.docx</t>
        </is>
      </c>
      <c r="M89" s="23" t="inlineStr">
        <is>
          <t>MTX 15 mg p.o. 0-0-1 einmal pro Woche
Es wurde daher Beginn von MTX als immunsuppressive Basistherapie besprochen.</t>
        </is>
      </c>
      <c r="N89" s="23" t="n"/>
    </row>
    <row r="90">
      <c r="A90" s="22" t="n">
        <v>44</v>
      </c>
      <c r="B90" s="23" t="inlineStr">
        <is>
          <t>PsA</t>
        </is>
      </c>
      <c r="C90" s="23" t="inlineStr">
        <is>
          <t>Baseline</t>
        </is>
      </c>
      <c r="D90" s="23" t="inlineStr">
        <is>
          <t>Systemisches Glukokortikoid, nicht näher benannt</t>
        </is>
      </c>
      <c r="E90" s="23" t="n"/>
      <c r="F90" s="23" t="n"/>
      <c r="G90" s="23" t="n"/>
      <c r="H90" s="23" t="n"/>
      <c r="I90" s="23" t="inlineStr">
        <is>
          <t>Nein</t>
        </is>
      </c>
      <c r="J90" s="23" t="inlineStr">
        <is>
          <t>geplant</t>
        </is>
      </c>
      <c r="K90" s="23" t="inlineStr">
        <is>
          <t>zusätzlich Steroidstoßtherapie wie besprochen beginnend mit 20mg/Tag, dann wochenweise Reduktion um 2,5mg</t>
        </is>
      </c>
      <c r="L90" s="23" t="inlineStr">
        <is>
          <t>44_Baseline.docx</t>
        </is>
      </c>
      <c r="M90" s="23" t="inlineStr">
        <is>
          <t>zusätzlich Steroidstoßtherapie wie besprochen beginnend mit 20mg/Tag, dann wochenweise Reduktion um 2,5mg</t>
        </is>
      </c>
      <c r="N90" s="23" t="inlineStr">
        <is>
          <t>Wirkstoff nicht angegeben; Ausschleichschema ohne Ableitung einer konstanten Einzeldosis übernommen.</t>
        </is>
      </c>
    </row>
    <row r="91">
      <c r="A91" s="22" t="n">
        <v>44</v>
      </c>
      <c r="B91" s="23" t="inlineStr">
        <is>
          <t>PsA</t>
        </is>
      </c>
      <c r="C91" s="23" t="inlineStr">
        <is>
          <t>Baseline</t>
        </is>
      </c>
      <c r="D91" s="23" t="inlineStr">
        <is>
          <t>Tofacitinib</t>
        </is>
      </c>
      <c r="E91" s="23" t="n"/>
      <c r="F91" s="23" t="n"/>
      <c r="G91" s="23" t="n"/>
      <c r="H91" s="23" t="n"/>
      <c r="I91" s="23" t="inlineStr">
        <is>
          <t>Unklar</t>
        </is>
      </c>
      <c r="J91" s="23" t="inlineStr">
        <is>
          <t>geplant</t>
        </is>
      </c>
      <c r="K91" s="23" t="n"/>
      <c r="L91" s="23" t="inlineStr">
        <is>
          <t>44_Baseline.docx</t>
        </is>
      </c>
      <c r="M91" s="23" t="inlineStr">
        <is>
          <t>Sollte diese nicht ausreichend sein, sollte bei nächster WV Tofacitinib hinzugefügt werden (hierfür bitte Rücksprache mit OA Ramming bzgl Möglichkeit zum Studieneinschluss).</t>
        </is>
      </c>
      <c r="N91" s="23" t="inlineStr">
        <is>
          <t>Nur bedingte Therapieoption bei unzureichender Methotrexatwirkung.</t>
        </is>
      </c>
    </row>
    <row r="92">
      <c r="A92" s="22" t="n">
        <v>44</v>
      </c>
      <c r="B92" s="23" t="inlineStr">
        <is>
          <t>PsA</t>
        </is>
      </c>
      <c r="C92" s="23" t="inlineStr">
        <is>
          <t>Follow-up</t>
        </is>
      </c>
      <c r="D92" s="23" t="inlineStr">
        <is>
          <t>Adalimumab</t>
        </is>
      </c>
      <c r="E92" s="22" t="n">
        <v>40</v>
      </c>
      <c r="F92" s="23" t="inlineStr">
        <is>
          <t>mg</t>
        </is>
      </c>
      <c r="G92" s="22" t="n">
        <v>2</v>
      </c>
      <c r="H92" s="23" t="inlineStr">
        <is>
          <t>Wochen</t>
        </is>
      </c>
      <c r="I92" s="23" t="inlineStr">
        <is>
          <t>Nein</t>
        </is>
      </c>
      <c r="J92" s="23" t="inlineStr">
        <is>
          <t>laufend</t>
        </is>
      </c>
      <c r="K92" s="23" t="inlineStr">
        <is>
          <t>Adalimumab 40 mg alle 2 Wochen</t>
        </is>
      </c>
      <c r="L92" s="23" t="inlineStr">
        <is>
          <t>44_FollowUp.docx</t>
        </is>
      </c>
      <c r="M92" s="23" t="inlineStr">
        <is>
          <t>Aktuell: Adalimumab 40 mg alle 2 Wochen seit 01/2020, Pause von 02/2020-04/2020, erneuter Beginn 04/2020</t>
        </is>
      </c>
      <c r="N92" s="23" t="inlineStr">
        <is>
          <t>Therapiepause Februar bis April 2020, anschließend wieder begonnen.</t>
        </is>
      </c>
    </row>
    <row r="93">
      <c r="A93" s="22" t="n">
        <v>44</v>
      </c>
      <c r="B93" s="23" t="inlineStr">
        <is>
          <t>PsA</t>
        </is>
      </c>
      <c r="C93" s="23" t="inlineStr">
        <is>
          <t>Follow-up</t>
        </is>
      </c>
      <c r="D93" s="23" t="inlineStr">
        <is>
          <t>Ustekinumab</t>
        </is>
      </c>
      <c r="E93" s="23" t="n"/>
      <c r="F93" s="23" t="n"/>
      <c r="G93" s="23" t="n"/>
      <c r="H93" s="23" t="n"/>
      <c r="I93" s="23" t="inlineStr">
        <is>
          <t>Unklar</t>
        </is>
      </c>
      <c r="J93" s="23" t="inlineStr">
        <is>
          <t>geplant</t>
        </is>
      </c>
      <c r="K93" s="23" t="n"/>
      <c r="L93" s="23" t="inlineStr">
        <is>
          <t>44_FollowUp.docx</t>
        </is>
      </c>
      <c r="M93" s="23" t="inlineStr">
        <is>
          <t>Umstellung auf Ustekinumab geplant
Aktuell möchte sie noch über die Therapie nachdenken, sodass kein Rezept mitgegeben wurde.</t>
        </is>
      </c>
      <c r="N93" s="23" t="inlineStr">
        <is>
          <t>Umstellung erwogen; noch nicht begonnen.</t>
        </is>
      </c>
    </row>
    <row r="94">
      <c r="A94" s="22" t="n">
        <v>44</v>
      </c>
      <c r="B94" s="23" t="inlineStr">
        <is>
          <t>PsA</t>
        </is>
      </c>
      <c r="C94" s="23" t="inlineStr">
        <is>
          <t>Follow-up</t>
        </is>
      </c>
      <c r="D94" s="23" t="inlineStr">
        <is>
          <t>Methotrexat</t>
        </is>
      </c>
      <c r="E94" s="23" t="n"/>
      <c r="F94" s="23" t="n"/>
      <c r="G94" s="23" t="n"/>
      <c r="H94" s="23" t="n"/>
      <c r="I94" s="23" t="inlineStr">
        <is>
          <t>Unklar</t>
        </is>
      </c>
      <c r="J94" s="23" t="inlineStr">
        <is>
          <t>beendet</t>
        </is>
      </c>
      <c r="K94" s="23" t="n"/>
      <c r="L94" s="23" t="inlineStr">
        <is>
          <t>44_FollowUp.docx</t>
        </is>
      </c>
      <c r="M94" s="23" t="inlineStr">
        <is>
          <t>MTX 05/19-07/19 (abgesetzt bei Haarausfall)</t>
        </is>
      </c>
      <c r="N94" s="23" t="inlineStr">
        <is>
          <t>Mai bis Juli 2019; wegen Haarausfall abgesetzt.</t>
        </is>
      </c>
    </row>
    <row r="95">
      <c r="A95" s="22" t="n">
        <v>44</v>
      </c>
      <c r="B95" s="23" t="inlineStr">
        <is>
          <t>PsA</t>
        </is>
      </c>
      <c r="C95" s="23" t="inlineStr">
        <is>
          <t>Follow-up</t>
        </is>
      </c>
      <c r="D95" s="23" t="inlineStr">
        <is>
          <t>Secukinumab</t>
        </is>
      </c>
      <c r="E95" s="23" t="n"/>
      <c r="F95" s="23" t="n"/>
      <c r="G95" s="23" t="n"/>
      <c r="H95" s="23" t="n"/>
      <c r="I95" s="23" t="inlineStr">
        <is>
          <t>Unklar</t>
        </is>
      </c>
      <c r="J95" s="23" t="inlineStr">
        <is>
          <t>unklar</t>
        </is>
      </c>
      <c r="K95" s="23" t="n"/>
      <c r="L95" s="23" t="inlineStr">
        <is>
          <t>44_FollowUp.docx</t>
        </is>
      </c>
      <c r="M95" s="23" t="inlineStr">
        <is>
          <t>Cosentyx 07/19-12/20 (Nebenwirkung)</t>
        </is>
      </c>
      <c r="N95" s="23" t="inlineStr">
        <is>
          <t>Als bisherige Therapie aufgeführt; angegebenes Enddatum Dezember 2020 liegt nach dem Besuch. Aktuell wird Adalimumab genannt, daher Beendigungszeitpunkt und Status nicht eindeutig.</t>
        </is>
      </c>
    </row>
    <row r="96">
      <c r="A96" s="22" t="n">
        <v>45</v>
      </c>
      <c r="B96" s="23" t="inlineStr">
        <is>
          <t>PsA</t>
        </is>
      </c>
      <c r="C96" s="23" t="inlineStr">
        <is>
          <t>Baseline</t>
        </is>
      </c>
      <c r="D96" s="23" t="inlineStr">
        <is>
          <t>Ibuprofen</t>
        </is>
      </c>
      <c r="E96" s="23" t="n"/>
      <c r="F96" s="23" t="n"/>
      <c r="G96" s="23" t="n"/>
      <c r="H96" s="23" t="n"/>
      <c r="I96" s="23" t="inlineStr">
        <is>
          <t>Unklar</t>
        </is>
      </c>
      <c r="J96" s="23" t="inlineStr">
        <is>
          <t>unklar</t>
        </is>
      </c>
      <c r="K96" s="23" t="inlineStr">
        <is>
          <t>NSAR und Ibuprofen über mehrere Wochen ohne durchschlagenden Effekt</t>
        </is>
      </c>
      <c r="L96" s="23" t="inlineStr">
        <is>
          <t>45_Baseline.docx</t>
        </is>
      </c>
      <c r="M96" s="23" t="inlineStr">
        <is>
          <t>bisherige Therapien: NSAR und Ibuprofen über mehrere Wochen ohne durchschlagenden Effekt, sonst Lichttherapie und topische Therapie.</t>
        </is>
      </c>
      <c r="N96" s="23" t="inlineStr">
        <is>
          <t>Vorausgegangener Therapieversuch; Absetzzeitpunkt nicht dokumentiert.</t>
        </is>
      </c>
    </row>
    <row r="97">
      <c r="A97" s="22" t="n">
        <v>45</v>
      </c>
      <c r="B97" s="23" t="inlineStr">
        <is>
          <t>PsA</t>
        </is>
      </c>
      <c r="C97" s="23" t="inlineStr">
        <is>
          <t>Baseline</t>
        </is>
      </c>
      <c r="D97" s="23" t="inlineStr">
        <is>
          <t>Etoricoxib</t>
        </is>
      </c>
      <c r="E97" s="22" t="n">
        <v>90</v>
      </c>
      <c r="F97" s="23" t="inlineStr">
        <is>
          <t>mg</t>
        </is>
      </c>
      <c r="G97" s="23" t="n"/>
      <c r="H97" s="23" t="n"/>
      <c r="I97" s="23" t="inlineStr">
        <is>
          <t>Unklar</t>
        </is>
      </c>
      <c r="J97" s="23" t="inlineStr">
        <is>
          <t>laufend</t>
        </is>
      </c>
      <c r="K97" s="23" t="inlineStr">
        <is>
          <t>Arcoxia 90mg für weitere 4 Wochen</t>
        </is>
      </c>
      <c r="L97" s="23" t="inlineStr">
        <is>
          <t>45_Baseline.docx</t>
        </is>
      </c>
      <c r="M97" s="23" t="inlineStr">
        <is>
          <t>Zunächst wurde Arcoxia 90mg für weitere 4 Wochen eingeleitet.</t>
        </is>
      </c>
      <c r="N97" s="23" t="inlineStr">
        <is>
          <t>Behandlungsdauer vier Wochen; Einnahmeintervall nicht angegeben.</t>
        </is>
      </c>
    </row>
    <row r="98">
      <c r="A98" s="22" t="n">
        <v>45</v>
      </c>
      <c r="B98" s="23" t="inlineStr">
        <is>
          <t>PsA</t>
        </is>
      </c>
      <c r="C98" s="23" t="inlineStr">
        <is>
          <t>Baseline</t>
        </is>
      </c>
      <c r="D98" s="23" t="inlineStr">
        <is>
          <t>Methotrexat</t>
        </is>
      </c>
      <c r="E98" s="22" t="n">
        <v>15</v>
      </c>
      <c r="F98" s="23" t="inlineStr">
        <is>
          <t>mg</t>
        </is>
      </c>
      <c r="G98" s="22" t="n">
        <v>1</v>
      </c>
      <c r="H98" s="23" t="inlineStr">
        <is>
          <t>Wochen</t>
        </is>
      </c>
      <c r="I98" s="23" t="inlineStr">
        <is>
          <t>Nein</t>
        </is>
      </c>
      <c r="J98" s="23" t="inlineStr">
        <is>
          <t>geplant</t>
        </is>
      </c>
      <c r="K98" s="23" t="inlineStr">
        <is>
          <t>MTX 15mg einmal pro Woche</t>
        </is>
      </c>
      <c r="L98" s="23" t="inlineStr">
        <is>
          <t>45_Baseline.docx</t>
        </is>
      </c>
      <c r="M98" s="23" t="inlineStr">
        <is>
          <t>Aufgrund der nun vorliegenden Befunde empfehlen wir die Einleitung einer immunsuppressiven Basistherapie mit MTX 15mg einmal pro Woche und Folsäure 5mg am Folgetag.</t>
        </is>
      </c>
      <c r="N98" s="23" t="n"/>
    </row>
    <row r="99">
      <c r="A99" s="22" t="n">
        <v>45</v>
      </c>
      <c r="B99" s="23" t="inlineStr">
        <is>
          <t>PsA</t>
        </is>
      </c>
      <c r="C99" s="23" t="inlineStr">
        <is>
          <t>Baseline</t>
        </is>
      </c>
      <c r="D99" s="23" t="inlineStr">
        <is>
          <t>Folsäure</t>
        </is>
      </c>
      <c r="E99" s="22" t="n">
        <v>5</v>
      </c>
      <c r="F99" s="23" t="inlineStr">
        <is>
          <t>mg</t>
        </is>
      </c>
      <c r="G99" s="22" t="n">
        <v>1</v>
      </c>
      <c r="H99" s="23" t="inlineStr">
        <is>
          <t>Wochen</t>
        </is>
      </c>
      <c r="I99" s="23" t="inlineStr">
        <is>
          <t>Nein</t>
        </is>
      </c>
      <c r="J99" s="23" t="inlineStr">
        <is>
          <t>geplant</t>
        </is>
      </c>
      <c r="K99" s="23" t="inlineStr">
        <is>
          <t>Folsäure 5mg am Folgetag</t>
        </is>
      </c>
      <c r="L99" s="23" t="inlineStr">
        <is>
          <t>45_Baseline.docx</t>
        </is>
      </c>
      <c r="M99" s="23" t="inlineStr">
        <is>
          <t>Aufgrund der nun vorliegenden Befunde empfehlen wir die Einleitung einer immunsuppressiven Basistherapie mit MTX 15mg einmal pro Woche und Folsäure 5mg am Folgetag.</t>
        </is>
      </c>
      <c r="N99" s="23" t="inlineStr">
        <is>
          <t>Jeweils am Tag nach der wöchentlichen Methotrexatgabe.</t>
        </is>
      </c>
    </row>
    <row r="100">
      <c r="A100" s="22" t="n">
        <v>45</v>
      </c>
      <c r="B100" s="23" t="inlineStr">
        <is>
          <t>PsA</t>
        </is>
      </c>
      <c r="C100" s="23" t="inlineStr">
        <is>
          <t>Baseline</t>
        </is>
      </c>
      <c r="D100" s="23" t="inlineStr">
        <is>
          <t>Secukinumab</t>
        </is>
      </c>
      <c r="E100" s="23" t="n"/>
      <c r="F100" s="23" t="n"/>
      <c r="G100" s="23" t="n"/>
      <c r="H100" s="23" t="n"/>
      <c r="I100" s="23" t="inlineStr">
        <is>
          <t>Unklar</t>
        </is>
      </c>
      <c r="J100" s="23" t="inlineStr">
        <is>
          <t>geplant</t>
        </is>
      </c>
      <c r="K100" s="23" t="n"/>
      <c r="L100" s="23" t="inlineStr">
        <is>
          <t>45_Baseline.docx</t>
        </is>
      </c>
      <c r="M100" s="23" t="inlineStr">
        <is>
          <t>Sollte sich zusätzlich im noch ausstehenden MRT der Wirbelsäule/ISGs eine persistierende floride Sakroiliitis unter mehrfacher NSAR-Therapie zeigen, sollte eine Umstellung auf Biologikum (Secukinumab) erfolgen.</t>
        </is>
      </c>
      <c r="N100" s="23" t="inlineStr">
        <is>
          <t>Nur bedingte Therapieoption bei entsprechendem MRT-Befund.</t>
        </is>
      </c>
    </row>
    <row r="101">
      <c r="A101" s="22" t="n">
        <v>45</v>
      </c>
      <c r="B101" s="23" t="inlineStr">
        <is>
          <t>PsA</t>
        </is>
      </c>
      <c r="C101" s="23" t="inlineStr">
        <is>
          <t>Follow-up</t>
        </is>
      </c>
      <c r="D101" s="23" t="inlineStr">
        <is>
          <t>Secukinumab</t>
        </is>
      </c>
      <c r="E101" s="22" t="n">
        <v>150</v>
      </c>
      <c r="F101" s="23" t="inlineStr">
        <is>
          <t>mg</t>
        </is>
      </c>
      <c r="G101" s="23" t="n"/>
      <c r="H101" s="23" t="n"/>
      <c r="I101" s="23" t="inlineStr">
        <is>
          <t>Nein</t>
        </is>
      </c>
      <c r="J101" s="23" t="inlineStr">
        <is>
          <t>laufend</t>
        </is>
      </c>
      <c r="K101" s="23" t="inlineStr">
        <is>
          <t>Secukinumab 150 mg seit 08.2019</t>
        </is>
      </c>
      <c r="L101" s="23" t="inlineStr">
        <is>
          <t>45_FollowUp.docx</t>
        </is>
      </c>
      <c r="M101" s="23" t="inlineStr">
        <is>
          <t>aktuelle Therapie: Secukinumab 150 mg seit 08.2019
Daher empfehlen wir die Weiterführung der Therapie wie bisher nach Maßgabe der DGRh.</t>
        </is>
      </c>
      <c r="N101" s="23" t="inlineStr">
        <is>
          <t>Einnahme- beziehungsweise Applikationsintervall nicht dokumentiert.</t>
        </is>
      </c>
    </row>
    <row r="102">
      <c r="A102" s="22" t="n">
        <v>46</v>
      </c>
      <c r="B102" s="23" t="inlineStr">
        <is>
          <t>PsA</t>
        </is>
      </c>
      <c r="C102" s="23" t="inlineStr">
        <is>
          <t>Baseline</t>
        </is>
      </c>
      <c r="D102" s="23" t="inlineStr">
        <is>
          <t>Methotrexat</t>
        </is>
      </c>
      <c r="E102" s="22" t="n">
        <v>15</v>
      </c>
      <c r="F102" s="23" t="inlineStr">
        <is>
          <t>mg</t>
        </is>
      </c>
      <c r="G102" s="22" t="n">
        <v>1</v>
      </c>
      <c r="H102" s="23" t="inlineStr">
        <is>
          <t>Wochen</t>
        </is>
      </c>
      <c r="I102" s="23" t="inlineStr">
        <is>
          <t>Nein</t>
        </is>
      </c>
      <c r="J102" s="23" t="inlineStr">
        <is>
          <t>laufend</t>
        </is>
      </c>
      <c r="K102" s="23" t="inlineStr">
        <is>
          <t>Lantarel 15mg freitags</t>
        </is>
      </c>
      <c r="L102" s="23" t="inlineStr">
        <is>
          <t>46_Baseline.docx</t>
        </is>
      </c>
      <c r="M102" s="23" t="inlineStr">
        <is>
          <t>Lantarel 15mg freitags
In der Zusammenschau der Befunde sehen wir unter der bestehenden Basistherapie mit MTX eine persistierende Aktivität der PsA mit führender Enthesiopathien.</t>
        </is>
      </c>
      <c r="N102" s="23" t="n"/>
    </row>
    <row r="103">
      <c r="A103" s="22" t="n">
        <v>46</v>
      </c>
      <c r="B103" s="23" t="inlineStr">
        <is>
          <t>PsA</t>
        </is>
      </c>
      <c r="C103" s="23" t="inlineStr">
        <is>
          <t>Baseline</t>
        </is>
      </c>
      <c r="D103" s="23" t="inlineStr">
        <is>
          <t>Tofacitinib</t>
        </is>
      </c>
      <c r="E103" s="22" t="n">
        <v>5</v>
      </c>
      <c r="F103" s="23" t="inlineStr">
        <is>
          <t>mg</t>
        </is>
      </c>
      <c r="G103" s="23" t="n"/>
      <c r="H103" s="23" t="n"/>
      <c r="I103" s="23" t="inlineStr">
        <is>
          <t>Nein</t>
        </is>
      </c>
      <c r="J103" s="23" t="inlineStr">
        <is>
          <t>geplant</t>
        </is>
      </c>
      <c r="K103" s="23" t="inlineStr">
        <is>
          <t>Tofacitinib 5mg 1-0-1</t>
        </is>
      </c>
      <c r="L103" s="23" t="inlineStr">
        <is>
          <t>46_Baseline.docx</t>
        </is>
      </c>
      <c r="M103" s="23" t="inlineStr">
        <is>
          <t>Wir empfehlen daher eine Erweiterung der Basistherapie um Tofacitinib 5mg 1-0-1 unter regelm. Kontrollen nach Maßgabe der DGRh.</t>
        </is>
      </c>
      <c r="N103" s="23" t="inlineStr">
        <is>
          <t>Zweimal tägliche Gabe dokumentiert; kein konkreter Stundenabstand angegeben.
Die Diagnoseübersicht nennt bereits den Beginn; die konkrete Beurteilung formuliert die Erweiterung als Empfehlung.</t>
        </is>
      </c>
    </row>
    <row r="104">
      <c r="A104" s="22" t="n">
        <v>46</v>
      </c>
      <c r="B104" s="23" t="inlineStr">
        <is>
          <t>PsA</t>
        </is>
      </c>
      <c r="C104" s="23" t="inlineStr">
        <is>
          <t>Baseline</t>
        </is>
      </c>
      <c r="D104" s="23" t="inlineStr">
        <is>
          <t>Prednisolon</t>
        </is>
      </c>
      <c r="E104" s="23" t="n"/>
      <c r="F104" s="23" t="n"/>
      <c r="G104" s="23" t="n"/>
      <c r="H104" s="23" t="n"/>
      <c r="I104" s="23" t="inlineStr">
        <is>
          <t>Unklar</t>
        </is>
      </c>
      <c r="J104" s="23" t="inlineStr">
        <is>
          <t>unklar</t>
        </is>
      </c>
      <c r="K104" s="23" t="inlineStr">
        <is>
          <t>Prednisolonstoßtherapie</t>
        </is>
      </c>
      <c r="L104" s="23" t="inlineStr">
        <is>
          <t>46_Baseline.docx</t>
        </is>
      </c>
      <c r="M104" s="23" t="inlineStr">
        <is>
          <t>Sie berichtet über deutliche rückläufige Synovitis im Bereich der kleinen Fingergelenke nach zuletzt begonnen Prednisolonstoßtherapie.</t>
        </is>
      </c>
      <c r="N104" s="23" t="inlineStr">
        <is>
          <t>Zuletzt begonnene Stoßtherapie; Dosis, Schema und Fortführung oder Abschluss nicht dokumentiert.</t>
        </is>
      </c>
    </row>
    <row r="105">
      <c r="A105" s="22" t="n">
        <v>46</v>
      </c>
      <c r="B105" s="23" t="inlineStr">
        <is>
          <t>PsA</t>
        </is>
      </c>
      <c r="C105" s="23" t="inlineStr">
        <is>
          <t>Baseline</t>
        </is>
      </c>
      <c r="D105" s="23" t="inlineStr">
        <is>
          <t>Ibuprofen</t>
        </is>
      </c>
      <c r="E105" s="23" t="n"/>
      <c r="F105" s="23" t="n"/>
      <c r="G105" s="23" t="n"/>
      <c r="H105" s="23" t="n"/>
      <c r="I105" s="23" t="inlineStr">
        <is>
          <t>Ja</t>
        </is>
      </c>
      <c r="J105" s="23" t="inlineStr">
        <is>
          <t>laufend</t>
        </is>
      </c>
      <c r="K105" s="23" t="inlineStr">
        <is>
          <t>Ibuprofen b. Bed.</t>
        </is>
      </c>
      <c r="L105" s="23" t="inlineStr">
        <is>
          <t>46_Baseline.docx</t>
        </is>
      </c>
      <c r="M105" s="23" t="inlineStr">
        <is>
          <t>Ibuprofen b. Bed.</t>
        </is>
      </c>
      <c r="N105" s="23" t="n"/>
    </row>
    <row r="106">
      <c r="A106" s="22" t="n">
        <v>46</v>
      </c>
      <c r="B106" s="23" t="inlineStr">
        <is>
          <t>PsA</t>
        </is>
      </c>
      <c r="C106" s="23" t="inlineStr">
        <is>
          <t>Baseline</t>
        </is>
      </c>
      <c r="D106" s="23" t="inlineStr">
        <is>
          <t>Naproxen</t>
        </is>
      </c>
      <c r="E106" s="22" t="n">
        <v>500</v>
      </c>
      <c r="F106" s="23" t="inlineStr">
        <is>
          <t>mg</t>
        </is>
      </c>
      <c r="G106" s="23" t="n"/>
      <c r="H106" s="23" t="n"/>
      <c r="I106" s="23" t="inlineStr">
        <is>
          <t>Nein</t>
        </is>
      </c>
      <c r="J106" s="23" t="inlineStr">
        <is>
          <t>laufend</t>
        </is>
      </c>
      <c r="K106" s="23" t="inlineStr">
        <is>
          <t>Naproxen 500mg 1-0-1</t>
        </is>
      </c>
      <c r="L106" s="23" t="inlineStr">
        <is>
          <t>46_Baseline.docx</t>
        </is>
      </c>
      <c r="M106" s="23" t="inlineStr">
        <is>
          <t>Naproxen 500mg 1-0-1</t>
        </is>
      </c>
      <c r="N106" s="23" t="inlineStr">
        <is>
          <t>Zweimal tägliche Gabe dokumentiert; kein konkreter Stundenabstand angegeben.</t>
        </is>
      </c>
    </row>
    <row r="107">
      <c r="A107" s="22" t="n">
        <v>46</v>
      </c>
      <c r="B107" s="23" t="inlineStr">
        <is>
          <t>PsA</t>
        </is>
      </c>
      <c r="C107" s="23" t="inlineStr">
        <is>
          <t>Baseline</t>
        </is>
      </c>
      <c r="D107" s="23" t="inlineStr">
        <is>
          <t>Oxycodon</t>
        </is>
      </c>
      <c r="E107" s="22" t="n">
        <v>10</v>
      </c>
      <c r="F107" s="23" t="inlineStr">
        <is>
          <t>mg</t>
        </is>
      </c>
      <c r="G107" s="23" t="n"/>
      <c r="H107" s="23" t="n"/>
      <c r="I107" s="23" t="inlineStr">
        <is>
          <t>Nein</t>
        </is>
      </c>
      <c r="J107" s="23" t="inlineStr">
        <is>
          <t>laufend</t>
        </is>
      </c>
      <c r="K107" s="23" t="inlineStr">
        <is>
          <t>Targin 10/5mg 1-0-1</t>
        </is>
      </c>
      <c r="L107" s="23" t="inlineStr">
        <is>
          <t>46_Baseline.docx</t>
        </is>
      </c>
      <c r="M107" s="23" t="inlineStr">
        <is>
          <t>Targin 10/5mg 1-0-1</t>
        </is>
      </c>
      <c r="N107" s="23" t="inlineStr">
        <is>
          <t>Kombinationspräparat mit Naloxon; zweimal tägliche Gabe ohne konkreten Stundenabstand.</t>
        </is>
      </c>
    </row>
    <row r="108">
      <c r="A108" s="22" t="n">
        <v>46</v>
      </c>
      <c r="B108" s="23" t="inlineStr">
        <is>
          <t>PsA</t>
        </is>
      </c>
      <c r="C108" s="23" t="inlineStr">
        <is>
          <t>Baseline</t>
        </is>
      </c>
      <c r="D108" s="23" t="inlineStr">
        <is>
          <t>Naloxon</t>
        </is>
      </c>
      <c r="E108" s="22" t="n">
        <v>5</v>
      </c>
      <c r="F108" s="23" t="inlineStr">
        <is>
          <t>mg</t>
        </is>
      </c>
      <c r="G108" s="23" t="n"/>
      <c r="H108" s="23" t="n"/>
      <c r="I108" s="23" t="inlineStr">
        <is>
          <t>Nein</t>
        </is>
      </c>
      <c r="J108" s="23" t="inlineStr">
        <is>
          <t>laufend</t>
        </is>
      </c>
      <c r="K108" s="23" t="inlineStr">
        <is>
          <t>Targin 10/5mg 1-0-1</t>
        </is>
      </c>
      <c r="L108" s="23" t="inlineStr">
        <is>
          <t>46_Baseline.docx</t>
        </is>
      </c>
      <c r="M108" s="23" t="inlineStr">
        <is>
          <t>Targin 10/5mg 1-0-1</t>
        </is>
      </c>
      <c r="N108" s="23" t="inlineStr">
        <is>
          <t>Bestandteil des Kombinationspräparats mit Oxycodon; zweimal tägliche Gabe ohne konkreten Stundenabstand.</t>
        </is>
      </c>
    </row>
    <row r="109">
      <c r="A109" s="22" t="n">
        <v>46</v>
      </c>
      <c r="B109" s="23" t="inlineStr">
        <is>
          <t>PsA</t>
        </is>
      </c>
      <c r="C109" s="23" t="inlineStr">
        <is>
          <t>Follow-up</t>
        </is>
      </c>
      <c r="D109" s="23" t="inlineStr">
        <is>
          <t>Methotrexat</t>
        </is>
      </c>
      <c r="E109" s="22" t="n">
        <v>20</v>
      </c>
      <c r="F109" s="23" t="inlineStr">
        <is>
          <t>mg</t>
        </is>
      </c>
      <c r="G109" s="22" t="n">
        <v>1</v>
      </c>
      <c r="H109" s="23" t="inlineStr">
        <is>
          <t>Wochen</t>
        </is>
      </c>
      <c r="I109" s="23" t="inlineStr">
        <is>
          <t>Nein</t>
        </is>
      </c>
      <c r="J109" s="23" t="inlineStr">
        <is>
          <t>pausiert</t>
        </is>
      </c>
      <c r="K109" s="23" t="inlineStr">
        <is>
          <t>MTX 20 mg s.c. pro Woche</t>
        </is>
      </c>
      <c r="L109" s="23" t="inlineStr">
        <is>
          <t>46_FollowUp.docx</t>
        </is>
      </c>
      <c r="M109" s="23" t="inlineStr">
        <is>
          <t>MTX 20 mg s.c. pro Woche
Seit 14 Tagen wurde MTX und Etanercept pausiert.</t>
        </is>
      </c>
      <c r="N109" s="23" t="inlineStr">
        <is>
          <t>Subkutane Gabe; weitere Pause bis zur Wundheilung empfohlen.</t>
        </is>
      </c>
    </row>
    <row r="110">
      <c r="A110" s="22" t="n">
        <v>46</v>
      </c>
      <c r="B110" s="23" t="inlineStr">
        <is>
          <t>PsA</t>
        </is>
      </c>
      <c r="C110" s="23" t="inlineStr">
        <is>
          <t>Follow-up</t>
        </is>
      </c>
      <c r="D110" s="23" t="inlineStr">
        <is>
          <t>Etanercept</t>
        </is>
      </c>
      <c r="E110" s="22" t="n">
        <v>50</v>
      </c>
      <c r="F110" s="23" t="inlineStr">
        <is>
          <t>mg</t>
        </is>
      </c>
      <c r="G110" s="22" t="n">
        <v>1</v>
      </c>
      <c r="H110" s="23" t="inlineStr">
        <is>
          <t>Wochen</t>
        </is>
      </c>
      <c r="I110" s="23" t="inlineStr">
        <is>
          <t>Nein</t>
        </is>
      </c>
      <c r="J110" s="23" t="inlineStr">
        <is>
          <t>pausiert</t>
        </is>
      </c>
      <c r="K110" s="23" t="inlineStr">
        <is>
          <t>Etanercept 50 mg 1x pro Woche</t>
        </is>
      </c>
      <c r="L110" s="23" t="inlineStr">
        <is>
          <t>46_FollowUp.docx</t>
        </is>
      </c>
      <c r="M110" s="23" t="inlineStr">
        <is>
          <t>Etanercept 50 mg 1x pro Woche
Seit 14 Tagen wurde MTX und Etanercept pausiert.</t>
        </is>
      </c>
      <c r="N110" s="23" t="inlineStr">
        <is>
          <t>Weitere Pause bis zur Wundheilung empfohlen.</t>
        </is>
      </c>
    </row>
    <row r="111">
      <c r="A111" s="22" t="n">
        <v>46</v>
      </c>
      <c r="B111" s="23" t="inlineStr">
        <is>
          <t>PsA</t>
        </is>
      </c>
      <c r="C111" s="23" t="inlineStr">
        <is>
          <t>Follow-up</t>
        </is>
      </c>
      <c r="D111" s="23" t="inlineStr">
        <is>
          <t>Tofacitinib</t>
        </is>
      </c>
      <c r="E111" s="23" t="n"/>
      <c r="F111" s="23" t="n"/>
      <c r="G111" s="23" t="n"/>
      <c r="H111" s="23" t="n"/>
      <c r="I111" s="23" t="inlineStr">
        <is>
          <t>Unklar</t>
        </is>
      </c>
      <c r="J111" s="23" t="inlineStr">
        <is>
          <t>beendet</t>
        </is>
      </c>
      <c r="K111" s="23" t="n"/>
      <c r="L111" s="23" t="inlineStr">
        <is>
          <t>46_FollowUp.docx</t>
        </is>
      </c>
      <c r="M111" s="23" t="inlineStr">
        <is>
          <t>Methotrexat 20 mg s.c. + Tofacitinib bis 12/19 (rez. Infekte)</t>
        </is>
      </c>
      <c r="N111" s="23" t="inlineStr">
        <is>
          <t>Bis Dezember 2019; rezidivierende Infekte als Absetzgrund. Keine Dosis aus der Baseline übernommen.</t>
        </is>
      </c>
    </row>
    <row r="112">
      <c r="A112" s="22" t="n">
        <v>46</v>
      </c>
      <c r="B112" s="23" t="inlineStr">
        <is>
          <t>PsA</t>
        </is>
      </c>
      <c r="C112" s="23" t="inlineStr">
        <is>
          <t>Follow-up</t>
        </is>
      </c>
      <c r="D112" s="23" t="inlineStr">
        <is>
          <t>Denosumab</t>
        </is>
      </c>
      <c r="E112" s="23" t="n"/>
      <c r="F112" s="23" t="n"/>
      <c r="G112" s="23" t="n"/>
      <c r="H112" s="23" t="n"/>
      <c r="I112" s="23" t="inlineStr">
        <is>
          <t>Unklar</t>
        </is>
      </c>
      <c r="J112" s="23" t="inlineStr">
        <is>
          <t>pausiert</t>
        </is>
      </c>
      <c r="K112" s="23" t="n"/>
      <c r="L112" s="23" t="inlineStr">
        <is>
          <t>46_FollowUp.docx</t>
        </is>
      </c>
      <c r="M112" s="23" t="inlineStr">
        <is>
          <t>Aktuell besteht der V. a. Osteolyse der Kiefer, DD Osteonekrosen der Kiefer unter Denosumab.
Daher bitten wir weiter die immunsuppressive Therapie, sowie die Anti-Osteoporose-Therapie weiter zu pausieren bis zur Wundheilung.</t>
        </is>
      </c>
      <c r="N112" s="23" t="inlineStr">
        <is>
          <t>Wegen Kieferwundheilungsstörung und Verdacht auf Osteolyse beziehungsweise Osteonekrose relevant; Dosis und Intervall in dieser Briefgruppe fehlen.</t>
        </is>
      </c>
    </row>
    <row r="113">
      <c r="A113" s="22" t="n">
        <v>46</v>
      </c>
      <c r="B113" s="23" t="inlineStr">
        <is>
          <t>PsA</t>
        </is>
      </c>
      <c r="C113" s="23" t="inlineStr">
        <is>
          <t>Follow-up</t>
        </is>
      </c>
      <c r="D113" s="23" t="inlineStr">
        <is>
          <t>Etoricoxib</t>
        </is>
      </c>
      <c r="E113" s="22" t="n">
        <v>60</v>
      </c>
      <c r="F113" s="23" t="inlineStr">
        <is>
          <t>mg</t>
        </is>
      </c>
      <c r="G113" s="22" t="n">
        <v>1</v>
      </c>
      <c r="H113" s="23" t="inlineStr">
        <is>
          <t>Tage</t>
        </is>
      </c>
      <c r="I113" s="23" t="inlineStr">
        <is>
          <t>Nein</t>
        </is>
      </c>
      <c r="J113" s="23" t="inlineStr">
        <is>
          <t>geplant</t>
        </is>
      </c>
      <c r="K113" s="23" t="inlineStr">
        <is>
          <t>Etoricoxib 60 mg 1x täglich</t>
        </is>
      </c>
      <c r="L113" s="23" t="inlineStr">
        <is>
          <t>46_FollowUp.docx</t>
        </is>
      </c>
      <c r="M113" s="23" t="inlineStr">
        <is>
          <t>Bis zum wieder Therapiebeginn empfehlen wir eine Therapie mit Etoricoxib 60 mg 1x täglich und bei Bedarf Pantoprazol 40 mg.</t>
        </is>
      </c>
      <c r="N113" s="23" t="inlineStr">
        <is>
          <t>Als Überbrückung bis zum Wiederbeginn der Basistherapie empfohlen.</t>
        </is>
      </c>
    </row>
    <row r="114">
      <c r="A114" s="22" t="n">
        <v>46</v>
      </c>
      <c r="B114" s="23" t="inlineStr">
        <is>
          <t>PsA</t>
        </is>
      </c>
      <c r="C114" s="23" t="inlineStr">
        <is>
          <t>Follow-up</t>
        </is>
      </c>
      <c r="D114" s="23" t="inlineStr">
        <is>
          <t>Pantoprazol</t>
        </is>
      </c>
      <c r="E114" s="22" t="n">
        <v>40</v>
      </c>
      <c r="F114" s="23" t="inlineStr">
        <is>
          <t>mg</t>
        </is>
      </c>
      <c r="G114" s="23" t="n"/>
      <c r="H114" s="23" t="n"/>
      <c r="I114" s="23" t="inlineStr">
        <is>
          <t>Ja</t>
        </is>
      </c>
      <c r="J114" s="23" t="inlineStr">
        <is>
          <t>geplant</t>
        </is>
      </c>
      <c r="K114" s="23" t="inlineStr">
        <is>
          <t>bei Bedarf Pantoprazol 40 mg</t>
        </is>
      </c>
      <c r="L114" s="23" t="inlineStr">
        <is>
          <t>46_FollowUp.docx</t>
        </is>
      </c>
      <c r="M114" s="23" t="inlineStr">
        <is>
          <t>Bis zum wieder Therapiebeginn empfehlen wir eine Therapie mit Etoricoxib 60 mg 1x täglich und bei Bedarf Pantoprazol 40 mg.</t>
        </is>
      </c>
      <c r="N114" s="23" t="inlineStr">
        <is>
          <t>Begleitmedikation zur empfohlenen NSAR-Therapie.</t>
        </is>
      </c>
    </row>
    <row r="115">
      <c r="A115" s="22" t="n">
        <v>47</v>
      </c>
      <c r="B115" s="23" t="inlineStr">
        <is>
          <t>PsA</t>
        </is>
      </c>
      <c r="C115" s="23" t="inlineStr">
        <is>
          <t>Baseline</t>
        </is>
      </c>
      <c r="D115" s="23" t="inlineStr">
        <is>
          <t>Diclofenac</t>
        </is>
      </c>
      <c r="E115" s="22" t="n">
        <v>50</v>
      </c>
      <c r="F115" s="23" t="inlineStr">
        <is>
          <t>mg</t>
        </is>
      </c>
      <c r="G115" s="23" t="n"/>
      <c r="H115" s="23" t="n"/>
      <c r="I115" s="23" t="inlineStr">
        <is>
          <t>Nein</t>
        </is>
      </c>
      <c r="J115" s="23" t="inlineStr">
        <is>
          <t>laufend</t>
        </is>
      </c>
      <c r="K115" s="23" t="inlineStr">
        <is>
          <t>Diclofenac 50mg 1-0-1</t>
        </is>
      </c>
      <c r="L115" s="23" t="inlineStr">
        <is>
          <t>47_Baseline.docx</t>
        </is>
      </c>
      <c r="M115" s="23" t="inlineStr">
        <is>
          <t>Med.: Metformin 1000 1-0-1, Diclofenac 50mg 1-0-1, topische Therapie, Secukinumab aktuell pausiert bei unzureichender Wirkung</t>
        </is>
      </c>
      <c r="N115" s="23" t="n"/>
    </row>
    <row r="116">
      <c r="A116" s="22" t="n">
        <v>47</v>
      </c>
      <c r="B116" s="23" t="inlineStr">
        <is>
          <t>PsA</t>
        </is>
      </c>
      <c r="C116" s="23" t="inlineStr">
        <is>
          <t>Baseline</t>
        </is>
      </c>
      <c r="D116" s="23" t="inlineStr">
        <is>
          <t>Secukinumab</t>
        </is>
      </c>
      <c r="E116" s="23" t="n"/>
      <c r="F116" s="23" t="n"/>
      <c r="G116" s="23" t="n"/>
      <c r="H116" s="23" t="n"/>
      <c r="I116" s="23" t="inlineStr">
        <is>
          <t>Unklar</t>
        </is>
      </c>
      <c r="J116" s="23" t="inlineStr">
        <is>
          <t>pausiert</t>
        </is>
      </c>
      <c r="K116" s="23" t="n"/>
      <c r="L116" s="23" t="inlineStr">
        <is>
          <t>47_Baseline.docx</t>
        </is>
      </c>
      <c r="M116" s="23" t="inlineStr">
        <is>
          <t>Med.: Metformin 1000 1-0-1, Diclofenac 50mg 1-0-1, topische Therapie, Secukinumab aktuell pausiert bei unzureichender Wirkung</t>
        </is>
      </c>
      <c r="N116" s="23" t="n"/>
    </row>
    <row r="117">
      <c r="A117" s="22" t="n">
        <v>47</v>
      </c>
      <c r="B117" s="23" t="inlineStr">
        <is>
          <t>PsA</t>
        </is>
      </c>
      <c r="C117" s="23" t="inlineStr">
        <is>
          <t>Baseline</t>
        </is>
      </c>
      <c r="D117" s="23" t="inlineStr">
        <is>
          <t>Tofacitinib</t>
        </is>
      </c>
      <c r="E117" s="22" t="n">
        <v>5</v>
      </c>
      <c r="F117" s="23" t="inlineStr">
        <is>
          <t>mg</t>
        </is>
      </c>
      <c r="G117" s="23" t="n"/>
      <c r="H117" s="23" t="n"/>
      <c r="I117" s="23" t="inlineStr">
        <is>
          <t>Nein</t>
        </is>
      </c>
      <c r="J117" s="23" t="inlineStr">
        <is>
          <t>geplant</t>
        </is>
      </c>
      <c r="K117" s="23" t="inlineStr">
        <is>
          <t>Tofacitinib 5mg 1-0-1</t>
        </is>
      </c>
      <c r="L117" s="23" t="inlineStr">
        <is>
          <t>47_Baseline.docx</t>
        </is>
      </c>
      <c r="M117" s="23" t="inlineStr">
        <is>
          <t>Wir empfehlen daher eine Umstellung der immunsuppressiven Basistherapie auf Tofacitinib 5mg 1-0-1 unter regelm. Kontrollen nach Maßgabe der DGRh.</t>
        </is>
      </c>
      <c r="N117" s="23" t="n"/>
    </row>
    <row r="118">
      <c r="A118" s="22" t="n">
        <v>47</v>
      </c>
      <c r="B118" s="23" t="inlineStr">
        <is>
          <t>PsA</t>
        </is>
      </c>
      <c r="C118" s="23" t="inlineStr">
        <is>
          <t>Baseline</t>
        </is>
      </c>
      <c r="D118" s="23" t="inlineStr">
        <is>
          <t>Etoricoxib</t>
        </is>
      </c>
      <c r="E118" s="22" t="n">
        <v>90</v>
      </c>
      <c r="F118" s="23" t="inlineStr">
        <is>
          <t>mg</t>
        </is>
      </c>
      <c r="G118" s="23" t="n"/>
      <c r="H118" s="23" t="n"/>
      <c r="I118" s="23" t="inlineStr">
        <is>
          <t>Unklar</t>
        </is>
      </c>
      <c r="J118" s="23" t="inlineStr">
        <is>
          <t>beendet</t>
        </is>
      </c>
      <c r="K118" s="23" t="inlineStr">
        <is>
          <t>Etoricoxib 90mg über mehrere Wochen</t>
        </is>
      </c>
      <c r="L118" s="23" t="inlineStr">
        <is>
          <t>47_Baseline.docx</t>
        </is>
      </c>
      <c r="M118" s="23" t="inlineStr">
        <is>
          <t>bisherige Therapie: Etoricoxib 90mg über mehrere Wochen, Diclofenac 50mg 1-0-1 über mehrere Wochen, ohne ausreichende Wirkung, Z.n. Secukinumab ohne ausreichende Wirkung</t>
        </is>
      </c>
      <c r="N118" s="23" t="n"/>
    </row>
    <row r="119">
      <c r="A119" s="22" t="n">
        <v>47</v>
      </c>
      <c r="B119" s="23" t="inlineStr">
        <is>
          <t>PsA</t>
        </is>
      </c>
      <c r="C119" s="23" t="inlineStr">
        <is>
          <t>Follow-up</t>
        </is>
      </c>
      <c r="D119" s="23" t="inlineStr">
        <is>
          <t>Certolizumab</t>
        </is>
      </c>
      <c r="E119" s="22" t="n">
        <v>200</v>
      </c>
      <c r="F119" s="23" t="inlineStr">
        <is>
          <t>mg</t>
        </is>
      </c>
      <c r="G119" s="22" t="n">
        <v>14</v>
      </c>
      <c r="H119" s="23" t="inlineStr">
        <is>
          <t>Tage</t>
        </is>
      </c>
      <c r="I119" s="23" t="inlineStr">
        <is>
          <t>Nein</t>
        </is>
      </c>
      <c r="J119" s="23" t="inlineStr">
        <is>
          <t>laufend</t>
        </is>
      </c>
      <c r="K119" s="23" t="inlineStr">
        <is>
          <t>Cimzia 200 mg s.c. alle 14 Tage</t>
        </is>
      </c>
      <c r="L119" s="23" t="inlineStr">
        <is>
          <t>47_FollowUp.docx</t>
        </is>
      </c>
      <c r="M119" s="23" t="inlineStr">
        <is>
          <t>aktuelle Therapie: Certolizumab 200mg seit 11/2019
Wir empfehlen die unveränderte Fortführung der Therapie mit Cimzia 200 mg s.c. alle 14 Tage und erbitten regelm. laborchemische Untersuchungen gemäß der Richtlinien der DGRh.</t>
        </is>
      </c>
      <c r="N119" s="23" t="n"/>
    </row>
    <row r="120">
      <c r="A120" s="22" t="n">
        <v>47</v>
      </c>
      <c r="B120" s="23" t="inlineStr">
        <is>
          <t>PsA</t>
        </is>
      </c>
      <c r="C120" s="23" t="inlineStr">
        <is>
          <t>Follow-up</t>
        </is>
      </c>
      <c r="D120" s="23" t="inlineStr">
        <is>
          <t>Tofacitinib</t>
        </is>
      </c>
      <c r="E120" s="23" t="n"/>
      <c r="F120" s="23" t="n"/>
      <c r="G120" s="23" t="n"/>
      <c r="H120" s="23" t="n"/>
      <c r="I120" s="23" t="inlineStr">
        <is>
          <t>Unklar</t>
        </is>
      </c>
      <c r="J120" s="23" t="inlineStr">
        <is>
          <t>beendet</t>
        </is>
      </c>
      <c r="K120" s="23" t="n"/>
      <c r="L120" s="23" t="inlineStr">
        <is>
          <t>47_FollowUp.docx</t>
        </is>
      </c>
      <c r="M120" s="23" t="inlineStr">
        <is>
          <t>Tofacitinib 01/2019-05/2019: abgesetzt bei Leberwerterhöhung, zusätzlich kein ausreichendes Therapieansprechen</t>
        </is>
      </c>
      <c r="N120" s="23" t="inlineStr">
        <is>
          <t>Abgeschlossene Therapie; Grundlage der klassifizierten Ansprechaussage.</t>
        </is>
      </c>
    </row>
    <row r="121">
      <c r="A121" s="22" t="n">
        <v>48</v>
      </c>
      <c r="B121" s="23" t="inlineStr">
        <is>
          <t>PsA</t>
        </is>
      </c>
      <c r="C121" s="23" t="inlineStr">
        <is>
          <t>Baseline</t>
        </is>
      </c>
      <c r="D121" s="23" t="inlineStr">
        <is>
          <t>Secukinumab</t>
        </is>
      </c>
      <c r="E121" s="22" t="n">
        <v>300</v>
      </c>
      <c r="F121" s="23" t="inlineStr">
        <is>
          <t>mg</t>
        </is>
      </c>
      <c r="G121" s="22" t="n">
        <v>4</v>
      </c>
      <c r="H121" s="23" t="inlineStr">
        <is>
          <t>Wochen</t>
        </is>
      </c>
      <c r="I121" s="23" t="inlineStr">
        <is>
          <t>Nein</t>
        </is>
      </c>
      <c r="J121" s="23" t="inlineStr">
        <is>
          <t>laufend</t>
        </is>
      </c>
      <c r="K121" s="23" t="inlineStr">
        <is>
          <t>Cosentyx-Spritze 300mg (2x150mg) alle 4 Wochen s.c.,</t>
        </is>
      </c>
      <c r="L121" s="23" t="inlineStr">
        <is>
          <t>48_Baseline.docx</t>
        </is>
      </c>
      <c r="M121" s="23" t="inlineStr">
        <is>
          <t>Cosentyx-Spritze 300mg (2x150mg) alle 4 Wochen s.c.,</t>
        </is>
      </c>
      <c r="N121" s="23" t="n"/>
    </row>
    <row r="122">
      <c r="A122" s="22" t="n">
        <v>48</v>
      </c>
      <c r="B122" s="23" t="inlineStr">
        <is>
          <t>PsA</t>
        </is>
      </c>
      <c r="C122" s="23" t="inlineStr">
        <is>
          <t>Baseline</t>
        </is>
      </c>
      <c r="D122" s="23" t="inlineStr">
        <is>
          <t>Prednisolon</t>
        </is>
      </c>
      <c r="E122" s="22" t="n">
        <v>5</v>
      </c>
      <c r="F122" s="23" t="inlineStr">
        <is>
          <t>mg</t>
        </is>
      </c>
      <c r="G122" s="22" t="n">
        <v>1</v>
      </c>
      <c r="H122" s="23" t="inlineStr">
        <is>
          <t>Tage</t>
        </is>
      </c>
      <c r="I122" s="23" t="inlineStr">
        <is>
          <t>Nein</t>
        </is>
      </c>
      <c r="J122" s="23" t="inlineStr">
        <is>
          <t>laufend</t>
        </is>
      </c>
      <c r="K122" s="23" t="inlineStr">
        <is>
          <t>Prednisolon 5 mg 1-0-0</t>
        </is>
      </c>
      <c r="L122" s="23" t="inlineStr">
        <is>
          <t>48_Baseline.docx</t>
        </is>
      </c>
      <c r="M122" s="23" t="inlineStr">
        <is>
          <t>Prednisolon 5 mg 1-0-0</t>
        </is>
      </c>
      <c r="N122" s="23" t="n"/>
    </row>
    <row r="123">
      <c r="A123" s="22" t="n">
        <v>48</v>
      </c>
      <c r="B123" s="23" t="inlineStr">
        <is>
          <t>PsA</t>
        </is>
      </c>
      <c r="C123" s="23" t="inlineStr">
        <is>
          <t>Baseline</t>
        </is>
      </c>
      <c r="D123" s="23" t="inlineStr">
        <is>
          <t>Metamizol</t>
        </is>
      </c>
      <c r="E123" s="22" t="n">
        <v>500</v>
      </c>
      <c r="F123" s="23" t="inlineStr">
        <is>
          <t>mg</t>
        </is>
      </c>
      <c r="G123" s="23" t="n"/>
      <c r="H123" s="23" t="n"/>
      <c r="I123" s="23" t="inlineStr">
        <is>
          <t>Ja</t>
        </is>
      </c>
      <c r="J123" s="23" t="inlineStr">
        <is>
          <t>laufend</t>
        </is>
      </c>
      <c r="K123" s="23" t="inlineStr">
        <is>
          <t>Novalgin 500mg b.B</t>
        </is>
      </c>
      <c r="L123" s="23" t="inlineStr">
        <is>
          <t>48_Baseline.docx</t>
        </is>
      </c>
      <c r="M123" s="23" t="inlineStr">
        <is>
          <t>Novalgin 500mg b.B</t>
        </is>
      </c>
      <c r="N123" s="23" t="n"/>
    </row>
    <row r="124">
      <c r="A124" s="22" t="n">
        <v>48</v>
      </c>
      <c r="B124" s="23" t="inlineStr">
        <is>
          <t>PsA</t>
        </is>
      </c>
      <c r="C124" s="23" t="inlineStr">
        <is>
          <t>Baseline</t>
        </is>
      </c>
      <c r="D124" s="23" t="inlineStr">
        <is>
          <t>Pregabalin</t>
        </is>
      </c>
      <c r="E124" s="22" t="n">
        <v>100</v>
      </c>
      <c r="F124" s="23" t="inlineStr">
        <is>
          <t>mg</t>
        </is>
      </c>
      <c r="G124" s="23" t="n"/>
      <c r="H124" s="23" t="n"/>
      <c r="I124" s="23" t="inlineStr">
        <is>
          <t>Nein</t>
        </is>
      </c>
      <c r="J124" s="23" t="inlineStr">
        <is>
          <t>laufend</t>
        </is>
      </c>
      <c r="K124" s="23" t="inlineStr">
        <is>
          <t>Pregabalin 100mg 0-0-1-1,</t>
        </is>
      </c>
      <c r="L124" s="23" t="inlineStr">
        <is>
          <t>48_Baseline.docx</t>
        </is>
      </c>
      <c r="M124" s="23" t="inlineStr">
        <is>
          <t>Pregabalin 100mg 0-0-1-1,</t>
        </is>
      </c>
      <c r="N124" s="23" t="inlineStr">
        <is>
          <t>Indikation nicht ausdrücklich genannt; als mögliche schmerzbezogene Begleitmedikation erfasst.</t>
        </is>
      </c>
    </row>
    <row r="125">
      <c r="A125" s="22" t="n">
        <v>48</v>
      </c>
      <c r="B125" s="23" t="inlineStr">
        <is>
          <t>PsA</t>
        </is>
      </c>
      <c r="C125" s="23" t="inlineStr">
        <is>
          <t>Baseline</t>
        </is>
      </c>
      <c r="D125" s="23" t="inlineStr">
        <is>
          <t>Flucidine</t>
        </is>
      </c>
      <c r="E125" s="23" t="n"/>
      <c r="F125" s="23" t="n"/>
      <c r="G125" s="23" t="n"/>
      <c r="H125" s="23" t="n"/>
      <c r="I125" s="23" t="inlineStr">
        <is>
          <t>Unklar</t>
        </is>
      </c>
      <c r="J125" s="23" t="inlineStr">
        <is>
          <t>laufend</t>
        </is>
      </c>
      <c r="K125" s="23" t="inlineStr">
        <is>
          <t>Insgesamt solle er die topische Therapie für 6 Wochen durchführen.</t>
        </is>
      </c>
      <c r="L125" s="23" t="inlineStr">
        <is>
          <t>48_Baseline.docx</t>
        </is>
      </c>
      <c r="M125" s="23" t="inlineStr">
        <is>
          <t>Die Hautbeschwerden hätten zunächst weiter zugenommen, die begonnene topische Therapie mit Flucidine helfe aber.
Insgesamt solle er die topische Therapie für 6 Wochen durchführen.</t>
        </is>
      </c>
      <c r="N125" s="23" t="inlineStr">
        <is>
          <t>Originalbezeichnung übernommen; Wirkstoff nicht eindeutig identifiziert.</t>
        </is>
      </c>
    </row>
    <row r="126">
      <c r="A126" s="22" t="n">
        <v>48</v>
      </c>
      <c r="B126" s="23" t="inlineStr">
        <is>
          <t>PsA</t>
        </is>
      </c>
      <c r="C126" s="23" t="inlineStr">
        <is>
          <t>Follow-up</t>
        </is>
      </c>
      <c r="D126" s="23" t="inlineStr">
        <is>
          <t>Guselkumab</t>
        </is>
      </c>
      <c r="E126" s="23" t="n"/>
      <c r="F126" s="23" t="n"/>
      <c r="G126" s="23" t="n"/>
      <c r="H126" s="23" t="n"/>
      <c r="I126" s="23" t="inlineStr">
        <is>
          <t>Unklar</t>
        </is>
      </c>
      <c r="J126" s="23" t="inlineStr">
        <is>
          <t>laufend</t>
        </is>
      </c>
      <c r="K126" s="23" t="n"/>
      <c r="L126" s="23" t="inlineStr">
        <is>
          <t>48_FollowUp.docx</t>
        </is>
      </c>
      <c r="M126" s="23" t="inlineStr">
        <is>
          <t>aktuelle Therapie: Guselkumab seit 06/21 bei unzur. Kontrolle der Psoriasis
Das Guselkumab sollte unverändert fortgeführt werden.</t>
        </is>
      </c>
      <c r="N126" s="23" t="inlineStr">
        <is>
          <t>Dosis und Verabreichungsintervall fehlen.</t>
        </is>
      </c>
    </row>
    <row r="127">
      <c r="A127" s="22" t="n">
        <v>48</v>
      </c>
      <c r="B127" s="23" t="inlineStr">
        <is>
          <t>PsA</t>
        </is>
      </c>
      <c r="C127" s="23" t="inlineStr">
        <is>
          <t>Follow-up</t>
        </is>
      </c>
      <c r="D127" s="23" t="inlineStr">
        <is>
          <t>Secukinumab</t>
        </is>
      </c>
      <c r="E127" s="22" t="n">
        <v>300</v>
      </c>
      <c r="F127" s="23" t="inlineStr">
        <is>
          <t>mg</t>
        </is>
      </c>
      <c r="G127" s="22" t="n">
        <v>4</v>
      </c>
      <c r="H127" s="23" t="inlineStr">
        <is>
          <t>Wochen</t>
        </is>
      </c>
      <c r="I127" s="23" t="inlineStr">
        <is>
          <t>Nein</t>
        </is>
      </c>
      <c r="J127" s="23" t="inlineStr">
        <is>
          <t>unklar</t>
        </is>
      </c>
      <c r="K127" s="23" t="inlineStr">
        <is>
          <t>Cosentyx-Spritze 300mg (2x150mg) alle 4 Wochen s.c.,</t>
        </is>
      </c>
      <c r="L127" s="23" t="inlineStr">
        <is>
          <t>48_FollowUp.docx</t>
        </is>
      </c>
      <c r="M127" s="23" t="inlineStr">
        <is>
          <t>bisherige Therapie: Z. n. MTX 2013-2015, abgesetzt bei fehlender Wirkung, Cosentyx 300 mg s. c. alle vier Wochen, seit 12/2015
Cosentyx-Spritze 300mg (2x150mg) alle 4 Wochen s.c.,
aktuelle Therapie: Guselkumab seit 06/21 bei unzur. Kontrolle der Psoriasis</t>
        </is>
      </c>
      <c r="N127" s="23" t="inlineStr">
        <is>
          <t>Als bisherige Therapie bezeichnet, aber weiterhin in der häuslichen Medikamentenliste aufgeführt; Beendigung beziehungsweise parallele Einnahme nicht eindeutig.</t>
        </is>
      </c>
    </row>
    <row r="128">
      <c r="A128" s="22" t="n">
        <v>48</v>
      </c>
      <c r="B128" s="23" t="inlineStr">
        <is>
          <t>PsA</t>
        </is>
      </c>
      <c r="C128" s="23" t="inlineStr">
        <is>
          <t>Follow-up</t>
        </is>
      </c>
      <c r="D128" s="23" t="inlineStr">
        <is>
          <t>Prednisolon</t>
        </is>
      </c>
      <c r="E128" s="23" t="n"/>
      <c r="F128" s="23" t="inlineStr">
        <is>
          <t>mg</t>
        </is>
      </c>
      <c r="G128" s="23" t="n"/>
      <c r="H128" s="23" t="n"/>
      <c r="I128" s="23" t="inlineStr">
        <is>
          <t>Nein</t>
        </is>
      </c>
      <c r="J128" s="23" t="inlineStr">
        <is>
          <t>laufend</t>
        </is>
      </c>
      <c r="K128" s="23" t="inlineStr">
        <is>
          <t>Prednisolon 5mg und 2,5mg jeden 2. Tag</t>
        </is>
      </c>
      <c r="L128" s="23" t="inlineStr">
        <is>
          <t>48_FollowUp.docx</t>
        </is>
      </c>
      <c r="M128" s="23" t="inlineStr">
        <is>
          <t>Prednisolon 5mg und 2,5mg jeden 2. Tag
aktuell Sauerstofftherapie mit 4 Liter und Prednisolontherapie</t>
        </is>
      </c>
      <c r="N128" s="23" t="inlineStr">
        <is>
          <t>Komplexes Dosierungsschema unverändert erhalten; keine einheitliche Einzeldosis abgeleitet. Im Zusammenhang mit der Lungenfibrose dokumentiert.</t>
        </is>
      </c>
    </row>
    <row r="129">
      <c r="A129" s="22" t="n">
        <v>48</v>
      </c>
      <c r="B129" s="23" t="inlineStr">
        <is>
          <t>PsA</t>
        </is>
      </c>
      <c r="C129" s="23" t="inlineStr">
        <is>
          <t>Follow-up</t>
        </is>
      </c>
      <c r="D129" s="23" t="inlineStr">
        <is>
          <t>Metamizol</t>
        </is>
      </c>
      <c r="E129" s="22" t="n">
        <v>500</v>
      </c>
      <c r="F129" s="23" t="inlineStr">
        <is>
          <t>mg</t>
        </is>
      </c>
      <c r="G129" s="23" t="n"/>
      <c r="H129" s="23" t="n"/>
      <c r="I129" s="23" t="inlineStr">
        <is>
          <t>Ja</t>
        </is>
      </c>
      <c r="J129" s="23" t="inlineStr">
        <is>
          <t>laufend</t>
        </is>
      </c>
      <c r="K129" s="23" t="inlineStr">
        <is>
          <t>Novalgin 500mg b.B</t>
        </is>
      </c>
      <c r="L129" s="23" t="inlineStr">
        <is>
          <t>48_FollowUp.docx</t>
        </is>
      </c>
      <c r="M129" s="23" t="inlineStr">
        <is>
          <t>Novalgin 500mg b.B</t>
        </is>
      </c>
      <c r="N129" s="23" t="n"/>
    </row>
    <row r="130">
      <c r="A130" s="22" t="n">
        <v>48</v>
      </c>
      <c r="B130" s="23" t="inlineStr">
        <is>
          <t>PsA</t>
        </is>
      </c>
      <c r="C130" s="23" t="inlineStr">
        <is>
          <t>Follow-up</t>
        </is>
      </c>
      <c r="D130" s="23" t="inlineStr">
        <is>
          <t>Pregabalin</t>
        </is>
      </c>
      <c r="E130" s="22" t="n">
        <v>100</v>
      </c>
      <c r="F130" s="23" t="inlineStr">
        <is>
          <t>mg</t>
        </is>
      </c>
      <c r="G130" s="23" t="n"/>
      <c r="H130" s="23" t="n"/>
      <c r="I130" s="23" t="inlineStr">
        <is>
          <t>Nein</t>
        </is>
      </c>
      <c r="J130" s="23" t="inlineStr">
        <is>
          <t>laufend</t>
        </is>
      </c>
      <c r="K130" s="23" t="inlineStr">
        <is>
          <t>Pregabalin 100mg 0-0-1-1,</t>
        </is>
      </c>
      <c r="L130" s="23" t="inlineStr">
        <is>
          <t>48_FollowUp.docx</t>
        </is>
      </c>
      <c r="M130" s="23" t="inlineStr">
        <is>
          <t>Pregabalin 100mg 0-0-1-1,</t>
        </is>
      </c>
      <c r="N130" s="23" t="inlineStr">
        <is>
          <t>Indikation nicht ausdrücklich genannt; als mögliche schmerzbezogene Begleitmedikation erfasst.</t>
        </is>
      </c>
    </row>
    <row r="131">
      <c r="A131" s="22" t="n">
        <v>48</v>
      </c>
      <c r="B131" s="23" t="inlineStr">
        <is>
          <t>PsA</t>
        </is>
      </c>
      <c r="C131" s="23" t="inlineStr">
        <is>
          <t>Follow-up</t>
        </is>
      </c>
      <c r="D131" s="23" t="inlineStr">
        <is>
          <t>Flucidine</t>
        </is>
      </c>
      <c r="E131" s="23" t="n"/>
      <c r="F131" s="23" t="n"/>
      <c r="G131" s="23" t="n"/>
      <c r="H131" s="23" t="n"/>
      <c r="I131" s="23" t="inlineStr">
        <is>
          <t>Unklar</t>
        </is>
      </c>
      <c r="J131" s="23" t="inlineStr">
        <is>
          <t>unklar</t>
        </is>
      </c>
      <c r="K131" s="23" t="n"/>
      <c r="L131" s="23" t="inlineStr">
        <is>
          <t>48_FollowUp.docx</t>
        </is>
      </c>
      <c r="M131" s="23" t="inlineStr">
        <is>
          <t>aktuell: Psoriasis an Beine und Füße bds., topische Therapie mit Flucidine begonnen 09/2020</t>
        </is>
      </c>
      <c r="N131" s="23" t="inlineStr">
        <is>
          <t>Originalbezeichnung übernommen; Wirkstoff nicht eindeutig identifiziert. Fortführung zum Follow-up nicht ausdrücklich bestätigt.</t>
        </is>
      </c>
    </row>
  </sheetData>
  <autoFilter ref="A1:N1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2026-10-20T18:14:22Z</dcterms:created>
  <dcterms:modified xmlns:dcterms="http://purl.org/dc/terms/" xmlns:xsi="http://www.w3.org/2001/XMLSchema-instance" xsi:type="dcterms:W3CDTF">2026-10-20T18:14:22Z</dcterms:modified>
</cp:coreProperties>
</file>