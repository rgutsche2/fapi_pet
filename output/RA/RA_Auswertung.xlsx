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 sheetId="1" state="visible" r:id="rId1"/>
    <sheet xmlns:r="http://schemas.openxmlformats.org/officeDocument/2006/relationships" name="Therapie" sheetId="2" state="visible" r:id="rId2"/>
  </sheets>
  <definedNames>
    <definedName name="_xlnm._FilterDatabase" localSheetId="0" hidden="1">'RA'!$A$2:$AD$32</definedName>
    <definedName name="_xlnm._FilterDatabase" localSheetId="1" hidden="1">'Therapie'!$A$1:$N$106</definedName>
  </definedNames>
  <calcPr calcId="124519" fullCalcOnLoad="1"/>
</workbook>
</file>

<file path=xl/styles.xml><?xml version="1.0" encoding="utf-8"?>
<styleSheet xmlns="http://schemas.openxmlformats.org/spreadsheetml/2006/main">
  <numFmts count="2">
    <numFmt numFmtId="164" formatCode="yyyy-mm-dd"/>
    <numFmt numFmtId="165" formatCode="0.###"/>
  </numFmts>
  <fonts count="4">
    <font>
      <name val="Calibri"/>
      <family val="2"/>
      <color theme="1"/>
      <sz val="11"/>
      <scheme val="minor"/>
    </font>
    <font>
      <name val="Calibri"/>
      <b val="1"/>
      <sz val="11"/>
    </font>
    <font>
      <name val="Calibri"/>
      <b val="1"/>
      <sz val="12"/>
    </font>
    <font>
      <name val="Calibri"/>
      <sz val="11"/>
    </font>
  </fonts>
  <fills count="10">
    <fill>
      <patternFill/>
    </fill>
    <fill>
      <patternFill patternType="gray125"/>
    </fill>
    <fill>
      <patternFill patternType="solid">
        <fgColor rgb="00D9EAF7"/>
      </patternFill>
    </fill>
    <fill>
      <patternFill patternType="solid">
        <fgColor rgb="00E2EFDA"/>
      </patternFill>
    </fill>
    <fill>
      <patternFill patternType="solid">
        <fgColor rgb="00FFF2CC"/>
      </patternFill>
    </fill>
    <fill>
      <patternFill patternType="solid">
        <fgColor rgb="00FCE4D6"/>
      </patternFill>
    </fill>
    <fill>
      <patternFill patternType="solid">
        <fgColor rgb="00CBEAF5"/>
      </patternFill>
    </fill>
    <fill>
      <patternFill patternType="solid">
        <fgColor rgb="00D9E2F3"/>
      </patternFill>
    </fill>
    <fill>
      <patternFill patternType="solid">
        <fgColor rgb="00F2F6FA"/>
      </patternFill>
    </fill>
    <fill>
      <patternFill patternType="solid">
        <fgColor rgb="00FFFFFF"/>
      </patternFill>
    </fill>
  </fills>
  <borders count="2">
    <border>
      <left/>
      <right/>
      <top/>
      <bottom/>
      <diagonal/>
    </border>
    <border>
      <bottom style="thin">
        <color rgb="00D9E2F3"/>
      </bottom>
    </border>
  </borders>
  <cellStyleXfs count="1">
    <xf numFmtId="0" fontId="0" fillId="0" borderId="0"/>
  </cellStyleXfs>
  <cellXfs count="24">
    <xf numFmtId="0" fontId="0" fillId="0" borderId="0" pivotButton="0" quotePrefix="0" xfId="0"/>
    <xf numFmtId="0" fontId="2" fillId="2" borderId="0" applyAlignment="1" pivotButton="0" quotePrefix="0" xfId="0">
      <alignment vertical="center"/>
    </xf>
    <xf numFmtId="0" fontId="2" fillId="3" borderId="0" applyAlignment="1" pivotButton="0" quotePrefix="0" xfId="0">
      <alignment vertical="center"/>
    </xf>
    <xf numFmtId="0" fontId="2" fillId="4" borderId="0" applyAlignment="1" pivotButton="0" quotePrefix="0" xfId="0">
      <alignment vertical="center"/>
    </xf>
    <xf numFmtId="0" fontId="2" fillId="5" borderId="0" applyAlignment="1" pivotButton="0" quotePrefix="0" xfId="0">
      <alignment vertical="center"/>
    </xf>
    <xf numFmtId="0" fontId="2" fillId="6" borderId="0" applyAlignment="1" pivotButton="0" quotePrefix="0" xfId="0">
      <alignment vertical="center"/>
    </xf>
    <xf numFmtId="0" fontId="2" fillId="7" borderId="0" applyAlignment="1" pivotButton="0" quotePrefix="0" xfId="0">
      <alignment vertical="center"/>
    </xf>
    <xf numFmtId="0" fontId="1" fillId="2" borderId="0" applyAlignment="1" pivotButton="0" quotePrefix="0" xfId="0">
      <alignment horizontal="center" vertical="center" wrapText="1"/>
    </xf>
    <xf numFmtId="0" fontId="1" fillId="3" borderId="0" applyAlignment="1" pivotButton="0" quotePrefix="0" xfId="0">
      <alignment horizontal="center" vertical="center" wrapText="1"/>
    </xf>
    <xf numFmtId="0" fontId="1" fillId="4" borderId="0" applyAlignment="1" pivotButton="0" quotePrefix="0" xfId="0">
      <alignment horizontal="center" vertical="center" wrapText="1"/>
    </xf>
    <xf numFmtId="0" fontId="1" fillId="5" borderId="0" applyAlignment="1" pivotButton="0" quotePrefix="0" xfId="0">
      <alignment horizontal="center" vertical="center" wrapText="1"/>
    </xf>
    <xf numFmtId="0" fontId="1" fillId="6" borderId="0" applyAlignment="1" pivotButton="0" quotePrefix="0" xfId="0">
      <alignment horizontal="center" vertical="center" wrapText="1"/>
    </xf>
    <xf numFmtId="0" fontId="1" fillId="7" borderId="0" applyAlignment="1" pivotButton="0" quotePrefix="0" xfId="0">
      <alignment horizontal="center" vertical="center" wrapText="1"/>
    </xf>
    <xf numFmtId="1" fontId="3" fillId="8" borderId="1" applyAlignment="1" pivotButton="0" quotePrefix="0" xfId="0">
      <alignment vertical="top" wrapText="1"/>
    </xf>
    <xf numFmtId="0" fontId="3" fillId="8" borderId="1" applyAlignment="1" pivotButton="0" quotePrefix="0" xfId="0">
      <alignment vertical="top" wrapText="1"/>
    </xf>
    <xf numFmtId="164" fontId="3" fillId="8" borderId="1" applyAlignment="1" pivotButton="0" quotePrefix="0" xfId="0">
      <alignment vertical="top" wrapText="1"/>
    </xf>
    <xf numFmtId="165" fontId="3" fillId="8" borderId="1" applyAlignment="1" pivotButton="0" quotePrefix="0" xfId="0">
      <alignment vertical="top" wrapText="1"/>
    </xf>
    <xf numFmtId="1" fontId="3" fillId="9" borderId="1" applyAlignment="1" pivotButton="0" quotePrefix="0" xfId="0">
      <alignment vertical="top" wrapText="1"/>
    </xf>
    <xf numFmtId="0" fontId="3" fillId="9" borderId="1" applyAlignment="1" pivotButton="0" quotePrefix="0" xfId="0">
      <alignment vertical="top" wrapText="1"/>
    </xf>
    <xf numFmtId="164" fontId="3" fillId="9" borderId="1" applyAlignment="1" pivotButton="0" quotePrefix="0" xfId="0">
      <alignment vertical="top" wrapText="1"/>
    </xf>
    <xf numFmtId="165" fontId="3" fillId="9" borderId="1" applyAlignment="1" pivotButton="0" quotePrefix="0" xfId="0">
      <alignment vertical="top" wrapText="1"/>
    </xf>
    <xf numFmtId="0" fontId="1" fillId="5" borderId="0" applyAlignment="1" pivotButton="0" quotePrefix="0" xfId="0">
      <alignment vertical="center" wrapText="1"/>
    </xf>
    <xf numFmtId="165" fontId="3"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2"/>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10" customWidth="1" min="1" max="1"/>
    <col width="12" customWidth="1" min="2" max="2"/>
    <col width="15" customWidth="1" min="3" max="3"/>
    <col width="14" customWidth="1" min="4" max="4"/>
    <col width="16" customWidth="1" min="5" max="5"/>
    <col width="18" customWidth="1" min="6" max="6"/>
    <col width="12" customWidth="1" min="7" max="7"/>
    <col width="18" customWidth="1" min="8" max="8"/>
    <col width="12" customWidth="1" min="9" max="9"/>
    <col width="12" customWidth="1" min="10" max="10"/>
    <col width="12" customWidth="1" min="11" max="11"/>
    <col width="12" customWidth="1" min="12" max="12"/>
    <col width="12" customWidth="1" min="13" max="13"/>
    <col width="18" customWidth="1" min="14" max="14"/>
    <col width="13" customWidth="1" min="15" max="15"/>
    <col width="18" customWidth="1" min="16" max="16"/>
    <col width="14" customWidth="1" min="17" max="17"/>
    <col width="18" customWidth="1" min="18" max="18"/>
    <col width="35" customWidth="1" min="19" max="19"/>
    <col width="55" customWidth="1" min="20" max="20"/>
    <col width="25" customWidth="1" min="21" max="21"/>
    <col width="25" customWidth="1" min="22" max="22"/>
    <col width="25" customWidth="1" min="23" max="23"/>
    <col width="55" customWidth="1" min="24" max="24"/>
    <col width="55" customWidth="1" min="25" max="25"/>
    <col width="35" customWidth="1" min="26" max="26"/>
    <col width="23" customWidth="1" min="27" max="27"/>
    <col width="25" customWidth="1" min="28" max="28"/>
    <col width="65" customWidth="1" min="29" max="29"/>
    <col width="65" customWidth="1" min="30" max="30"/>
  </cols>
  <sheetData>
    <row r="1" ht="24" customHeight="1">
      <c r="A1" s="1" t="inlineStr">
        <is>
          <t>Identifikation</t>
        </is>
      </c>
      <c r="G1" s="2" t="inlineStr">
        <is>
          <t>Scores</t>
        </is>
      </c>
      <c r="N1" s="3" t="inlineStr">
        <is>
          <t>Labor</t>
        </is>
      </c>
      <c r="S1" s="4" t="inlineStr">
        <is>
          <t>Therapie</t>
        </is>
      </c>
      <c r="T1" s="5" t="inlineStr">
        <is>
          <t>Klinische Befunde</t>
        </is>
      </c>
      <c r="Z1" s="6" t="inlineStr">
        <is>
          <t>Beurteilung</t>
        </is>
      </c>
    </row>
    <row r="2" ht="46" customHeight="1">
      <c r="A2" s="7" t="inlineStr">
        <is>
          <t>Patient</t>
        </is>
      </c>
      <c r="B2" s="7" t="inlineStr">
        <is>
          <t>Erkrankung</t>
        </is>
      </c>
      <c r="C2" s="7" t="inlineStr">
        <is>
          <t>Zeitpunkt</t>
        </is>
      </c>
      <c r="D2" s="7" t="inlineStr">
        <is>
          <t>Scan-Datum</t>
        </is>
      </c>
      <c r="E2" s="7" t="inlineStr">
        <is>
          <t>Klinisches Datum</t>
        </is>
      </c>
      <c r="F2" s="7" t="inlineStr">
        <is>
          <t>Abstand zum Scan (Tage)</t>
        </is>
      </c>
      <c r="G2" s="8" t="inlineStr">
        <is>
          <t>DAS28</t>
        </is>
      </c>
      <c r="H2" s="8" t="inlineStr">
        <is>
          <t>DAS28-Variante</t>
        </is>
      </c>
      <c r="I2" s="8" t="inlineStr">
        <is>
          <t>TJC</t>
        </is>
      </c>
      <c r="J2" s="8" t="inlineStr">
        <is>
          <t>SJC</t>
        </is>
      </c>
      <c r="K2" s="8" t="inlineStr">
        <is>
          <t>SDAI</t>
        </is>
      </c>
      <c r="L2" s="8" t="inlineStr">
        <is>
          <t>CDAI</t>
        </is>
      </c>
      <c r="M2" s="8" t="inlineStr">
        <is>
          <t>HAQ</t>
        </is>
      </c>
      <c r="N2" s="9" t="inlineStr">
        <is>
          <t>CRP dokumentiert</t>
        </is>
      </c>
      <c r="O2" s="9" t="inlineStr">
        <is>
          <t>CRP-Wert</t>
        </is>
      </c>
      <c r="P2" s="9" t="inlineStr">
        <is>
          <t>CRP-Vergleichszeichen</t>
        </is>
      </c>
      <c r="Q2" s="9" t="inlineStr">
        <is>
          <t>CRP-Einheit</t>
        </is>
      </c>
      <c r="R2" s="9" t="inlineStr">
        <is>
          <t>BSG (mm nach 1 h)</t>
        </is>
      </c>
      <c r="S2" s="10" t="inlineStr">
        <is>
          <t>Laufende Wirkstoffe</t>
        </is>
      </c>
      <c r="T2" s="11" t="inlineStr">
        <is>
          <t>Klinische Hauptmanifestation</t>
        </is>
      </c>
      <c r="U2" s="11" t="inlineStr">
        <is>
          <t>Periphere Gelenkbeschwerden</t>
        </is>
      </c>
      <c r="V2" s="11" t="inlineStr">
        <is>
          <t>Synovitis / Gelenkschwellung</t>
        </is>
      </c>
      <c r="W2" s="11" t="inlineStr">
        <is>
          <t>Morgensteifigkeit</t>
        </is>
      </c>
      <c r="X2" s="11" t="inlineStr">
        <is>
          <t>Betroffene Regionen</t>
        </is>
      </c>
      <c r="Y2" s="11" t="inlineStr">
        <is>
          <t>Klinischer Befund (Details)</t>
        </is>
      </c>
      <c r="Z2" s="12" t="inlineStr">
        <is>
          <t>Beurteilte Therapie</t>
        </is>
      </c>
      <c r="AA2" s="12" t="inlineStr">
        <is>
          <t>Ansprechen</t>
        </is>
      </c>
      <c r="AB2" s="12" t="inlineStr">
        <is>
          <t>Krankheitszustand</t>
        </is>
      </c>
      <c r="AC2" s="12" t="inlineStr">
        <is>
          <t>Verlauf</t>
        </is>
      </c>
      <c r="AD2" s="12" t="inlineStr">
        <is>
          <t>Hinweise</t>
        </is>
      </c>
    </row>
    <row r="3" ht="150" customHeight="1">
      <c r="A3" s="13" t="n">
        <v>17</v>
      </c>
      <c r="B3" s="14" t="inlineStr">
        <is>
          <t>RA</t>
        </is>
      </c>
      <c r="C3" s="14" t="inlineStr">
        <is>
          <t>Baseline</t>
        </is>
      </c>
      <c r="D3" s="15" t="n">
        <v>45957</v>
      </c>
      <c r="E3" s="15" t="n">
        <v>45972</v>
      </c>
      <c r="F3" s="13">
        <f>IF(E3="","",E3-D3)</f>
        <v/>
      </c>
      <c r="G3" s="16" t="n"/>
      <c r="H3" s="14" t="n"/>
      <c r="I3" s="16" t="n">
        <v>1</v>
      </c>
      <c r="J3" s="16" t="n">
        <v>1</v>
      </c>
      <c r="K3" s="16" t="n"/>
      <c r="L3" s="16" t="n"/>
      <c r="M3" s="16" t="n"/>
      <c r="N3" s="14" t="inlineStr">
        <is>
          <t>Ja</t>
        </is>
      </c>
      <c r="O3" s="16" t="n">
        <v>5.9</v>
      </c>
      <c r="P3" s="14" t="inlineStr">
        <is>
          <t>=</t>
        </is>
      </c>
      <c r="Q3" s="14" t="inlineStr">
        <is>
          <t>mg/l</t>
        </is>
      </c>
      <c r="R3" s="16" t="n"/>
      <c r="S3" s="14" t="inlineStr">
        <is>
          <t>Methotrexat</t>
        </is>
      </c>
      <c r="T3" s="14" t="inlineStr">
        <is>
          <t>Schmerzen in rechter Schulter und linkem Hüftgelenk sowie druckschmerzhaft geschwollenes PIP II rechts. Morgensteifigkeit etwa vier Minuten; im weiteren Episodenverlauf Schub mit multiplen druckdolenten Gelenken.</t>
        </is>
      </c>
      <c r="U3" s="14" t="inlineStr">
        <is>
          <t>vorhanden</t>
        </is>
      </c>
      <c r="V3" s="14" t="inlineStr">
        <is>
          <t>vorhanden</t>
        </is>
      </c>
      <c r="W3" s="14" t="inlineStr">
        <is>
          <t>vorhanden</t>
        </is>
      </c>
      <c r="X3" s="14" t="inlineStr">
        <is>
          <t>Rechte Schulter, linkes Hüftgelenk, PIP II rechts.</t>
        </is>
      </c>
      <c r="Y3" s="14" t="inlineStr">
        <is>
          <t>PIP II rechts leicht druckschmerzhaft und geschwollen, ansonsten keine weiteren druckschmerzhaften oder geschwollenen Gelenke oder Enthesen im beschriebenen Untersuchungsbefund. Morgensteifigkeit etwa vier Minuten. Früher ausgeprägte Schmerzen und Schwellungen beider Hände und der rechten Schulter; späterer Schub innerhalb der Episode.</t>
        </is>
      </c>
      <c r="Z3" s="14" t="n"/>
      <c r="AA3" s="14" t="n"/>
      <c r="AB3" s="14" t="inlineStr">
        <is>
          <t>Aktiv</t>
        </is>
      </c>
      <c r="AC3" s="14" t="inlineStr">
        <is>
          <t>Unter Methotrexat unzureichende Krankheitskontrolle mit Schub und hochaktiver RA. Selbstständig eingenommenes Prednisolon hatte zuvor deutliche Linderung bewirkt. Beginn von Adalimumab empfohlen.</t>
        </is>
      </c>
      <c r="AD3" s="14" t="inlineStr">
        <is>
          <t>Referenztermin 11.11.2025 ist der belegte Besuch mit dem geringsten Abstand zum Scan vom 27.10.2025.
Untersuchungsbefund, TJC und SJC sind innerhalb des zusammenfassenden Briefes keinem einzelnen Besuch eindeutig zugeordnet; Zählbereich nicht angegeben.
CRP vom 10.09.2025: erster Messwert nach Reihenfolge.
Anamnese, Einzelgelenkbefund und späterer Schub beschreiben unterschiedliche Abschnitte derselben Episode.
CRP-Auswahl: erster dokumentierter Messwert in der Briefreihenfolge; daraus kein genaues Labordatum abgeleitet.</t>
        </is>
      </c>
    </row>
    <row r="4" ht="165" customHeight="1">
      <c r="A4" s="17" t="n">
        <v>17</v>
      </c>
      <c r="B4" s="18" t="inlineStr">
        <is>
          <t>RA</t>
        </is>
      </c>
      <c r="C4" s="18" t="inlineStr">
        <is>
          <t>Follow-up</t>
        </is>
      </c>
      <c r="D4" s="19" t="n">
        <v>46138</v>
      </c>
      <c r="E4" s="19" t="n">
        <v>46182</v>
      </c>
      <c r="F4" s="17">
        <f>IF(E4="","",E4-D4)</f>
        <v/>
      </c>
      <c r="G4" s="20" t="n">
        <v>2.09</v>
      </c>
      <c r="H4" s="18" t="inlineStr">
        <is>
          <t>CRP</t>
        </is>
      </c>
      <c r="I4" s="20" t="n">
        <v>0</v>
      </c>
      <c r="J4" s="20" t="n">
        <v>0</v>
      </c>
      <c r="K4" s="20" t="n"/>
      <c r="L4" s="20" t="n"/>
      <c r="M4" s="20" t="n"/>
      <c r="N4" s="18" t="inlineStr">
        <is>
          <t>Ja</t>
        </is>
      </c>
      <c r="O4" s="20" t="n">
        <v>8.300000000000001</v>
      </c>
      <c r="P4" s="18" t="inlineStr">
        <is>
          <t>=</t>
        </is>
      </c>
      <c r="Q4" s="18" t="inlineStr">
        <is>
          <t>mg/l</t>
        </is>
      </c>
      <c r="R4" s="20" t="n"/>
      <c r="S4" s="18" t="inlineStr">
        <is>
          <t>Adalimumab; Methotrexat</t>
        </is>
      </c>
      <c r="T4" s="18" t="inlineStr">
        <is>
          <t>Gut kontrollierte Beschwerden an Händen und Zehen; seit dem Vortag Fersenschmerzen bei bekannten rezidivierenden Fersenspornbeschwerden. Ausgeprägte Müdigkeit und Erschöpfung.</t>
        </is>
      </c>
      <c r="U4" s="18" t="inlineStr">
        <is>
          <t>unklar</t>
        </is>
      </c>
      <c r="V4" s="18" t="inlineStr">
        <is>
          <t>verneint</t>
        </is>
      </c>
      <c r="W4" s="18" t="inlineStr">
        <is>
          <t>verneint</t>
        </is>
      </c>
      <c r="X4" s="18" t="inlineStr">
        <is>
          <t>Hände und Zehen gut kontrolliert; aktuell Fersen, rechts druckdolent.</t>
        </is>
      </c>
      <c r="Y4" s="18" t="inlineStr">
        <is>
          <t>TJ 0 und SJ 0, Druckdolenz der rechten Ferse. Gelenkschwellungen und Morgensteifigkeit verneint; Fersenschmerzen bei anamnestisch rezidivierenden Fersenspornbeschwerden, ohne gesicherte entzündliche Zuordnung.</t>
        </is>
      </c>
      <c r="Z4" s="18" t="n"/>
      <c r="AA4" s="18" t="inlineStr">
        <is>
          <t>Nicht beurteilbar</t>
        </is>
      </c>
      <c r="AB4" s="18" t="inlineStr">
        <is>
          <t>Gut kontrolliert</t>
        </is>
      </c>
      <c r="AC4" s="18" t="inlineStr">
        <is>
          <t>Unter Adalimumab und Methotrexat aktuell gute klinische Kontrolle ohne Gelenkschwellungen oder Morgensteifigkeit. Fersenschmerzen und ausgeprägte Erschöpfung verbleiben; eine klinische Veränderung mit einordenbarem Ausmaß ist nicht dokumentiert. Fortführung beider Wirkstoffe, bei Beschwerdefreiheit versuchsweise Reduktion von Methotrexat auf 20 mg wöchentlich empfohlen.</t>
        </is>
      </c>
      <c r="AD4" s="18" t="inlineStr">
        <is>
          <t>Gute aktuelle Kontrolle belegt keinen klinischen Veränderungsnachweis; daher Ansprechen Nicht beurteilbar und keine eindeutig beurteilte Therapie.
Gute Kontrolle der Beschwerden an Händen und Zehen lässt offen, ob noch Gelenkbeschwerden bestehen; daher Periphere Gelenkbeschwerden unklar.
Zählbereich von TJC und SJC nicht angegeben.
CRP: erster Messwert nach Reihenfolge; eigenständiges Labordatum nicht dokumentiert.
CRP-Auswahl: erster dokumentierter Messwert in der Briefreihenfolge; daraus kein genaues Labordatum abgeleitet.</t>
        </is>
      </c>
    </row>
    <row r="5" ht="225" customHeight="1">
      <c r="A5" s="13" t="n">
        <v>18</v>
      </c>
      <c r="B5" s="14" t="inlineStr">
        <is>
          <t>RA</t>
        </is>
      </c>
      <c r="C5" s="14" t="inlineStr">
        <is>
          <t>Baseline</t>
        </is>
      </c>
      <c r="D5" s="15" t="n">
        <v>45313</v>
      </c>
      <c r="E5" s="15" t="n">
        <v>45321</v>
      </c>
      <c r="F5" s="13">
        <f>IF(E5="","",E5-D5)</f>
        <v/>
      </c>
      <c r="G5" s="16" t="n">
        <v>4.4</v>
      </c>
      <c r="H5" s="14" t="inlineStr">
        <is>
          <t>nicht angegeben</t>
        </is>
      </c>
      <c r="I5" s="16" t="n">
        <v>6</v>
      </c>
      <c r="J5" s="16" t="n">
        <v>4</v>
      </c>
      <c r="K5" s="16" t="n"/>
      <c r="L5" s="16" t="n"/>
      <c r="M5" s="16" t="n"/>
      <c r="N5" s="14" t="inlineStr">
        <is>
          <t>Ja</t>
        </is>
      </c>
      <c r="O5" s="16" t="n">
        <v>13</v>
      </c>
      <c r="P5" s="14" t="inlineStr">
        <is>
          <t>=</t>
        </is>
      </c>
      <c r="Q5" s="14" t="inlineStr">
        <is>
          <t>mg/l</t>
        </is>
      </c>
      <c r="R5" s="16" t="n"/>
      <c r="S5" s="14" t="n"/>
      <c r="T5" s="14" t="inlineStr">
        <is>
          <t>Therapierefraktärer RA-Schub mit multiplen druckschmerzhaften und geschwollenen Gelenken sowie ausgeprägter Morgensteifigkeit.</t>
        </is>
      </c>
      <c r="U5" s="14" t="inlineStr">
        <is>
          <t>vorhanden</t>
        </is>
      </c>
      <c r="V5" s="14" t="inlineStr">
        <is>
          <t>vorhanden</t>
        </is>
      </c>
      <c r="W5" s="14" t="inlineStr">
        <is>
          <t>vorhanden</t>
        </is>
      </c>
      <c r="X5" s="14" t="n"/>
      <c r="Y5" s="14" t="inlineStr">
        <is>
          <t>Multiple druckschmerzhafte und geschwollene Gelenke; TJC 6/SJC 4. Ausgeprägte Morgensteifigkeit ohne dokumentierte Dauer; klinische Gelenklokalisationen nicht näher angegeben.</t>
        </is>
      </c>
      <c r="Z5" s="14" t="n"/>
      <c r="AA5" s="14" t="n"/>
      <c r="AB5" s="14" t="inlineStr">
        <is>
          <t>Aktiv</t>
        </is>
      </c>
      <c r="AC5" s="14" t="inlineStr">
        <is>
          <t>Seit Oktober 2023 ohne rheumatologische Therapie, weiterhin chronische Synovitis. Nach vorübergehender Beschwerdebesserung unter Doxycyclin erneute Arthralgien und Schwellungen. Bei unkontrollierter RA individueller Heilversuch mit Blinatumomab; Entlassung mit gebesserten Beschwerden, erneute Applikation geplant.</t>
        </is>
      </c>
      <c r="AD5" s="14" t="inlineStr">
        <is>
          <t>Referenztermin ist die dokumentierte Untersuchung am 30.01.2024; der Aufenthaltszeitraum ist kein eigener Besuchstag.
DAS28 nur näherungsweise als ca. 4,4 dokumentiert; das auf „heute“ bezogene Einzeldatum ist nicht ausdrücklich genannt.
TJC/SJC aus dem Untersuchungsbefund vom 30.01.2024; Zählbereich nicht angegeben.
CRP: erster Messwert nach Reihenfolge aus der Aufenthaltstabelle; genauer Messtag nicht angegeben.
Bei Aufnahme ausdrücklich keine laufende rheumatologische Therapie seit Oktober 2023.
Die unter Doxycyclin beschriebene vorübergehende Besserung gehört zur vorausgehenden Behandlung im November 2023; keine aktuelle Einnahme.
CRP-Auswahl: erster dokumentierter Messwert in der Briefreihenfolge; daraus kein genaues Labordatum abgeleitet.</t>
        </is>
      </c>
    </row>
    <row r="6" ht="210" customHeight="1">
      <c r="A6" s="17" t="n">
        <v>18</v>
      </c>
      <c r="B6" s="18" t="inlineStr">
        <is>
          <t>RA</t>
        </is>
      </c>
      <c r="C6" s="18" t="inlineStr">
        <is>
          <t>Follow-up</t>
        </is>
      </c>
      <c r="D6" s="19" t="n">
        <v>45429</v>
      </c>
      <c r="E6" s="19" t="n">
        <v>45386</v>
      </c>
      <c r="F6" s="17">
        <f>IF(E6="","",E6-D6)</f>
        <v/>
      </c>
      <c r="G6" s="20" t="n">
        <v>2.84</v>
      </c>
      <c r="H6" s="18" t="inlineStr">
        <is>
          <t>CRP</t>
        </is>
      </c>
      <c r="I6" s="20" t="n">
        <v>0</v>
      </c>
      <c r="J6" s="20" t="n">
        <v>0</v>
      </c>
      <c r="K6" s="20" t="n"/>
      <c r="L6" s="20" t="n"/>
      <c r="M6" s="20" t="n"/>
      <c r="N6" s="18" t="inlineStr">
        <is>
          <t>Ja</t>
        </is>
      </c>
      <c r="O6" s="20" t="n">
        <v>5.4</v>
      </c>
      <c r="P6" s="18" t="inlineStr">
        <is>
          <t>&lt;</t>
        </is>
      </c>
      <c r="Q6" s="18" t="inlineStr">
        <is>
          <t>mg/l</t>
        </is>
      </c>
      <c r="R6" s="20" t="n"/>
      <c r="S6" s="18" t="n"/>
      <c r="T6" s="18" t="inlineStr">
        <is>
          <t>Gebesserte Schmerzen mit verbleibenden leichten Schmerzen im linken Knie und Morgensteifigkeit unter 30 Minuten. Keine Schwellungen im Intervall; aktuell klinische Remission.</t>
        </is>
      </c>
      <c r="U6" s="18" t="inlineStr">
        <is>
          <t>vorhanden</t>
        </is>
      </c>
      <c r="V6" s="18" t="inlineStr">
        <is>
          <t>verneint</t>
        </is>
      </c>
      <c r="W6" s="18" t="inlineStr">
        <is>
          <t>vorhanden</t>
        </is>
      </c>
      <c r="X6" s="18" t="inlineStr">
        <is>
          <t>Linkes Knie; im Intervall Sakrum.</t>
        </is>
      </c>
      <c r="Y6" s="18" t="inlineStr">
        <is>
          <t>Linkes Knie mit Schmerzstärke 3; Ursache der Restschmerzen nicht näher eingeordnet. Morgensteifigkeit unter 30 Minuten. Gelenkstatus TJ 0/SJ 0; im Intervall keine Schwellungen. Müdigkeit nach der Infusion.</t>
        </is>
      </c>
      <c r="Z6" s="18" t="inlineStr">
        <is>
          <t>Blinatumomab</t>
        </is>
      </c>
      <c r="AA6" s="18" t="inlineStr">
        <is>
          <t>Nicht beurteilbar</t>
        </is>
      </c>
      <c r="AB6" s="18" t="inlineStr">
        <is>
          <t>Remission</t>
        </is>
      </c>
      <c r="AC6" s="18" t="inlineStr">
        <is>
          <t>Nach zwei abgeschlossenen Blinatumomab-Zyklen Verbesserung der Schmerzen und aktuell ärztlich dokumentierte klinische Remission. Verbleibende leichte Schmerzen im linken Knie, kurze Morgensteifigkeit und Müdigkeit nach Infusion; einmalige Ibuprofen-Einnahme wegen Sakrumschmerzen. Das Ausmaß der klinischen Besserung ist nicht ausdrücklich eingeordnet.</t>
        </is>
      </c>
      <c r="AD6" s="18" t="inlineStr">
        <is>
          <t>Ansprechen Nicht beurteilbar: Schmerzverbesserung ohne ausdrücklich einordenbares Ausmaß; aktuelle Remission allein belegt keine Kategorie des Therapieansprechens.
Restschmerzen sind nicht ausdrücklich als entzündlich oder mechanisch eingeordnet.
TJC/SJC: Zählbereich nicht angegeben.
CRP: erster Messwert nach Reihenfolge; gesondertes Labordatum nicht angegeben.
„MS&lt;30´“ als dokumentierte Morgensteifigkeit unter 30 Minuten übernommen; keine ausdrückliche Verneinung.
Für DAS28 und Gelenkstatus ist kein vom ambulanten Besuch abweichendes Erhebungsdatum angegeben.
CRP-Auswahl: erster dokumentierter Messwert in der Briefreihenfolge; daraus kein genaues Labordatum abgeleitet.</t>
        </is>
      </c>
    </row>
    <row r="7" ht="165" customHeight="1">
      <c r="A7" s="13" t="n">
        <v>19</v>
      </c>
      <c r="B7" s="14" t="inlineStr">
        <is>
          <t>RA</t>
        </is>
      </c>
      <c r="C7" s="14" t="inlineStr">
        <is>
          <t>Baseline</t>
        </is>
      </c>
      <c r="D7" s="15" t="n">
        <v>45212</v>
      </c>
      <c r="E7" s="15" t="n">
        <v>45139</v>
      </c>
      <c r="F7" s="13">
        <f>IF(E7="","",E7-D7)</f>
        <v/>
      </c>
      <c r="G7" s="16" t="n">
        <v>3.7</v>
      </c>
      <c r="H7" s="14" t="inlineStr">
        <is>
          <t>nicht angegeben</t>
        </is>
      </c>
      <c r="I7" s="16" t="n">
        <v>8</v>
      </c>
      <c r="J7" s="16" t="n">
        <v>1</v>
      </c>
      <c r="K7" s="16" t="n"/>
      <c r="L7" s="16" t="n"/>
      <c r="M7" s="16" t="n"/>
      <c r="N7" s="14" t="inlineStr">
        <is>
          <t>Ja</t>
        </is>
      </c>
      <c r="O7" s="16" t="n">
        <v>7.9</v>
      </c>
      <c r="P7" s="14" t="inlineStr">
        <is>
          <t>=</t>
        </is>
      </c>
      <c r="Q7" s="14" t="inlineStr">
        <is>
          <t>mg/l</t>
        </is>
      </c>
      <c r="R7" s="16" t="n">
        <v>8</v>
      </c>
      <c r="S7" s="14" t="inlineStr">
        <is>
          <t>Baricitinib; Metamizol; Ibuprofen</t>
        </is>
      </c>
      <c r="T7" s="14" t="inlineStr">
        <is>
          <t>Schmerzen an Nacken, Sternoklavikulargelenken und PIP-Gelenken mit 30–60 Minuten Morgensteifigkeit. Druckschmerzhafte und geschwollene Gelenke bei ausgeprägter postarthritischer Gelenkdestruktion.</t>
        </is>
      </c>
      <c r="U7" s="14" t="inlineStr">
        <is>
          <t>vorhanden</t>
        </is>
      </c>
      <c r="V7" s="14" t="inlineStr">
        <is>
          <t>vorhanden</t>
        </is>
      </c>
      <c r="W7" s="14" t="inlineStr">
        <is>
          <t>vorhanden</t>
        </is>
      </c>
      <c r="X7" s="14" t="inlineStr">
        <is>
          <t>Nacken, Sternoklavikulargelenke und PIP-Gelenke.</t>
        </is>
      </c>
      <c r="Y7" s="14" t="inlineStr">
        <is>
          <t>Druckschmerz an 8 und Schwellung an 1 Gelenk, Zählbereich nicht angegeben. Ausgeprägte postarthritische Gelenkdestruktion; Morgensteifigkeit etwa 30–60 Minuten.</t>
        </is>
      </c>
      <c r="Z7" s="14" t="n"/>
      <c r="AA7" s="14" t="n"/>
      <c r="AB7" s="14" t="inlineStr">
        <is>
          <t>Gut kontrolliert</t>
        </is>
      </c>
      <c r="AC7" s="14" t="inlineStr">
        <is>
          <t>Ärztlich weitestgehend akzeptable Kontrolle unter Baricitinib und Rituximab bei verbleibenden Gelenkbeschwerden. Baricitinib wegen Gewichtszunahme und ausgeprägter Abgeschlagenheit auf 2 mg täglich reduziert. Laut Patientin kein Nutzen durch Rituximab; vorerst keine weiteren Gaben wegen fehlender Wirksamkeit, rezidivierender Infekte und zunehmenden IgG-Mangels.</t>
        </is>
      </c>
      <c r="AD7" s="14" t="inlineStr">
        <is>
          <t>Der geplante Wiedervorstellungstermin am 13.11.2023 ist kein belegter Besuch.
Laborwerte, DAS28, BSG und Gelenkzählwerte haben kein gesondertes Messdatum; das klinische Referenzdatum wurde nicht als Messdatum vorausgesetzt.
TJC und SJC ohne dokumentierten Zählbereich.
Krankheitszustand gemäß ausdrücklich weitestgehend akzeptabler Kontrolle trotz dokumentierter Restbeschwerden und Gelenkschwellung.
CRP-Auswahl: erster dokumentierter Messwert in der Briefreihenfolge; daraus kein genaues Labordatum abgeleitet.</t>
        </is>
      </c>
    </row>
    <row r="8" ht="150" customHeight="1">
      <c r="A8" s="17" t="n">
        <v>19</v>
      </c>
      <c r="B8" s="18" t="inlineStr">
        <is>
          <t>RA</t>
        </is>
      </c>
      <c r="C8" s="18" t="inlineStr">
        <is>
          <t>Follow-up</t>
        </is>
      </c>
      <c r="D8" s="19" t="n">
        <v>45600</v>
      </c>
      <c r="E8" s="19" t="n">
        <v>45713</v>
      </c>
      <c r="F8" s="17">
        <f>IF(E8="","",E8-D8)</f>
        <v/>
      </c>
      <c r="G8" s="20" t="n"/>
      <c r="H8" s="18" t="n"/>
      <c r="I8" s="20" t="n"/>
      <c r="J8" s="20" t="n"/>
      <c r="K8" s="20" t="n"/>
      <c r="L8" s="20" t="n"/>
      <c r="M8" s="20" t="n"/>
      <c r="N8" s="18" t="inlineStr">
        <is>
          <t>Ja</t>
        </is>
      </c>
      <c r="O8" s="20" t="n">
        <v>12.4</v>
      </c>
      <c r="P8" s="18" t="inlineStr">
        <is>
          <t>=</t>
        </is>
      </c>
      <c r="Q8" s="18" t="inlineStr">
        <is>
          <t>mg/l</t>
        </is>
      </c>
      <c r="R8" s="20" t="n"/>
      <c r="S8" s="18" t="inlineStr">
        <is>
          <t>Metamizol; Ibuprofen</t>
        </is>
      </c>
      <c r="T8" s="18" t="inlineStr">
        <is>
          <t>Zunehmende Polyarthralgien vor allem an MCP- und PIP-Gelenken beidseits nach infektbedingter Baricitinib-Pause. Residuelle Arthritis mit Gelenkschwellungen und etwa 20 Minuten Morgensteifigkeit.</t>
        </is>
      </c>
      <c r="U8" s="18" t="inlineStr">
        <is>
          <t>vorhanden</t>
        </is>
      </c>
      <c r="V8" s="18" t="inlineStr">
        <is>
          <t>vorhanden</t>
        </is>
      </c>
      <c r="W8" s="18" t="inlineStr">
        <is>
          <t>vorhanden</t>
        </is>
      </c>
      <c r="X8" s="18" t="inlineStr">
        <is>
          <t>MCP- und PIP-Gelenke beidseits, rechter Ellenbogen.</t>
        </is>
      </c>
      <c r="Y8" s="18" t="inlineStr">
        <is>
          <t>Schwellung MCP II beidseits sowie MCP IV–V rechts; Druckschmerz MCP II–V und PIP II–V beidseits sowie am rechten Ellenbogen. Morgensteifigkeit circa 20 Minuten.</t>
        </is>
      </c>
      <c r="Z8" s="18" t="n"/>
      <c r="AA8" s="18" t="inlineStr">
        <is>
          <t>Nicht beurteilbar</t>
        </is>
      </c>
      <c r="AB8" s="18" t="inlineStr">
        <is>
          <t>Aktiv</t>
        </is>
      </c>
      <c r="AC8" s="18" t="inlineStr">
        <is>
          <t>Nach kurzfristiger infektbedingter Baricitinib-Pause zunehmende Polyarthralgien und aktuell residuelle Arthritis. Fortsetzung von Baricitinib besprochen; kein ausreichend bestimmter klinischer Veränderungsnachweis zur Einordnung des Therapieansprechens. CRP-Erhöhung ärztlich am ehesten dem Atemwegsinfekt zugeschrieben.</t>
        </is>
      </c>
      <c r="AD8" s="18" t="inlineStr">
        <is>
          <t>Ansprechen nicht beurteilbar: Zunahme der Beschwerden während einer Therapiepause, aber keine ausreichend bestimmte klinische Besserungs- oder Versagensaussage zu Baricitinib.
CRP: erster Messwert nach Reihenfolge übernommen; spätere Nennung desselben Werts in der Beurteilung. Kein gesondertes Labordatum dokumentiert.
Keine numerischen TJC-/SJC-Gesamtwerte dokumentiert; Gelenke aus dem Freitext nicht gezählt.
CRP-Auswahl: erster dokumentierter Messwert in der Briefreihenfolge; daraus kein genaues Labordatum abgeleitet.</t>
        </is>
      </c>
    </row>
    <row r="9" ht="180" customHeight="1">
      <c r="A9" s="13" t="n">
        <v>20</v>
      </c>
      <c r="B9" s="14" t="inlineStr">
        <is>
          <t>RA</t>
        </is>
      </c>
      <c r="C9" s="14" t="inlineStr">
        <is>
          <t>Baseline</t>
        </is>
      </c>
      <c r="D9" s="15" t="n">
        <v>45173</v>
      </c>
      <c r="E9" s="15" t="n">
        <v>45173</v>
      </c>
      <c r="F9" s="13">
        <f>IF(E9="","",E9-D9)</f>
        <v/>
      </c>
      <c r="G9" s="16" t="n"/>
      <c r="H9" s="14" t="n"/>
      <c r="I9" s="16" t="n"/>
      <c r="J9" s="16" t="n">
        <v>2</v>
      </c>
      <c r="K9" s="16" t="n"/>
      <c r="L9" s="16" t="n"/>
      <c r="M9" s="16" t="n"/>
      <c r="N9" s="14" t="inlineStr">
        <is>
          <t>Ja</t>
        </is>
      </c>
      <c r="O9" s="16" t="n">
        <v>0.5</v>
      </c>
      <c r="P9" s="14" t="inlineStr">
        <is>
          <t>=</t>
        </is>
      </c>
      <c r="Q9" s="14" t="inlineStr">
        <is>
          <t>mg/l</t>
        </is>
      </c>
      <c r="R9" s="16" t="n"/>
      <c r="S9" s="14" t="inlineStr">
        <is>
          <t>Prednison; Ibuprofen</t>
        </is>
      </c>
      <c r="T9" s="14" t="inlineStr">
        <is>
          <t>Polyartikuläre Schmerzen mit Druckdolenz an Schultern, Handgelenken, rechtem Daumen und kleinen Zehen; geschwollene Zehengelenke und Morgensteifigkeit von 1–2 Stunden.</t>
        </is>
      </c>
      <c r="U9" s="14" t="inlineStr">
        <is>
          <t>vorhanden</t>
        </is>
      </c>
      <c r="V9" s="14" t="inlineStr">
        <is>
          <t>vorhanden</t>
        </is>
      </c>
      <c r="W9" s="14" t="inlineStr">
        <is>
          <t>vorhanden</t>
        </is>
      </c>
      <c r="X9" s="14" t="inlineStr">
        <is>
          <t>Schultern, Handgelenke, Knie, Sprunggelenke und kleine Zehen beidseits sowie rechter Daumen.</t>
        </is>
      </c>
      <c r="Y9" s="14" t="inlineStr">
        <is>
          <t>Am 04.09.2023 Druckschmerz beider Schultern und Handgelenke, am rechten Daumengrund- und Daumensattelgelenk sowie an den kleinen Zehen beidseits. Zwei geschwollene Gelenke an den kleinen Zehen, links stärker als rechts. Anamnestisch gelegentliche, 1–2 Wochen anhaltende Knie- und Sprunggelenkschwellungen; Morgensteifigkeit 1–2 Stunden.</t>
        </is>
      </c>
      <c r="Z9" s="14" t="n"/>
      <c r="AA9" s="14" t="n"/>
      <c r="AB9" s="14" t="inlineStr">
        <is>
          <t>Aktiv</t>
        </is>
      </c>
      <c r="AC9" s="14" t="inlineStr">
        <is>
          <t>Therapierefraktäre RA mit aktuellen polyartikulären Schmerzen und Gelenkschwellungen nach unzureichendem Ansprechen auf Filgotinib. Ibuprofen half geringfügig, Cortison sehr gut. Aufnahme zum individuellen Heilversuch mit Blinatumomab.</t>
        </is>
      </c>
      <c r="AD9" s="14" t="inlineStr">
        <is>
          <t>SJC 2 ausdrücklich im Gelenkstatus vom 04.09.2023 dokumentiert; Zählbereich nicht standardisiert angegeben, Zehengelenke eingeschlossen.
CRP: erster Messwert nach Reihenfolge aus der Aufenthaltstabelle übernommen; einzelner Messtag nicht angegeben.
Zusammenfassender Verlauf beschreibt zusätzlich multiple geschwollene Gelenke an den Händen; keine weitere numerische Gelenkzählung.
Diagnosen nennen seropositive RA, der Verlauf abweichend seronegative RA.
CRP-Auswahl: erster dokumentierter Messwert in der Briefreihenfolge; daraus kein genaues Labordatum abgeleitet.</t>
        </is>
      </c>
    </row>
    <row r="10" ht="165" customHeight="1">
      <c r="A10" s="17" t="n">
        <v>20</v>
      </c>
      <c r="B10" s="18" t="inlineStr">
        <is>
          <t>RA</t>
        </is>
      </c>
      <c r="C10" s="18" t="inlineStr">
        <is>
          <t>Follow-up</t>
        </is>
      </c>
      <c r="D10" s="19" t="n">
        <v>45341</v>
      </c>
      <c r="E10" s="19" t="n">
        <v>45365</v>
      </c>
      <c r="F10" s="17">
        <f>IF(E10="","",E10-D10)</f>
        <v/>
      </c>
      <c r="G10" s="20" t="n"/>
      <c r="H10" s="18" t="n"/>
      <c r="I10" s="20" t="n">
        <v>3</v>
      </c>
      <c r="J10" s="20" t="n">
        <v>0</v>
      </c>
      <c r="K10" s="20" t="n"/>
      <c r="L10" s="20" t="n"/>
      <c r="M10" s="20" t="n"/>
      <c r="N10" s="18" t="inlineStr">
        <is>
          <t>Ja</t>
        </is>
      </c>
      <c r="O10" s="20" t="n">
        <v>6</v>
      </c>
      <c r="P10" s="18" t="inlineStr">
        <is>
          <t>=</t>
        </is>
      </c>
      <c r="Q10" s="18" t="inlineStr">
        <is>
          <t>mg/l</t>
        </is>
      </c>
      <c r="R10" s="20" t="n">
        <v>16</v>
      </c>
      <c r="S10" s="18" t="inlineStr">
        <is>
          <t>Abatacept; Prednisolon</t>
        </is>
      </c>
      <c r="T10" s="18" t="inlineStr">
        <is>
          <t>Persistierende Schmerzen an Schultern, Handgelenken und Fußgelenken mit zweistündiger Morgensteifigkeit; Schulterbewegungen beidseits schmerzhaft.</t>
        </is>
      </c>
      <c r="U10" s="18" t="inlineStr">
        <is>
          <t>vorhanden</t>
        </is>
      </c>
      <c r="V10" s="18" t="inlineStr">
        <is>
          <t>unklar</t>
        </is>
      </c>
      <c r="W10" s="18" t="inlineStr">
        <is>
          <t>vorhanden</t>
        </is>
      </c>
      <c r="X10" s="18" t="inlineStr">
        <is>
          <t>Schultern und Handgelenke beidseits sowie Fußgelenke.</t>
        </is>
      </c>
      <c r="Y10" s="18" t="inlineStr">
        <is>
          <t>Arthritis beider Handgelenke und schmerzhafte Schulterbewegungen beidseits beschrieben; zugleich TJC 3, SJC 0 und Arthritis (-) dokumentiert. Morgensteifigkeit zwei Stunden; Enthesitis und Daktylitis verneint.</t>
        </is>
      </c>
      <c r="Z10" s="18" t="inlineStr">
        <is>
          <t>Blinatumomab</t>
        </is>
      </c>
      <c r="AA10" s="18" t="inlineStr">
        <is>
          <t>Keines</t>
        </is>
      </c>
      <c r="AB10" s="18" t="inlineStr">
        <is>
          <t>Aktiv</t>
        </is>
      </c>
      <c r="AC10" s="18" t="inlineStr">
        <is>
          <t>Kein klinischer Nutzen des abgeschlossenen Blinatumomab-Heilversuchs. Unter Abatacept und Prednisolon weiterhin aktive RA mit Gelenkschmerzen und Morgensteifigkeit. Additives Leflunomid und Steroidreduktion empfohlen; bei fortbestehender Aktivität möglicher Wechsel von Abatacept auf Rituximab.</t>
        </is>
      </c>
      <c r="AD10" s="18" t="inlineStr">
        <is>
          <t>Widersprüchlicher Gelenkstatus: Arthritis beider Handgelenke gegenüber SJC 0 und Arthritis (-); Synovitis/Gelenkschwellung daher unklar. Explizite numerische Werte TJC 3 und SJC 0 übernommen; Zählbereich nicht angegeben.
CRP und BSG ohne eigenständiges Messdatum dokumentiert; keine automatische Zuordnung zum klinischen Referenztermin.
Keines bezieht sich ausschließlich auf den abgeschlossenen Blinatumomab-Heilversuch. Für Abatacept wird aus fortbestehender Aktivität kein endgültiges Therapieversagen abgeleitet.
CRP-Auswahl: erster dokumentierter Messwert in der Briefreihenfolge; daraus kein genaues Labordatum abgeleitet.</t>
        </is>
      </c>
    </row>
    <row r="11" ht="180" customHeight="1">
      <c r="A11" s="13" t="n">
        <v>21</v>
      </c>
      <c r="B11" s="14" t="inlineStr">
        <is>
          <t>RA</t>
        </is>
      </c>
      <c r="C11" s="14" t="inlineStr">
        <is>
          <t>Baseline</t>
        </is>
      </c>
      <c r="D11" s="15" t="n">
        <v>45149</v>
      </c>
      <c r="E11" s="15" t="n">
        <v>45161</v>
      </c>
      <c r="F11" s="13">
        <f>IF(E11="","",E11-D11)</f>
        <v/>
      </c>
      <c r="G11" s="16" t="n"/>
      <c r="H11" s="14" t="n"/>
      <c r="I11" s="16" t="n"/>
      <c r="J11" s="16" t="n"/>
      <c r="K11" s="16" t="n"/>
      <c r="L11" s="16" t="n"/>
      <c r="M11" s="16" t="n"/>
      <c r="N11" s="14" t="inlineStr">
        <is>
          <t>Ja</t>
        </is>
      </c>
      <c r="O11" s="16" t="n">
        <v>5.2</v>
      </c>
      <c r="P11" s="14" t="inlineStr">
        <is>
          <t>&lt;</t>
        </is>
      </c>
      <c r="Q11" s="14" t="inlineStr">
        <is>
          <t>mg/l</t>
        </is>
      </c>
      <c r="R11" s="16" t="n">
        <v>1</v>
      </c>
      <c r="S11" s="14" t="inlineStr">
        <is>
          <t>Prednisolon; Diclofenac</t>
        </is>
      </c>
      <c r="T11" s="14" t="inlineStr">
        <is>
          <t>Schmerzen beider Handgelenke und Schultern mit zwei bis drei Stunden Morgensteifigkeit. Anamnestisch Handgelenkschwellungen; im körperlichen Befund Druckschmerz ohne Schwellung.</t>
        </is>
      </c>
      <c r="U11" s="14" t="inlineStr">
        <is>
          <t>vorhanden</t>
        </is>
      </c>
      <c r="V11" s="14" t="inlineStr">
        <is>
          <t>unklar</t>
        </is>
      </c>
      <c r="W11" s="14" t="inlineStr">
        <is>
          <t>vorhanden</t>
        </is>
      </c>
      <c r="X11" s="14" t="inlineStr">
        <is>
          <t>Handgelenke und Schultern beidseits.</t>
        </is>
      </c>
      <c r="Y11" s="14" t="inlineStr">
        <is>
          <t>Druckschmerz beider Handgelenke ohne Schwellung sowie beider Schultern. Anamnestisch seit Januar 2023 Schmerzen und Schwellungen beider Handgelenke; Morgensteifigkeit etwa zwei bis drei Stunden. Sonographisch am 12.07.2023 beidseitige Handgelenkarthritis unter Prednisolon.</t>
        </is>
      </c>
      <c r="Z11" s="14" t="n"/>
      <c r="AA11" s="14" t="n"/>
      <c r="AB11" s="14" t="inlineStr">
        <is>
          <t>Aktiv</t>
        </is>
      </c>
      <c r="AC11" s="14" t="inlineStr">
        <is>
          <t>Seit Januar 2023 Handgelenkbeschwerden und Schulterschmerzen; Linderung unter NSAR und deutliche Beschwerdebesserung unter Prednisolon. Dennoch persistierende synovitische Veränderungen beider Handgelenke unter Prednisolon; Beginn von Methotrexat und schrittweises Ausschleichen von Prednisolon empfohlen.</t>
        </is>
      </c>
      <c r="AD11" s="14" t="inlineStr">
        <is>
          <t>Referenztermin 23.08.2023: 12 Tage nach dem Scan; die weitere Vorstellung am 12.07.2023 lag 30 Tage davor.
Anamnese, körperlicher Gelenkbefund, CRP und BKS sind innerhalb des zusammenfassenden Briefes keinem einzelnen Vorstellungstag eindeutig zugeordnet.
Schwellungsstatus uneinheitlich: anamnestische Schwellungen, körperlich keine Handgelenkschwellung; sonographisch Arthritis am 12.07.2023. Daher kombinierte Statusspalte unklar.
CRP: erster numerischer Messwert nach Reihenfolge, &lt;5,2 mg/l; kein Messdatum angegeben. Die vorherige Diagnoseangabe „erhöhte CRP-Werte“ ist undatiert.
BSG gemäß Studienkonvention aus BKS: 1 übernommen.</t>
        </is>
      </c>
    </row>
    <row r="12" ht="165" customHeight="1">
      <c r="A12" s="17" t="n">
        <v>21</v>
      </c>
      <c r="B12" s="18" t="inlineStr">
        <is>
          <t>RA</t>
        </is>
      </c>
      <c r="C12" s="18" t="inlineStr">
        <is>
          <t>Follow-up</t>
        </is>
      </c>
      <c r="D12" s="19" t="n">
        <v>45457</v>
      </c>
      <c r="E12" s="19" t="n">
        <v>45470</v>
      </c>
      <c r="F12" s="17">
        <f>IF(E12="","",E12-D12)</f>
        <v/>
      </c>
      <c r="G12" s="20" t="n"/>
      <c r="H12" s="18" t="n"/>
      <c r="I12" s="20" t="n">
        <v>12</v>
      </c>
      <c r="J12" s="20" t="n">
        <v>1</v>
      </c>
      <c r="K12" s="20" t="n"/>
      <c r="L12" s="20" t="n"/>
      <c r="M12" s="20" t="n"/>
      <c r="N12" s="18" t="inlineStr">
        <is>
          <t>Ja</t>
        </is>
      </c>
      <c r="O12" s="20" t="n">
        <v>5.4</v>
      </c>
      <c r="P12" s="18" t="inlineStr">
        <is>
          <t>&lt;</t>
        </is>
      </c>
      <c r="Q12" s="18" t="inlineStr">
        <is>
          <t>mg/l</t>
        </is>
      </c>
      <c r="R12" s="20" t="n"/>
      <c r="S12" s="18" t="inlineStr">
        <is>
          <t>Naproxen</t>
        </is>
      </c>
      <c r="T12" s="18" t="inlineStr">
        <is>
          <t>Unveränderte Arthralgien und Schwellungen mehrerer Gelenke, aktuell Finger- und Handgelenkbeschwerden mit etwa drei Stunden Morgensteifigkeit.</t>
        </is>
      </c>
      <c r="U12" s="18" t="inlineStr">
        <is>
          <t>vorhanden</t>
        </is>
      </c>
      <c r="V12" s="18" t="inlineStr">
        <is>
          <t>vorhanden</t>
        </is>
      </c>
      <c r="W12" s="18" t="inlineStr">
        <is>
          <t>vorhanden</t>
        </is>
      </c>
      <c r="X12" s="18" t="inlineStr">
        <is>
          <t>Finger- und Handgelenke; Seiten nicht angegeben.</t>
        </is>
      </c>
      <c r="Y12" s="18" t="inlineStr">
        <is>
          <t>TJC 12, SJC 1 und VAS 6/10; Zählbereich und Lokalisation des geschwollenen Gelenks nicht angegeben. Morgensteifigkeit etwa drei Stunden.</t>
        </is>
      </c>
      <c r="Z12" s="18" t="inlineStr">
        <is>
          <t>Abatacept</t>
        </is>
      </c>
      <c r="AA12" s="18" t="inlineStr">
        <is>
          <t>Keines</t>
        </is>
      </c>
      <c r="AB12" s="18" t="inlineStr">
        <is>
          <t>Aktiv</t>
        </is>
      </c>
      <c r="AC12" s="18" t="inlineStr">
        <is>
          <t>Unter Abatacept seit März 2024 unveränderte Beschwerden mit fortbestehenden Arthralgien und Schwellungen; im Juni wegen Unwirksamkeit abgesetzt. Klinisch weiterhin aktive Grunderkrankung, Umstellung auf Tocilizumab empfohlen. Bildgebende Rückgänge belegen keine klinische Besserung.</t>
        </is>
      </c>
      <c r="AD12" s="18" t="inlineStr">
        <is>
          <t>TJC und SJC im Untersuchungsbefund der Vorstellung am 27.06.2024; Zählbereich nicht angegeben.
CRP: erster numerischer Messwert nach Reihenfolge, &lt;5,4 mg/l; kein Messdatum angegeben. Die vorherige Diagnoseangabe „erhöhte CRP-Werte“ ist undatiert.
Ansprechen bezieht sich auf das wegen Unwirksamkeit beendete Abatacept; für das empfohlene Tocilizumab liegt keine Wirksamkeitsbeurteilung vor.
MRT-Seitenangabe im Verlauf widersprüchlich: dort links, im eigentlichen MRT-Befund rechts. Keine klinische Seitenzuordnung daraus übernommen.</t>
        </is>
      </c>
    </row>
    <row r="13" ht="150" customHeight="1">
      <c r="A13" s="13" t="n">
        <v>22</v>
      </c>
      <c r="B13" s="14" t="inlineStr">
        <is>
          <t>RA</t>
        </is>
      </c>
      <c r="C13" s="14" t="inlineStr">
        <is>
          <t>Baseline</t>
        </is>
      </c>
      <c r="D13" s="15" t="n">
        <v>45103</v>
      </c>
      <c r="E13" s="15" t="n">
        <v>45103</v>
      </c>
      <c r="F13" s="13">
        <f>IF(E13="","",E13-D13)</f>
        <v/>
      </c>
      <c r="G13" s="16" t="n"/>
      <c r="H13" s="14" t="n"/>
      <c r="I13" s="16" t="n"/>
      <c r="J13" s="16" t="n"/>
      <c r="K13" s="16" t="n"/>
      <c r="L13" s="16" t="n"/>
      <c r="M13" s="16" t="n"/>
      <c r="N13" s="14" t="inlineStr">
        <is>
          <t>Ja</t>
        </is>
      </c>
      <c r="O13" s="16" t="n">
        <v>24.7</v>
      </c>
      <c r="P13" s="14" t="inlineStr">
        <is>
          <t>=</t>
        </is>
      </c>
      <c r="Q13" s="14" t="inlineStr">
        <is>
          <t>mg/l</t>
        </is>
      </c>
      <c r="R13" s="16" t="n"/>
      <c r="S13" s="14" t="inlineStr">
        <is>
          <t>Methotrexat; Prednisolon; Diclofenac; Etoricoxib</t>
        </is>
      </c>
      <c r="T13" s="14" t="inlineStr">
        <is>
          <t>Schmerzhafte und geschwollene Hand- und Fingergelenke beidseits sowie Gelenkschwellungen an beiden Füßen; Morgensteifigkeit von 30–60 Minuten.</t>
        </is>
      </c>
      <c r="U13" s="14" t="inlineStr">
        <is>
          <t>vorhanden</t>
        </is>
      </c>
      <c r="V13" s="14" t="inlineStr">
        <is>
          <t>vorhanden</t>
        </is>
      </c>
      <c r="W13" s="14" t="inlineStr">
        <is>
          <t>vorhanden</t>
        </is>
      </c>
      <c r="X13" s="14" t="inlineStr">
        <is>
          <t>Handgelenke, MCP- und PIP-Gelenke der Hände und Füße beidseits.</t>
        </is>
      </c>
      <c r="Y13" s="14" t="inlineStr">
        <is>
          <t>Druckdolenz und Schwellung der Handgelenke sowie MCP- und PIP-Gelenke beider Hände mit Ulnardeviation; Schwellung der im Brief als MCP und PIP bezeichneten Fußgelenke beidseits. Morgensteifigkeit 30–60 Minuten. Stark eingeschränkte HWS-Beweglichkeit nach operativer Versteifung.</t>
        </is>
      </c>
      <c r="Z13" s="14" t="n"/>
      <c r="AA13" s="14" t="n"/>
      <c r="AB13" s="14" t="inlineStr">
        <is>
          <t>Aktiv</t>
        </is>
      </c>
      <c r="AC13" s="14" t="inlineStr">
        <is>
          <t>Therapierefraktäre RA mit unzureichender Besserung unter Adalimumab und multiplen geschwollenen, druckdolenten Gelenken bei Aufnahme. Erstgabe von Blinatumomab über fünf Tage; Zweitgabe geplant. Ein späterer Pathologiebefund erwähnt einen klinisch verbesserten Befund ohne näher bezeichnetes Ausmaß.</t>
        </is>
      </c>
      <c r="AD13" s="14" t="inlineStr">
        <is>
          <t>CRP: erster Messwert nach Reihenfolge, 24,7 mg/l; später 8,1 mg/l. Einzelnes Labordatum innerhalb des Aufenthalts vom 26.06.–01.07.2023 nicht angegeben.
Die Fußgelenke werden im Original als MCP und PIP bezeichnet; keine anatomische Umdeutung vorgenommen.
Der Pathologiebefund vom 06.07.2023 erwähnt einen klinisch verbesserten Befund ohne eindeutigen klinischen Untersuchungstag oder einordenbares Besserungsausmaß.
CRP-Auswahl: erster dokumentierter Messwert in der Briefreihenfolge; daraus kein genaues Labordatum abgeleitet.</t>
        </is>
      </c>
    </row>
    <row r="14" ht="165" customHeight="1">
      <c r="A14" s="17" t="n">
        <v>22</v>
      </c>
      <c r="B14" s="18" t="inlineStr">
        <is>
          <t>RA</t>
        </is>
      </c>
      <c r="C14" s="18" t="inlineStr">
        <is>
          <t>Follow-up</t>
        </is>
      </c>
      <c r="D14" s="19" t="n">
        <v>45215</v>
      </c>
      <c r="E14" s="19" t="n">
        <v>45230</v>
      </c>
      <c r="F14" s="17">
        <f>IF(E14="","",E14-D14)</f>
        <v/>
      </c>
      <c r="G14" s="20" t="n"/>
      <c r="H14" s="18" t="n"/>
      <c r="I14" s="20" t="n">
        <v>4</v>
      </c>
      <c r="J14" s="20" t="n">
        <v>6</v>
      </c>
      <c r="K14" s="20" t="n"/>
      <c r="L14" s="20" t="n"/>
      <c r="M14" s="20" t="n"/>
      <c r="N14" s="18" t="inlineStr">
        <is>
          <t>Ja</t>
        </is>
      </c>
      <c r="O14" s="20" t="n">
        <v>11.5</v>
      </c>
      <c r="P14" s="18" t="inlineStr">
        <is>
          <t>=</t>
        </is>
      </c>
      <c r="Q14" s="18" t="inlineStr">
        <is>
          <t>mg/l</t>
        </is>
      </c>
      <c r="R14" s="20" t="n"/>
      <c r="S14" s="18" t="inlineStr">
        <is>
          <t>Abatacept; Methotrexat</t>
        </is>
      </c>
      <c r="T14" s="18" t="inlineStr">
        <is>
          <t>Vier druckschmerzhafte und sechs geschwollene Gelenke bei mäßiggradiger Aktivität der therapierefraktären RA.</t>
        </is>
      </c>
      <c r="U14" s="18" t="inlineStr">
        <is>
          <t>vorhanden</t>
        </is>
      </c>
      <c r="V14" s="18" t="inlineStr">
        <is>
          <t>vorhanden</t>
        </is>
      </c>
      <c r="W14" s="18" t="inlineStr">
        <is>
          <t>nicht erwähnt</t>
        </is>
      </c>
      <c r="X14" s="18" t="n"/>
      <c r="Y14" s="18" t="inlineStr">
        <is>
          <t>Sechs geschwollene und vier druckschmerzhafte Gelenke; Lokalisation und Zählbereich nicht angegeben.</t>
        </is>
      </c>
      <c r="Z14" s="18" t="n"/>
      <c r="AA14" s="18" t="inlineStr">
        <is>
          <t>Nicht beurteilbar</t>
        </is>
      </c>
      <c r="AB14" s="18" t="inlineStr">
        <is>
          <t>Aktiv</t>
        </is>
      </c>
      <c r="AC14" s="18" t="inlineStr">
        <is>
          <t>Nach abgeschlossener Blinatumomab-Therapie weiterhin mäßiggradige Krankheitsaktivität. Laufende Therapie mit Abatacept und Methotrexat soll fortgeführt werden; eine konkrete klinische Veränderung unter einer der Therapien wird nicht beschrieben.</t>
        </is>
      </c>
      <c r="AD14" s="18" t="inlineStr">
        <is>
          <t>Von den belegten Besuchen am 31.10.2023, 14.12.2023 und 22.01.2024 liegt der 31.10.2023 dem Scan am 16.10.2023 am nächsten.
TJC 4 und SJC 6 sind ausdrücklich dokumentierte Einzelwerte; Zuordnung zu einem der drei Besuche unklar. Zählbereich nicht angegeben, insbesondere kein belegter TJC28/SJC28.
CRP: erster Messwert nach Reihenfolge, 11,5 mg/l im Fließtext; später im Laborabschnitt erneut 11,5 mg/l. Messdatum nicht angegeben.
Ansprechen nicht beurteilbar: keine konkrete klinische Veränderung oder ausdrückliche Nutzenbewertung für Blinatumomab beziehungsweise Abatacept und Methotrexat dokumentiert.</t>
        </is>
      </c>
    </row>
    <row r="15" ht="90" customHeight="1">
      <c r="A15" s="13" t="n">
        <v>23</v>
      </c>
      <c r="B15" s="14" t="inlineStr">
        <is>
          <t>RA</t>
        </is>
      </c>
      <c r="C15" s="14" t="inlineStr">
        <is>
          <t>Baseline</t>
        </is>
      </c>
      <c r="D15" s="15" t="n">
        <v>45096</v>
      </c>
      <c r="E15" s="15" t="n">
        <v>45096</v>
      </c>
      <c r="F15" s="13">
        <f>IF(E15="","",E15-D15)</f>
        <v/>
      </c>
      <c r="G15" s="16" t="n"/>
      <c r="H15" s="14" t="n"/>
      <c r="I15" s="16" t="n"/>
      <c r="J15" s="16" t="n"/>
      <c r="K15" s="16" t="n"/>
      <c r="L15" s="16" t="n"/>
      <c r="M15" s="16" t="n"/>
      <c r="N15" s="14" t="inlineStr">
        <is>
          <t>Ja</t>
        </is>
      </c>
      <c r="O15" s="16" t="n">
        <v>13.2</v>
      </c>
      <c r="P15" s="14" t="inlineStr">
        <is>
          <t>=</t>
        </is>
      </c>
      <c r="Q15" s="14" t="inlineStr">
        <is>
          <t>mg/l</t>
        </is>
      </c>
      <c r="R15" s="16" t="n"/>
      <c r="S15" s="14" t="inlineStr">
        <is>
          <t>Methotrexat; Metamizol</t>
        </is>
      </c>
      <c r="T15" s="14" t="inlineStr">
        <is>
          <t>Polyartikuläre Schmerzen und Schwellungen mit Gelenksteifigkeit sowie Sensibilitätsstörungen beim Greifen.</t>
        </is>
      </c>
      <c r="U15" s="14" t="inlineStr">
        <is>
          <t>vorhanden</t>
        </is>
      </c>
      <c r="V15" s="14" t="inlineStr">
        <is>
          <t>vorhanden</t>
        </is>
      </c>
      <c r="W15" s="14" t="inlineStr">
        <is>
          <t>vorhanden</t>
        </is>
      </c>
      <c r="X15" s="14" t="inlineStr">
        <is>
          <t>PIP, MCP II/III, Handgelenke, Schultern, Knie und Sprunggelenke beidseits; Knie linksbetont, zusätzlich Ellenbogen.</t>
        </is>
      </c>
      <c r="Y15" s="14" t="inlineStr">
        <is>
          <t>Multiple druckschmerzhafte und geschwollene Gelenke; Morgensteifigkeit 30–60 Minuten. Sensibilitätsstörungen beim Greifen.</t>
        </is>
      </c>
      <c r="Z15" s="14" t="n"/>
      <c r="AA15" s="14" t="n"/>
      <c r="AB15" s="14" t="inlineStr">
        <is>
          <t>Aktiv</t>
        </is>
      </c>
      <c r="AC15" s="14" t="inlineStr">
        <is>
          <t>Therapierefraktäre aktive Polyarthritis ohne durchschlagenden Effekt der bisherigen Therapie. Adalimumab seit drei Wochen pausiert, Methotrexat fortgeführt. Erste Blinatumomabgabe mit vorübergehender technischer Unterbrechung durchgeführt und gut vertragen; zweite Gabe geplant.</t>
        </is>
      </c>
      <c r="AD15" s="14" t="inlineStr">
        <is>
          <t>CRP aus der stationären Episode 19.–26.06.2023; einzelner Messtag nicht angegeben. Erster Messwert nach Reihenfolge.
Zusammenfassende Gelenkangaben gehören zur stationären Episode; nicht alle sind ausdrücklich dem 19.06.2023 zugeordnet.
CRP-Auswahl: erster dokumentierter Messwert in der Briefreihenfolge; daraus kein genaues Labordatum abgeleitet.</t>
        </is>
      </c>
    </row>
    <row r="16" ht="360" customHeight="1">
      <c r="A16" s="17" t="n">
        <v>23</v>
      </c>
      <c r="B16" s="18" t="inlineStr">
        <is>
          <t>RA</t>
        </is>
      </c>
      <c r="C16" s="18" t="inlineStr">
        <is>
          <t>Follow-up</t>
        </is>
      </c>
      <c r="D16" s="19" t="n">
        <v>45201</v>
      </c>
      <c r="E16" s="19" t="n">
        <v>45309</v>
      </c>
      <c r="F16" s="17">
        <f>IF(E16="","",E16-D16)</f>
        <v/>
      </c>
      <c r="G16" s="20" t="n">
        <v>2.54</v>
      </c>
      <c r="H16" s="18" t="inlineStr">
        <is>
          <t>BSG</t>
        </is>
      </c>
      <c r="I16" s="20" t="n">
        <v>0</v>
      </c>
      <c r="J16" s="20" t="n">
        <v>0</v>
      </c>
      <c r="K16" s="20" t="n"/>
      <c r="L16" s="20" t="n"/>
      <c r="M16" s="20" t="n"/>
      <c r="N16" s="18" t="inlineStr">
        <is>
          <t>Ja</t>
        </is>
      </c>
      <c r="O16" s="20" t="n">
        <v>5.9</v>
      </c>
      <c r="P16" s="18" t="inlineStr">
        <is>
          <t>=</t>
        </is>
      </c>
      <c r="Q16" s="18" t="inlineStr">
        <is>
          <t>mg/l</t>
        </is>
      </c>
      <c r="R16" s="20" t="n"/>
      <c r="S16" s="18" t="inlineStr">
        <is>
          <t>Methotrexat</t>
        </is>
      </c>
      <c r="T16" s="18" t="inlineStr">
        <is>
          <t>Im Januar keine Gelenkschmerzen, Schwellungen oder RA-Schübe. Im April vorübergehend Schmerzen am rechten Handgelenk und linken Knie sowie Taubheitsgefühl der Fingerspitzen, bei weiterhin unauffälligem Gelenkzählbefund.</t>
        </is>
      </c>
      <c r="U16" s="18" t="inlineStr">
        <is>
          <t>vorhanden</t>
        </is>
      </c>
      <c r="V16" s="18" t="inlineStr">
        <is>
          <t>verneint</t>
        </is>
      </c>
      <c r="W16" s="18" t="inlineStr">
        <is>
          <t>verneint</t>
        </is>
      </c>
      <c r="X16" s="18" t="inlineStr">
        <is>
          <t>Vorübergehend rechtes Handgelenk und linkes Knie; Fingerspitzen mit Taubheitsgefühl.</t>
        </is>
      </c>
      <c r="Y16" s="18" t="inlineStr">
        <is>
          <t>TJ und SJ jeweils 0 im Januar und April, Zählbereich nicht angegeben. Januar: Morgensteifigkeit einerseits verneint, andererseits mit 1–2 Minuten angegeben; April: 0 Sekunden. Früher leichte Handsteifigkeit und Schwanenhalsdeformitäten beider Hände.</t>
        </is>
      </c>
      <c r="Z16" s="18" t="inlineStr">
        <is>
          <t>Blinatumomab mit Methotrexat</t>
        </is>
      </c>
      <c r="AA16" s="18" t="inlineStr">
        <is>
          <t>Deutlich</t>
        </is>
      </c>
      <c r="AB16" s="18" t="inlineStr">
        <is>
          <t>Remission</t>
        </is>
      </c>
      <c r="AC16" s="18" t="inlineStr">
        <is>
          <t>Nach Blinatumomab unter begleitendem Methotrexat Rückbildung der früheren Gelenkschmerzen bis zur Schmerzfreiheit ohne Einschränkungen beim Wandern; leichte Handsteifigkeit verblieb zunächst. Im Januar keine Schübe, im April kurzzeitige Gelenkschmerzen mit rascher Besserung nach einmaligem Ibuprofen. Klinische Remission dokumentiert, Methotrexat fortgeführt.</t>
        </is>
      </c>
      <c r="AD16" s="18" t="inlineStr">
        <is>
          <t>Referenztermin 18.01.2024 als scan-nächster eindeutig datierter Besuch gewählt; 18.04.2024 liegt weiter vom Scan entfernt. Der 14.07.2023 ist nur als Entlassungstag dokumentiert, der 15.08.2023 lediglich geplant.
DAS28-ESR 2,54 stammt aus der im Follow-up-Brief enthaltenen Vorgeschichte zur zweiten Blinatumomabgabe im Juli 2023; genauer Untersuchungstag unklar, kein aktueller Januar- oder Aprilwert.
TJC/SJC jeweils 0 aus dem Januarabschnitt; Zählbereich nicht angegeben. Im April ebenfalls jeweils 0 dokumentiert.
CRP vom 18.01.2024: erster Messwert nach Reihenfolge, vor dem späteren Wert vom 18.04.2024 ausgewählt.
Morgensteifigkeit im Januar widersprüchlich als fehlend und mit 1–2 Minuten angegeben; im April ausdrücklich 0 Sekunden.
Periphere Gelenkbeschwerden als vorhanden wegen der im April berichteten vorübergehenden Schmerzen; im Januar verneint. Keine gesicherte entzündliche Ursache der Aprilbeschwerden dokumentiert.
Deutliches Ansprechen bezieht sich auf die in der Vorgeschichte beschriebene klinische Rückbildung unter Blinatumomab mit Methotrexat, nicht auf eine erneute Infusionsbehandlung im Jahr 2024.
CRP-Auswahl: erster dokumentierter Messwert in der Briefreihenfolge; daraus kein genaues Labordatum abgeleitet.</t>
        </is>
      </c>
    </row>
    <row r="17" ht="150" customHeight="1">
      <c r="A17" s="13" t="n">
        <v>24</v>
      </c>
      <c r="B17" s="14" t="inlineStr">
        <is>
          <t>RA</t>
        </is>
      </c>
      <c r="C17" s="14" t="inlineStr">
        <is>
          <t>Baseline</t>
        </is>
      </c>
      <c r="D17" s="15" t="n">
        <v>45033</v>
      </c>
      <c r="E17" s="15" t="n">
        <v>45040</v>
      </c>
      <c r="F17" s="13">
        <f>IF(E17="","",E17-D17)</f>
        <v/>
      </c>
      <c r="G17" s="16" t="n"/>
      <c r="H17" s="14" t="n"/>
      <c r="I17" s="16" t="n"/>
      <c r="J17" s="16" t="n"/>
      <c r="K17" s="16" t="n"/>
      <c r="L17" s="16" t="n"/>
      <c r="M17" s="16" t="n"/>
      <c r="N17" s="14" t="inlineStr">
        <is>
          <t>Ja</t>
        </is>
      </c>
      <c r="O17" s="16" t="n">
        <v>3.6</v>
      </c>
      <c r="P17" s="14" t="inlineStr">
        <is>
          <t>=</t>
        </is>
      </c>
      <c r="Q17" s="14" t="inlineStr">
        <is>
          <t>mg/l</t>
        </is>
      </c>
      <c r="R17" s="16" t="n"/>
      <c r="S17" s="14" t="n"/>
      <c r="T17" s="14" t="inlineStr">
        <is>
          <t>Zunehmende polyartikuläre Schmerzen mit druckdolenten Schwellungen und ausgeprägter Morgensteifigkeit der Hände über 3–4 Stunden.</t>
        </is>
      </c>
      <c r="U17" s="14" t="inlineStr">
        <is>
          <t>vorhanden</t>
        </is>
      </c>
      <c r="V17" s="14" t="inlineStr">
        <is>
          <t>vorhanden</t>
        </is>
      </c>
      <c r="W17" s="14" t="inlineStr">
        <is>
          <t>vorhanden</t>
        </is>
      </c>
      <c r="X17" s="14" t="inlineStr">
        <is>
          <t>Hände und Finger, Schultern, Knie, Sprung- und Fußgelenke beidseits sowie sämtliche Zehen.</t>
        </is>
      </c>
      <c r="Y17" s="14" t="inlineStr">
        <is>
          <t>Am 24.04.2023 Druckdolenz und Schwellung beider Handgelenke, MCP2/3 und Daumengrundgelenke beidseits, beider Schultern, Knie rechts stärker als links sowie beider OSG und Fußgelenke. Anamnestisch Morgensteifigkeit der Finger über 3–4 Stunden.</t>
        </is>
      </c>
      <c r="Z17" s="14" t="n"/>
      <c r="AA17" s="14" t="n"/>
      <c r="AB17" s="14" t="inlineStr">
        <is>
          <t>Aktiv</t>
        </is>
      </c>
      <c r="AC17" s="14" t="inlineStr">
        <is>
          <t>Unter Filgotinib zunächst mäßige Hilfe, seit Januar 2023 zunehmender Wirkverlust mit Schmerzen wie bei Erstdiagnose. Filgotinib und Methotrexat vor Aufnahme abgesetzt; bei aktiver therapierefraktärer RA erster fünftägiger Blinatumomabzyklus, weiterer Zyklus geplant.</t>
        </is>
      </c>
      <c r="AD17" s="14" t="inlineStr">
        <is>
          <t>CRP: erster Messwert nach Reihenfolge; Aufenthalt 24.–29.04.2023, einzelner Messtag nicht angegeben. Letzter Wert 18,9 mg/l, Maximum 67,2 mg/l; vorübergehender Anstieg laut Brief am ehesten im Rahmen eines Cytokine-Release-Syndroms.
Für den geplanten zweiten Therapiezyklus stehen im Verlauf 08.05.2023 und in der Therapieempfehlung abweichend 08.05.2020.
Keine laufende rheumatologische Dauermedikation bei Entlassung aufgeführt.
CRP-Auswahl: erster dokumentierter Messwert in der Briefreihenfolge; daraus kein genaues Labordatum abgeleitet.</t>
        </is>
      </c>
    </row>
    <row r="18" ht="255" customHeight="1">
      <c r="A18" s="17" t="n">
        <v>24</v>
      </c>
      <c r="B18" s="18" t="inlineStr">
        <is>
          <t>RA</t>
        </is>
      </c>
      <c r="C18" s="18" t="inlineStr">
        <is>
          <t>Follow-up</t>
        </is>
      </c>
      <c r="D18" s="19" t="n">
        <v>45114</v>
      </c>
      <c r="E18" s="19" t="n">
        <v>45124</v>
      </c>
      <c r="F18" s="17">
        <f>IF(E18="","",E18-D18)</f>
        <v/>
      </c>
      <c r="G18" s="20" t="n"/>
      <c r="H18" s="18" t="n"/>
      <c r="I18" s="20" t="n"/>
      <c r="J18" s="20" t="n"/>
      <c r="K18" s="20" t="n"/>
      <c r="L18" s="20" t="n"/>
      <c r="M18" s="20" t="n"/>
      <c r="N18" s="18" t="inlineStr">
        <is>
          <t>Ja</t>
        </is>
      </c>
      <c r="O18" s="20" t="n">
        <v>7.1</v>
      </c>
      <c r="P18" s="18" t="inlineStr">
        <is>
          <t>=</t>
        </is>
      </c>
      <c r="Q18" s="18" t="inlineStr">
        <is>
          <t>mg/l</t>
        </is>
      </c>
      <c r="R18" s="20" t="n"/>
      <c r="S18" s="18" t="n"/>
      <c r="T18" s="18" t="inlineStr">
        <is>
          <t>Leicht gebesserte Gelenkschmerzen mit NRS 4/10 bei weiterhin druckdolenten Schwellungen vor allem an Händen und Fingern sowie Morgensteifigkeit über 3–4 Stunden.</t>
        </is>
      </c>
      <c r="U18" s="18" t="inlineStr">
        <is>
          <t>vorhanden</t>
        </is>
      </c>
      <c r="V18" s="18" t="inlineStr">
        <is>
          <t>vorhanden</t>
        </is>
      </c>
      <c r="W18" s="18" t="inlineStr">
        <is>
          <t>vorhanden</t>
        </is>
      </c>
      <c r="X18" s="18" t="inlineStr">
        <is>
          <t>Hand- und Fingergelenke, Schultern und Sprunggelenke beidseits sowie rechtes Knie.</t>
        </is>
      </c>
      <c r="Y18" s="18" t="inlineStr">
        <is>
          <t>Aktuell anamnestisch druckdolente Schwellungen beider Handgelenke sowie MCP-, PIP-, Daumensattel- und Daumengrundgelenke beidseits; Morgensteifigkeit der Finger 3–4 Stunden. Der ausdrücklich auf 09.05.2023 datierte Gelenkstatus beschreibt Schwellungen beider Handgelenke, MCP III–IV links, MCP I, II und IV rechts sowie PIP IV rechts und zusätzliche Druckdolenz beider Schultern. Sonographisch im Juli zusätzlich ausgeprägte degenerative Veränderungen von Knien und Schultern; deren entzündlicher Anteil bleibt teilweise unsicher.</t>
        </is>
      </c>
      <c r="Z18" s="18" t="inlineStr">
        <is>
          <t>Blinatumomab</t>
        </is>
      </c>
      <c r="AA18" s="18" t="inlineStr">
        <is>
          <t>Partiell</t>
        </is>
      </c>
      <c r="AB18" s="18" t="inlineStr">
        <is>
          <t>Aktiv</t>
        </is>
      </c>
      <c r="AC18" s="18" t="inlineStr">
        <is>
          <t>Unter Blinatumomab leichte klinische Besserung der Gelenkschmerzen, jedoch weiterhin geschwollene und druckdolente Gelenke sowie ausgeprägte Morgensteifigkeit. Sonographische Besserung an Handgelenken und rechtem Knie bei zusätzlichen degenerativen Veränderungen von Knien und Schultern. Dritter fünftägiger Blinatumomabzyklus durchgeführt.</t>
        </is>
      </c>
      <c r="AD18" s="18" t="inlineStr">
        <is>
          <t>Referenztermin 17.07.2023 durch die tatsächlich durchgeführte rheumatologische Arthrosonographie während der stationären Vorstellung belegt; näher am Scan als die ebenfalls dokumentierte Untersuchung vom 09.05.2023.
Der körperliche Untersuchungsbefund trägt ausdrücklich das Datum 09.05.2023. Eine Übertragung dieses detaillierten Gelenkstatus auf Juli wird nicht angenommen; die Juli-Episode beschreibt zusätzlich geschwollene und druckdolente Gelenke ohne einzelnen Untersuchungstag.
CRP: erster Messwert nach Reihenfolge; kein einzelner Messtag angegeben. Letzter Messwert 2,9 mg/l.
Stationärer Zeitraum im Briefkopf bis 21.07.2023, Entlassung im Verlauf am 22.07.2023.
Keine laufende rheumatologische Dauermedikation bei Entlassung aufgeführt.
CRP-Auswahl: erster dokumentierter Messwert in der Briefreihenfolge; daraus kein genaues Labordatum abgeleitet.</t>
        </is>
      </c>
    </row>
    <row r="19" ht="120" customHeight="1">
      <c r="A19" s="13" t="n">
        <v>25</v>
      </c>
      <c r="B19" s="14" t="inlineStr">
        <is>
          <t>RA</t>
        </is>
      </c>
      <c r="C19" s="14" t="inlineStr">
        <is>
          <t>Baseline</t>
        </is>
      </c>
      <c r="D19" s="15" t="n">
        <v>44711</v>
      </c>
      <c r="E19" s="15" t="n">
        <v>44739</v>
      </c>
      <c r="F19" s="13">
        <f>IF(E19="","",E19-D19)</f>
        <v/>
      </c>
      <c r="G19" s="16" t="n">
        <v>3.26</v>
      </c>
      <c r="H19" s="14" t="inlineStr">
        <is>
          <t>CRP</t>
        </is>
      </c>
      <c r="I19" s="16" t="n"/>
      <c r="J19" s="16" t="n"/>
      <c r="K19" s="16" t="n"/>
      <c r="L19" s="16" t="n"/>
      <c r="M19" s="16" t="n"/>
      <c r="N19" s="14" t="inlineStr">
        <is>
          <t>Ja</t>
        </is>
      </c>
      <c r="O19" s="16" t="n">
        <v>5.2</v>
      </c>
      <c r="P19" s="14" t="inlineStr">
        <is>
          <t>&lt;</t>
        </is>
      </c>
      <c r="Q19" s="14" t="inlineStr">
        <is>
          <t>mg/l</t>
        </is>
      </c>
      <c r="R19" s="16" t="n"/>
      <c r="S19" s="14" t="inlineStr">
        <is>
          <t>Methotrexat; Prednisolon; Celecoxib</t>
        </is>
      </c>
      <c r="T19" s="14" t="inlineStr">
        <is>
          <t>Weiterhin geschwollene Gelenke und schmerzhafte linke Schulter bei gebesserten Beschwerden; Tennisspielen wieder möglich.</t>
        </is>
      </c>
      <c r="U19" s="14" t="inlineStr">
        <is>
          <t>vorhanden</t>
        </is>
      </c>
      <c r="V19" s="14" t="inlineStr">
        <is>
          <t>vorhanden</t>
        </is>
      </c>
      <c r="W19" s="14" t="inlineStr">
        <is>
          <t>nicht erwähnt</t>
        </is>
      </c>
      <c r="X19" s="14" t="inlineStr">
        <is>
          <t>Linke Schulter; weitere geschwollene Gelenke ohne klinische Lokalisation.</t>
        </is>
      </c>
      <c r="Y19" s="14" t="inlineStr">
        <is>
          <t>Druckdolenz des linken Schultergelenks. Anamnestisch weiterhin einige geschwollene Gelenke; weiterer Gelenkstatus nur mit Verweis auf RHEMIT.</t>
        </is>
      </c>
      <c r="Z19" s="14" t="n"/>
      <c r="AA19" s="14" t="n"/>
      <c r="AB19" s="14" t="inlineStr">
        <is>
          <t>Aktiv</t>
        </is>
      </c>
      <c r="AC19" s="14" t="inlineStr">
        <is>
          <t>Seit Methotrexatbeginn Anfang Mai sukzessive Besserung, jedoch weiterhin aktive Erkrankung mit Gelenkschwellungen und Schulterschmerz. Steigerung von Methotrexat auf 25 mg/Woche empfohlen.</t>
        </is>
      </c>
      <c r="AD19" s="14" t="inlineStr">
        <is>
          <t>DAS28 und CRP ohne eigenes Messdatum dokumentiert; keine automatische Zuordnung zum Besuchstag.
DAS28 7,67 ausdrücklich als vormals bezeichnet und nicht als aktueller Wert übernommen.
CRP gemäß verbindlicher Erkennung als erster Messwert nach Reihenfolge übernommen.
CRP-Auswahl: erster dokumentierter Messwert in der Briefreihenfolge; daraus kein genaues Labordatum abgeleitet.</t>
        </is>
      </c>
    </row>
    <row r="20" ht="180" customHeight="1">
      <c r="A20" s="17" t="n">
        <v>25</v>
      </c>
      <c r="B20" s="18" t="inlineStr">
        <is>
          <t>RA</t>
        </is>
      </c>
      <c r="C20" s="18" t="inlineStr">
        <is>
          <t>Follow-up</t>
        </is>
      </c>
      <c r="D20" s="19" t="n">
        <v>44876</v>
      </c>
      <c r="E20" s="19" t="n">
        <v>44876</v>
      </c>
      <c r="F20" s="17">
        <f>IF(E20="","",E20-D20)</f>
        <v/>
      </c>
      <c r="G20" s="20" t="n">
        <v>0.49</v>
      </c>
      <c r="H20" s="18" t="inlineStr">
        <is>
          <t>BSG</t>
        </is>
      </c>
      <c r="I20" s="20" t="n"/>
      <c r="J20" s="20" t="n"/>
      <c r="K20" s="20" t="n"/>
      <c r="L20" s="20" t="n"/>
      <c r="M20" s="20" t="n"/>
      <c r="N20" s="18" t="inlineStr">
        <is>
          <t>Ja</t>
        </is>
      </c>
      <c r="O20" s="20" t="n">
        <v>13.9</v>
      </c>
      <c r="P20" s="18" t="inlineStr">
        <is>
          <t>=</t>
        </is>
      </c>
      <c r="Q20" s="18" t="inlineStr">
        <is>
          <t>mg/l</t>
        </is>
      </c>
      <c r="R20" s="20" t="n"/>
      <c r="S20" s="18" t="inlineStr">
        <is>
          <t>Methotrexat; Prednisolon</t>
        </is>
      </c>
      <c r="T20" s="18" t="inlineStr">
        <is>
          <t>Keine aktuellen Gelenkbeschwerden oder druckschmerzhaften beziehungsweise geschwollenen Gelenke. Morgensteifigkeit maximal zehn Minuten.</t>
        </is>
      </c>
      <c r="U20" s="18" t="inlineStr">
        <is>
          <t>verneint</t>
        </is>
      </c>
      <c r="V20" s="18" t="inlineStr">
        <is>
          <t>verneint</t>
        </is>
      </c>
      <c r="W20" s="18" t="inlineStr">
        <is>
          <t>vorhanden</t>
        </is>
      </c>
      <c r="X20" s="18" t="n"/>
      <c r="Y20" s="18" t="inlineStr">
        <is>
          <t>Gelenkstatus ohne druckschmerzhafte oder geschwollene Gelenke; Morgensteifigkeit maximal zehn Minuten. Erhöhte Entzündungsparameter ohne klinisches Korrelat.</t>
        </is>
      </c>
      <c r="Z20" s="18" t="n"/>
      <c r="AA20" s="18" t="inlineStr">
        <is>
          <t>Nicht beurteilbar</t>
        </is>
      </c>
      <c r="AB20" s="18" t="inlineStr">
        <is>
          <t>Remission</t>
        </is>
      </c>
      <c r="AC20" s="18" t="inlineStr">
        <is>
          <t>Unter Methotrexat 25 mg/Woche und Prednisolon 3,5 mg klinische Remission bei fehlenden Gelenkbeschwerden und kurzer Morgensteifigkeit. Erhöhte Entzündungsparameter ohne klinisches Korrelat; Nachkontrolle empfohlen. Methotrexat fortsetzen und Prednisolon um 0,5 mg alle sieben Tage reduzieren.</t>
        </is>
      </c>
      <c r="AD20" s="18" t="inlineStr">
        <is>
          <t>CRP vom 11.11.2022; erster Messwert nach Reihenfolge gemäß verbindlicher Erkennung.
DAS28 ohne gesondertes Messdatum dokumentiert.
Ansprechen nicht beurteilbar: Klinische Remission und gute aktuelle Einstellung dokumentiert, aber kein eindeutig abgestufter klinischer Veränderungsnachweis unter einer konkret beurteilten Therapie. Das ausdrücklich genannte Therapieansprechen bezieht sich auf den PET-Befund.
Aus dem unauffälligen Gelenkstatus keine standardisierten TJC- oder SJC-Werte abgeleitet.
CRP-Auswahl: erster dokumentierter Messwert in der Briefreihenfolge; daraus kein genaues Labordatum abgeleitet.</t>
        </is>
      </c>
    </row>
    <row r="21" ht="75" customHeight="1">
      <c r="A21" s="13" t="n">
        <v>26</v>
      </c>
      <c r="B21" s="14" t="inlineStr">
        <is>
          <t>RA</t>
        </is>
      </c>
      <c r="C21" s="14" t="inlineStr">
        <is>
          <t>Baseline</t>
        </is>
      </c>
      <c r="D21" s="15" t="n">
        <v>44393</v>
      </c>
      <c r="E21" s="15" t="n">
        <v>44399</v>
      </c>
      <c r="F21" s="13">
        <f>IF(E21="","",E21-D21)</f>
        <v/>
      </c>
      <c r="G21" s="16" t="n">
        <v>3.58</v>
      </c>
      <c r="H21" s="14" t="inlineStr">
        <is>
          <t>CRP</t>
        </is>
      </c>
      <c r="I21" s="16" t="n">
        <v>10</v>
      </c>
      <c r="J21" s="16" t="n"/>
      <c r="K21" s="16" t="n"/>
      <c r="L21" s="16" t="n"/>
      <c r="M21" s="16" t="n"/>
      <c r="N21" s="14" t="inlineStr">
        <is>
          <t>Ja</t>
        </is>
      </c>
      <c r="O21" s="16" t="n">
        <v>9.699999999999999</v>
      </c>
      <c r="P21" s="14" t="inlineStr">
        <is>
          <t>=</t>
        </is>
      </c>
      <c r="Q21" s="14" t="inlineStr">
        <is>
          <t>mg/l</t>
        </is>
      </c>
      <c r="R21" s="16" t="n"/>
      <c r="S21" s="14" t="inlineStr">
        <is>
          <t>Prednisolon; Ibuprofen; Pantoprazol</t>
        </is>
      </c>
      <c r="T21" s="14" t="inlineStr">
        <is>
          <t>Zunehmende Schmerzen an Händen, Schultern und Knien mit erschwertem Greifen und 30–60 Minuten Morgensteifigkeit. Zehn druckschmerzhafte Gelenke ohne Schwellungen.</t>
        </is>
      </c>
      <c r="U21" s="14" t="inlineStr">
        <is>
          <t>vorhanden</t>
        </is>
      </c>
      <c r="V21" s="14" t="inlineStr">
        <is>
          <t>verneint</t>
        </is>
      </c>
      <c r="W21" s="14" t="inlineStr">
        <is>
          <t>vorhanden</t>
        </is>
      </c>
      <c r="X21" s="14" t="inlineStr">
        <is>
          <t>Hände, Schultern, Knie</t>
        </is>
      </c>
      <c r="Y21" s="14" t="inlineStr">
        <is>
          <t>Zehn druckschmerzhafte Gelenke ohne Schwellungen; Greifen erschwert, Schmerzen zum Abend zunehmend, Morgensteifigkeit 30–60 Minuten.</t>
        </is>
      </c>
      <c r="Z21" s="14" t="n"/>
      <c r="AA21" s="14" t="n"/>
      <c r="AB21" s="14" t="inlineStr">
        <is>
          <t>Aktiv</t>
        </is>
      </c>
      <c r="AC21" s="14" t="inlineStr">
        <is>
          <t>Unter Golimumab subjektive Verschlechterung und weiterhin aktive RA trotz Prednisolonstoß und Ibuprofen. Umstellung auf Upadacitinib empfohlen; Prednisolon soll schrittweise reduziert und Ibuprofen nicht täglich genommen werden.</t>
        </is>
      </c>
      <c r="AD21" s="14" t="inlineStr">
        <is>
          <t>Zählbereich des TJC nicht angegeben; aus fehlenden Schwellungen wurde kein standardisierter SJC abgeleitet.
CRP und DAS28 ohne gesondertes Messdatum dokumentiert.
CRP-Auswahl: erster dokumentierter Messwert in der Briefreihenfolge; daraus kein genaues Labordatum abgeleitet.</t>
        </is>
      </c>
    </row>
    <row r="22" ht="195" customHeight="1">
      <c r="A22" s="17" t="n">
        <v>26</v>
      </c>
      <c r="B22" s="18" t="inlineStr">
        <is>
          <t>RA</t>
        </is>
      </c>
      <c r="C22" s="18" t="inlineStr">
        <is>
          <t>Follow-up</t>
        </is>
      </c>
      <c r="D22" s="19" t="n">
        <v>44494</v>
      </c>
      <c r="E22" s="19" t="n">
        <v>44502</v>
      </c>
      <c r="F22" s="17">
        <f>IF(E22="","",E22-D22)</f>
        <v/>
      </c>
      <c r="G22" s="20" t="n">
        <v>2.4</v>
      </c>
      <c r="H22" s="18" t="inlineStr">
        <is>
          <t>nicht angegeben</t>
        </is>
      </c>
      <c r="I22" s="20" t="n">
        <v>1</v>
      </c>
      <c r="J22" s="20" t="n"/>
      <c r="K22" s="20" t="n"/>
      <c r="L22" s="20" t="n"/>
      <c r="M22" s="20" t="n"/>
      <c r="N22" s="18" t="inlineStr">
        <is>
          <t>Ja</t>
        </is>
      </c>
      <c r="O22" s="20" t="n">
        <v>5.1</v>
      </c>
      <c r="P22" s="18" t="inlineStr">
        <is>
          <t>&lt;</t>
        </is>
      </c>
      <c r="Q22" s="18" t="inlineStr">
        <is>
          <t>mg/l</t>
        </is>
      </c>
      <c r="R22" s="20" t="n">
        <v>7</v>
      </c>
      <c r="S22" s="18" t="inlineStr">
        <is>
          <t>Upadacitinib; Ibuprofen; Pantoprazol</t>
        </is>
      </c>
      <c r="T22" s="18" t="inlineStr">
        <is>
          <t>Belastungsabhängige Schmerzen der Finger- und Handgelenke bei gebesserten Gelenkschwellungen. Ein druckschmerzhaftes Gelenk, keine geschwollenen Gelenke und keine Morgensteifigkeit.</t>
        </is>
      </c>
      <c r="U22" s="18" t="inlineStr">
        <is>
          <t>vorhanden</t>
        </is>
      </c>
      <c r="V22" s="18" t="inlineStr">
        <is>
          <t>verneint</t>
        </is>
      </c>
      <c r="W22" s="18" t="inlineStr">
        <is>
          <t>verneint</t>
        </is>
      </c>
      <c r="X22" s="18" t="inlineStr">
        <is>
          <t>Fingergelenke und Handgelenke</t>
        </is>
      </c>
      <c r="Y22" s="18" t="inlineStr">
        <is>
          <t>Ein druckschmerzhaftes Gelenk ohne nähere Lokalisation; keine geschwollenen Gelenke. Schmerzen an Finger- und Handgelenken bei beruflicher Belastung, keine Morgensteifigkeit.</t>
        </is>
      </c>
      <c r="Z22" s="18" t="inlineStr">
        <is>
          <t>Upadacitinib</t>
        </is>
      </c>
      <c r="AA22" s="18" t="inlineStr">
        <is>
          <t>Nicht beurteilbar</t>
        </is>
      </c>
      <c r="AB22" s="18" t="inlineStr">
        <is>
          <t>Remission</t>
        </is>
      </c>
      <c r="AC22" s="18" t="inlineStr">
        <is>
          <t>Unter Upadacitinib seit Juli 2021 berichtete Besserung der Gelenkschwellungen ohne näher bezeichnetes Ausmaß. Aktuell ärztlich als gut kontrolliert beziehungsweise Remission dokumentiert; belastungsabhängige Finger- und Handgelenkschmerzen verbleiben. Fortführung der Medikation empfohlen.</t>
        </is>
      </c>
      <c r="AD22" s="18" t="inlineStr">
        <is>
          <t>Ansprechen nicht beurteilbar: Besserung ohne einordenbares Ausmaß; verbleibende Belastungsschmerzen nicht ausdrücklich als entzündlich eingeordnet. Gute Kontrolle und dokumentierte Remission belegen allein keine bestimmte Veränderungskategorie.
Remission ausdrücklich beim DAS28 dokumentiert; keine eigenständige Anwendung einer Remissionsschwelle.
DS als druckschmerzhaft interpretiert; Zählbereich des TJC nicht angegeben. Kein standardisierter SJC dokumentiert.
CRP, BSG und DAS28 ohne gesondertes Messdatum dokumentiert.
Prednisolon in dieser Briefgruppe nicht genannt; ein Absetzdatum ist nicht belegt.
CRP-Auswahl: erster dokumentierter Messwert in der Briefreihenfolge; daraus kein genaues Labordatum abgeleitet.</t>
        </is>
      </c>
    </row>
    <row r="23" ht="105" customHeight="1">
      <c r="A23" s="13" t="n">
        <v>27</v>
      </c>
      <c r="B23" s="14" t="inlineStr">
        <is>
          <t>RA</t>
        </is>
      </c>
      <c r="C23" s="14" t="inlineStr">
        <is>
          <t>Baseline</t>
        </is>
      </c>
      <c r="D23" s="15" t="n">
        <v>44316</v>
      </c>
      <c r="E23" s="15" t="n">
        <v>44284</v>
      </c>
      <c r="F23" s="13">
        <f>IF(E23="","",E23-D23)</f>
        <v/>
      </c>
      <c r="G23" s="16" t="n">
        <v>3.07</v>
      </c>
      <c r="H23" s="14" t="inlineStr">
        <is>
          <t>nicht angegeben</t>
        </is>
      </c>
      <c r="I23" s="16" t="n"/>
      <c r="J23" s="16" t="n"/>
      <c r="K23" s="16" t="n"/>
      <c r="L23" s="16" t="n"/>
      <c r="M23" s="16" t="n"/>
      <c r="N23" s="14" t="inlineStr">
        <is>
          <t>Ja</t>
        </is>
      </c>
      <c r="O23" s="16" t="n">
        <v>6.2</v>
      </c>
      <c r="P23" s="14" t="inlineStr">
        <is>
          <t>=</t>
        </is>
      </c>
      <c r="Q23" s="14" t="inlineStr">
        <is>
          <t>mg/l</t>
        </is>
      </c>
      <c r="R23" s="16" t="n"/>
      <c r="S23" s="14" t="inlineStr">
        <is>
          <t>Etoricoxib; Rituximab</t>
        </is>
      </c>
      <c r="T23" s="14" t="inlineStr">
        <is>
          <t>Schmerzhafte und geschwollene Gelenke bei unzureichender Krankheitskontrolle. Aktuell keine Morgensteifigkeit unter abendlichem Etoricoxib.</t>
        </is>
      </c>
      <c r="U23" s="14" t="inlineStr">
        <is>
          <t>vorhanden</t>
        </is>
      </c>
      <c r="V23" s="14" t="inlineStr">
        <is>
          <t>vorhanden</t>
        </is>
      </c>
      <c r="W23" s="14" t="inlineStr">
        <is>
          <t>verneint</t>
        </is>
      </c>
      <c r="X23" s="14" t="n"/>
      <c r="Y23" s="14" t="inlineStr">
        <is>
          <t>Anamnestisch mehrere schmerzhafte und geschwollene Gelenke ohne nähere Lokalisation. Im körperlichen Gelenkstatus fehlen die vorgesehenen Zahlen.</t>
        </is>
      </c>
      <c r="Z23" s="14" t="n"/>
      <c r="AA23" s="14" t="n"/>
      <c r="AB23" s="14" t="inlineStr">
        <is>
          <t>Aktiv</t>
        </is>
      </c>
      <c r="AC23" s="14" t="inlineStr">
        <is>
          <t>Unzureichende Krankheitskontrolle unter Sulfasalazin und Hydroxychloroquin; beide wegen fehlenden Ansprechens beendet. Beginn der Rituximabtherapie am 29.03.2021 im Studienrahmen; anschließend mögliche Randomisierung zu Abatacept oder Beobachtung.</t>
        </is>
      </c>
      <c r="AD23" s="14" t="inlineStr">
        <is>
          <t>29.03.2021 ist der dem Baseline-Scan nächstgelegene belegte Besuch.
DAS28, CRP und klinische Angaben sind innerhalb des zusammenfassenden Briefes keinem einzelnen Besuch eindeutig zugeordnet.
TJC und SJC bleiben wegen fehlender Zahlen null.
CRP-Auswahl: erster dokumentierter Messwert in der Briefreihenfolge; daraus kein genaues Labordatum abgeleitet.</t>
        </is>
      </c>
    </row>
    <row r="24" ht="225" customHeight="1">
      <c r="A24" s="17" t="n">
        <v>27</v>
      </c>
      <c r="B24" s="18" t="inlineStr">
        <is>
          <t>RA</t>
        </is>
      </c>
      <c r="C24" s="18" t="inlineStr">
        <is>
          <t>Follow-up</t>
        </is>
      </c>
      <c r="D24" s="19" t="n">
        <v>44452</v>
      </c>
      <c r="E24" s="19" t="n">
        <v>44655</v>
      </c>
      <c r="F24" s="17">
        <f>IF(E24="","",E24-D24)</f>
        <v/>
      </c>
      <c r="G24" s="20" t="n">
        <v>4.3</v>
      </c>
      <c r="H24" s="18" t="inlineStr">
        <is>
          <t>nicht angegeben</t>
        </is>
      </c>
      <c r="I24" s="20" t="n">
        <v>6</v>
      </c>
      <c r="J24" s="20" t="n">
        <v>2</v>
      </c>
      <c r="K24" s="20" t="n"/>
      <c r="L24" s="20" t="n"/>
      <c r="M24" s="20" t="n"/>
      <c r="N24" s="18" t="inlineStr">
        <is>
          <t>Ja</t>
        </is>
      </c>
      <c r="O24" s="20" t="n">
        <v>12.6</v>
      </c>
      <c r="P24" s="18" t="inlineStr">
        <is>
          <t>=</t>
        </is>
      </c>
      <c r="Q24" s="18" t="inlineStr">
        <is>
          <t>mg/l</t>
        </is>
      </c>
      <c r="R24" s="20" t="n">
        <v>24</v>
      </c>
      <c r="S24" s="18" t="inlineStr">
        <is>
          <t>Rituximab; Prednisolon; Etoricoxib</t>
        </is>
      </c>
      <c r="T24" s="18" t="inlineStr">
        <is>
          <t>Gelenkschmerzen an Händen, Füßen, Knien, Ellenbogen und beiden Schultern, teilweise mit Schwellungen. Morgensteifigkeit etwa 60 Minuten.</t>
        </is>
      </c>
      <c r="U24" s="18" t="inlineStr">
        <is>
          <t>vorhanden</t>
        </is>
      </c>
      <c r="V24" s="18" t="inlineStr">
        <is>
          <t>vorhanden</t>
        </is>
      </c>
      <c r="W24" s="18" t="inlineStr">
        <is>
          <t>vorhanden</t>
        </is>
      </c>
      <c r="X24" s="18" t="inlineStr">
        <is>
          <t>Hände, Füße, Knie, Ellenbogen und Schultern beidseits</t>
        </is>
      </c>
      <c r="Y24" s="18" t="inlineStr">
        <is>
          <t>Sechs druckschmerzhafte und zwei geschwollene Gelenke, Zählbereich nicht angegeben. Postarthritische Veränderungen der rechten MCP-Gelenke; Morgensteifigkeit etwa 60 Minuten.</t>
        </is>
      </c>
      <c r="Z24" s="18" t="inlineStr">
        <is>
          <t>Rituximab</t>
        </is>
      </c>
      <c r="AA24" s="18" t="inlineStr">
        <is>
          <t>Nicht beurteilbar</t>
        </is>
      </c>
      <c r="AB24" s="18" t="inlineStr">
        <is>
          <t>Aktiv</t>
        </is>
      </c>
      <c r="AC24" s="18" t="inlineStr">
        <is>
          <t>Rituximab wird als wirksam mit sehr guter Krankheitskontrolle beschrieben, ohne ausreichend beschriebenen klinischen Veränderungsnachweis. Gleichzeitig bestehen Schmerzen, Schwellungen und Morgensteifigkeit; die abschließende ärztliche Beurteilung bezeichnet die RA als aktiv. Erneute Rituximabgabe und Fortführung der Therapie empfohlen.</t>
        </is>
      </c>
      <c r="AD24" s="18" t="inlineStr">
        <is>
          <t>Der einzige belegte Follow-up-Besuch liegt am 04.04.2022 und damit nach dem Scan vom 13.09.2021; Zuordnung gemäß Briefgruppe.
CRP-Labordatum: 04.04.2022. DAS28, BSG und Gelenkstatus gehören zur Vorstellung am 04.04.2022; der Zählbereich von TJC/SJC ist nicht angegeben.
Ansprechen nicht beurteilbar: Gute Wirksamkeit und Kontrolle werden genannt, aber kein ausreichend beschriebener klinischer Veränderungsnachweis.
Die Aussage sehr guter Krankheitskontrolle steht im Spannungsverhältnis zu aktuellen Synovitiden; für den Krankheitszustand ist die ausdrückliche abschließende ärztliche Beurteilung als aktiv maßgeblich.
CRP-Auswahl: erster dokumentierter Messwert in der Briefreihenfolge; daraus kein genaues Labordatum abgeleitet.</t>
        </is>
      </c>
    </row>
    <row r="25" ht="90" customHeight="1">
      <c r="A25" s="13" t="n">
        <v>28</v>
      </c>
      <c r="B25" s="14" t="inlineStr">
        <is>
          <t>RA</t>
        </is>
      </c>
      <c r="C25" s="14" t="inlineStr">
        <is>
          <t>Baseline</t>
        </is>
      </c>
      <c r="D25" s="15" t="n">
        <v>44235</v>
      </c>
      <c r="E25" s="15" t="n">
        <v>44242</v>
      </c>
      <c r="F25" s="13">
        <f>IF(E25="","",E25-D25)</f>
        <v/>
      </c>
      <c r="G25" s="16" t="n"/>
      <c r="H25" s="14" t="n"/>
      <c r="I25" s="16" t="n"/>
      <c r="J25" s="16" t="n"/>
      <c r="K25" s="16" t="n"/>
      <c r="L25" s="16" t="n"/>
      <c r="M25" s="16" t="n"/>
      <c r="N25" s="14" t="inlineStr">
        <is>
          <t>Ja</t>
        </is>
      </c>
      <c r="O25" s="16" t="n">
        <v>5.1</v>
      </c>
      <c r="P25" s="14" t="inlineStr">
        <is>
          <t>&lt;</t>
        </is>
      </c>
      <c r="Q25" s="14" t="inlineStr">
        <is>
          <t>mg/l</t>
        </is>
      </c>
      <c r="R25" s="16" t="n"/>
      <c r="S25" s="14" t="inlineStr">
        <is>
          <t>Methotrexat; Prednisolon; Schmerzmittel (nicht benannt)</t>
        </is>
      </c>
      <c r="T25" s="14" t="inlineStr">
        <is>
          <t>Weiterhin schmerzhafte und geschwollene Gelenke, insbesondere linkes Sprunggelenk; Schubhäufigkeit und Beschwerdestärke bereits etwas reduziert.</t>
        </is>
      </c>
      <c r="U25" s="14" t="inlineStr">
        <is>
          <t>vorhanden</t>
        </is>
      </c>
      <c r="V25" s="14" t="inlineStr">
        <is>
          <t>vorhanden</t>
        </is>
      </c>
      <c r="W25" s="14" t="inlineStr">
        <is>
          <t>nicht erwähnt</t>
        </is>
      </c>
      <c r="X25" s="14" t="inlineStr">
        <is>
          <t>MCP 2/3, PIP 2/3, beide Daumensattelgelenke, linkes Sprunggelenk.</t>
        </is>
      </c>
      <c r="Y25" s="14" t="inlineStr">
        <is>
          <t>Schwellungen an MCP 2/3 und PIP 2/3 ohne eindeutige Seitenangabe; Druckschmerz beider Daumensattelgelenke. Linkes Sprunggelenk geschwollen und schmerzhaft.</t>
        </is>
      </c>
      <c r="Z25" s="14" t="n"/>
      <c r="AA25" s="14" t="n"/>
      <c r="AB25" s="14" t="inlineStr">
        <is>
          <t>Aktiv</t>
        </is>
      </c>
      <c r="AC25" s="14" t="inlineStr">
        <is>
          <t>Nach etwa sechs Wochen Methotrexat etwas weniger Schübe sowie geringere Gelenkschmerzen und Schwellungen. Prednisolon reduziert, weiterhin klinische Gelenkschwellungen; Methotrexat soll unverändert fortgeführt werden.</t>
        </is>
      </c>
      <c r="AD25" s="14" t="inlineStr">
        <is>
          <t>CRP ohne gesondertes Labordatum; keine automatische Zuordnung zum Besuchstag.
Seitenangaben für MCP und PIP fehlen; DS als Druckschmerz verstanden.
CRP-Auswahl: erster dokumentierter Messwert in der Briefreihenfolge; daraus kein genaues Labordatum abgeleitet.</t>
        </is>
      </c>
    </row>
    <row r="26" ht="195" customHeight="1">
      <c r="A26" s="17" t="n">
        <v>28</v>
      </c>
      <c r="B26" s="18" t="inlineStr">
        <is>
          <t>RA</t>
        </is>
      </c>
      <c r="C26" s="18" t="inlineStr">
        <is>
          <t>Follow-up</t>
        </is>
      </c>
      <c r="D26" s="19" t="n">
        <v>44396</v>
      </c>
      <c r="E26" s="19" t="n">
        <v>44396</v>
      </c>
      <c r="F26" s="17">
        <f>IF(E26="","",E26-D26)</f>
        <v/>
      </c>
      <c r="G26" s="20" t="n"/>
      <c r="H26" s="18" t="n"/>
      <c r="I26" s="20" t="n">
        <v>5</v>
      </c>
      <c r="J26" s="20" t="n">
        <v>5</v>
      </c>
      <c r="K26" s="20" t="n"/>
      <c r="L26" s="20" t="n"/>
      <c r="M26" s="20" t="n"/>
      <c r="N26" s="18" t="inlineStr">
        <is>
          <t>Ja</t>
        </is>
      </c>
      <c r="O26" s="20" t="n">
        <v>5.7</v>
      </c>
      <c r="P26" s="18" t="inlineStr">
        <is>
          <t>=</t>
        </is>
      </c>
      <c r="Q26" s="18" t="inlineStr">
        <is>
          <t>mg/l</t>
        </is>
      </c>
      <c r="R26" s="20" t="n"/>
      <c r="S26" s="18" t="inlineStr">
        <is>
          <t>Methotrexat</t>
        </is>
      </c>
      <c r="T26" s="18" t="inlineStr">
        <is>
          <t>Weiterhin geschwollene und druckschmerzhafte Gelenke sowie etwa 45 Minuten Morgensteifigkeit bei klinisch aktiver RA.</t>
        </is>
      </c>
      <c r="U26" s="18" t="inlineStr">
        <is>
          <t>vorhanden</t>
        </is>
      </c>
      <c r="V26" s="18" t="inlineStr">
        <is>
          <t>vorhanden</t>
        </is>
      </c>
      <c r="W26" s="18" t="inlineStr">
        <is>
          <t>vorhanden</t>
        </is>
      </c>
      <c r="X26" s="18" t="n"/>
      <c r="Y26" s="18" t="inlineStr">
        <is>
          <t>Fünf geschwollene und druckschmerzhafte Gelenke ohne klinische Lokalisationsangabe; Morgensteifigkeit etwa 45 Minuten.</t>
        </is>
      </c>
      <c r="Z26" s="18" t="n"/>
      <c r="AA26" s="18" t="inlineStr">
        <is>
          <t>Nicht beurteilbar</t>
        </is>
      </c>
      <c r="AB26" s="18" t="inlineStr">
        <is>
          <t>Aktiv</t>
        </is>
      </c>
      <c r="AC26" s="18" t="inlineStr">
        <is>
          <t>Unter regelmäßigem Methotrexat 15 mg/Woche weiterhin klinisch aktive Erkrankung. Steigerung auf 25 mg/Woche und Beginn von Baricitinib empfohlen; ein klinischer Effekt dieser Eskalation ist nicht dokumentiert.</t>
        </is>
      </c>
      <c r="AD26" s="18" t="inlineStr">
        <is>
          <t>TJC und SJC ausdrücklich mit jeweils 5 dokumentiert; Zählbereich nicht angegeben, keine Gleichsetzung mit TJC28/SJC28.
CRP vom 19.07.2021: erster Messwert nach Reihenfolge; späterer Wert 9,4 mg/l vom 09.08.2021 nicht ausgewählt.
Ansprechen nicht beurteilbar: Im Follow-up keine einordenbare klinische Veränderung unter Methotrexat und keine Wirkungsbeurteilung der Therapieeskalation dokumentiert. Persistierende Aktivität allein belegt kein Therapieversagen.
Klinische Lokalisationen der fünf betroffenen Gelenke fehlen; sonographische und PET-Lokalisationen wurden nicht als körperlicher Untersuchungsbefund übernommen.
CRP-Auswahl: erster dokumentierter Messwert in der Briefreihenfolge; daraus kein genaues Labordatum abgeleitet.</t>
        </is>
      </c>
    </row>
    <row r="27" ht="105" customHeight="1">
      <c r="A27" s="13" t="n">
        <v>29</v>
      </c>
      <c r="B27" s="14" t="inlineStr">
        <is>
          <t>RA</t>
        </is>
      </c>
      <c r="C27" s="14" t="inlineStr">
        <is>
          <t>Baseline</t>
        </is>
      </c>
      <c r="D27" s="15" t="n">
        <v>44120</v>
      </c>
      <c r="E27" s="15" t="n">
        <v>44109</v>
      </c>
      <c r="F27" s="13">
        <f>IF(E27="","",E27-D27)</f>
        <v/>
      </c>
      <c r="G27" s="16" t="n"/>
      <c r="H27" s="14" t="n"/>
      <c r="I27" s="16" t="n"/>
      <c r="J27" s="16" t="n"/>
      <c r="K27" s="16" t="n"/>
      <c r="L27" s="16" t="n"/>
      <c r="M27" s="16" t="n"/>
      <c r="N27" s="14" t="inlineStr">
        <is>
          <t>Ja</t>
        </is>
      </c>
      <c r="O27" s="16" t="n">
        <v>5.2</v>
      </c>
      <c r="P27" s="14" t="inlineStr">
        <is>
          <t>&lt;</t>
        </is>
      </c>
      <c r="Q27" s="14" t="inlineStr">
        <is>
          <t>mg/l</t>
        </is>
      </c>
      <c r="R27" s="16" t="n"/>
      <c r="S27" s="14" t="inlineStr">
        <is>
          <t>Methotrexat; Sulfasalazin; Diclofenac</t>
        </is>
      </c>
      <c r="T27" s="14" t="inlineStr">
        <is>
          <t>Ganzkörperschmerzen mit eingeschränkter Beweglichkeit und ausgeprägter Fatigue. Druckschmerzhafte Finger- und Handgelenke sowie Enthesenschmerzen am rechten Ellenbogen und an der linken Plantarfaszie.</t>
        </is>
      </c>
      <c r="U27" s="14" t="inlineStr">
        <is>
          <t>vorhanden</t>
        </is>
      </c>
      <c r="V27" s="14" t="inlineStr">
        <is>
          <t>nicht erwähnt</t>
        </is>
      </c>
      <c r="W27" s="14" t="inlineStr">
        <is>
          <t>nicht erwähnt</t>
        </is>
      </c>
      <c r="X27" s="14" t="inlineStr">
        <is>
          <t>PIP 3 beidseits, MCP 1 und 2 rechts, linkes Handgelenk, rechter Ellenbogen, linke Plantarfaszie.</t>
        </is>
      </c>
      <c r="Y27" s="14" t="inlineStr">
        <is>
          <t>Druckschmerzen an den genannten Gelenken und Enthesen; Finger-Boden-Abstand etwa 10 cm. Keine ausdrückliche klinische Aussage zu Gelenkschwellungen.</t>
        </is>
      </c>
      <c r="Z27" s="14" t="n"/>
      <c r="AA27" s="14" t="n"/>
      <c r="AB27" s="14" t="inlineStr">
        <is>
          <t>Aktiv</t>
        </is>
      </c>
      <c r="AC27" s="14" t="inlineStr">
        <is>
          <t>Unter MTX und anamnestisch Sulfasalazin persistierende Gelenk- und Enthesenschmerzen mit funktioneller Einschränkung und Fatigue. Wegen fortbestehender klinischer Aktivität Erweiterung um Adalimumab empfohlen.</t>
        </is>
      </c>
      <c r="AD27" s="14" t="inlineStr">
        <is>
          <t>CRP ohne gesondertes Messdatum; keine automatische Zuordnung zum klinischen Referenztermin.
Rezidivierende Daktylitis ist in der Diagnoseübersicht beschrieben, aber nicht als aktueller klinischer Schwellungsbefund belegt.
CRP-Auswahl: erster dokumentierter Messwert in der Briefreihenfolge; daraus kein genaues Labordatum abgeleitet.</t>
        </is>
      </c>
    </row>
    <row r="28" ht="165" customHeight="1">
      <c r="A28" s="17" t="n">
        <v>29</v>
      </c>
      <c r="B28" s="18" t="inlineStr">
        <is>
          <t>RA</t>
        </is>
      </c>
      <c r="C28" s="18" t="inlineStr">
        <is>
          <t>Follow-up</t>
        </is>
      </c>
      <c r="D28" s="19" t="n">
        <v>44253</v>
      </c>
      <c r="E28" s="19" t="n">
        <v>44305</v>
      </c>
      <c r="F28" s="17">
        <f>IF(E28="","",E28-D28)</f>
        <v/>
      </c>
      <c r="G28" s="20" t="n">
        <v>3.27</v>
      </c>
      <c r="H28" s="18" t="inlineStr">
        <is>
          <t>CRP</t>
        </is>
      </c>
      <c r="I28" s="20" t="n"/>
      <c r="J28" s="20" t="n"/>
      <c r="K28" s="20" t="n"/>
      <c r="L28" s="20" t="n"/>
      <c r="M28" s="20" t="n"/>
      <c r="N28" s="18" t="inlineStr">
        <is>
          <t>Ja</t>
        </is>
      </c>
      <c r="O28" s="20" t="n">
        <v>5.1</v>
      </c>
      <c r="P28" s="18" t="inlineStr">
        <is>
          <t>&lt;</t>
        </is>
      </c>
      <c r="Q28" s="18" t="inlineStr">
        <is>
          <t>mg/l</t>
        </is>
      </c>
      <c r="R28" s="20" t="n">
        <v>22</v>
      </c>
      <c r="S28" s="18" t="inlineStr">
        <is>
          <t>Methotrexat; Adalimumab; Diclofenac</t>
        </is>
      </c>
      <c r="T28" s="18" t="inlineStr">
        <is>
          <t>Unveränderte Schmerzen am linken Fuß und an beiden Händen, in Ruhe und bei Bewegung. Schwellungen am linken oberen Sprunggelenk und an kleinen Gelenken der rechten Hand sowie Morgensteifigkeit unter 30 Minuten.</t>
        </is>
      </c>
      <c r="U28" s="18" t="inlineStr">
        <is>
          <t>vorhanden</t>
        </is>
      </c>
      <c r="V28" s="18" t="inlineStr">
        <is>
          <t>vorhanden</t>
        </is>
      </c>
      <c r="W28" s="18" t="inlineStr">
        <is>
          <t>vorhanden</t>
        </is>
      </c>
      <c r="X28" s="18" t="inlineStr">
        <is>
          <t>Linker Fuß und linkes oberes Sprunggelenk, Hände beidseits; Schwellungen an PIP 3–4 rechts.</t>
        </is>
      </c>
      <c r="Y28" s="18" t="inlineStr">
        <is>
          <t>Druckschmerz und Schwellung am linken oberen Sprunggelenk sowie Schwellungen an PIP 3–4 rechts. Morgensteifigkeit unter 30 Minuten; keine Linderung der Schmerzen durch Bewegung. Ursache der Beschwerden am linken Fuß beziehungsweise Sprunggelenk weiter abklärungsbedürftig.</t>
        </is>
      </c>
      <c r="Z28" s="18" t="inlineStr">
        <is>
          <t>Adalimumab zusätzlich zu Methotrexat</t>
        </is>
      </c>
      <c r="AA28" s="18" t="inlineStr">
        <is>
          <t>Nicht beurteilbar</t>
        </is>
      </c>
      <c r="AB28" s="18" t="inlineStr">
        <is>
          <t>Aktiv</t>
        </is>
      </c>
      <c r="AC28" s="18" t="inlineStr">
        <is>
          <t>Unter MTX und seit Januar 2021 Adalimumab weiterhin unveränderte Schmerzen und persistierende klinische Aktivität. Die Adalimumab-Wirkung soll über insgesamt 3–6 Monate abgewartet werden; Fortführung und ergänzender Prednisolonstoß empfohlen. Bei ausbleibender deutlicher Besserung Therapieumstellung erwägen. Beschwerden am linken Fuß und Sprunggelenk sollen weiter abgeklärt werden.</t>
        </is>
      </c>
      <c r="AD28" s="18" t="inlineStr">
        <is>
          <t>Adalimumab-Wirkung soll noch abgewartet werden; trotz unveränderter Beschwerden kein endgültiges Therapieversagen klassifiziert.
CRP und BSG ohne gesondertes Messdatum; keine automatische Zuordnung zum klinischen Referenztermin.
DAS28 im Untersuchungsabschnitt ohne separates Messdatum dokumentiert.
PIP-Angabe „3-4 PIP Hand re.“ als Lokalisation erhalten; daraus keine standardisierte Gelenkzahl abgeleitet.
CRP-Auswahl: erster dokumentierter Messwert in der Briefreihenfolge; daraus kein genaues Labordatum abgeleitet.</t>
        </is>
      </c>
    </row>
    <row r="29" ht="165" customHeight="1">
      <c r="A29" s="13" t="n">
        <v>30</v>
      </c>
      <c r="B29" s="14" t="inlineStr">
        <is>
          <t>RA</t>
        </is>
      </c>
      <c r="C29" s="14" t="inlineStr">
        <is>
          <t>Baseline</t>
        </is>
      </c>
      <c r="D29" s="15" t="n">
        <v>44106</v>
      </c>
      <c r="E29" s="15" t="n">
        <v>43986</v>
      </c>
      <c r="F29" s="13">
        <f>IF(E29="","",E29-D29)</f>
        <v/>
      </c>
      <c r="G29" s="16" t="n"/>
      <c r="H29" s="14" t="n"/>
      <c r="I29" s="16" t="n"/>
      <c r="J29" s="16" t="n"/>
      <c r="K29" s="16" t="n"/>
      <c r="L29" s="16" t="n"/>
      <c r="M29" s="16" t="n"/>
      <c r="N29" s="14" t="inlineStr">
        <is>
          <t>Ja</t>
        </is>
      </c>
      <c r="O29" s="16" t="n">
        <v>36.2</v>
      </c>
      <c r="P29" s="14" t="inlineStr">
        <is>
          <t>=</t>
        </is>
      </c>
      <c r="Q29" s="14" t="inlineStr">
        <is>
          <t>mg/l</t>
        </is>
      </c>
      <c r="R29" s="16" t="n"/>
      <c r="S29" s="14" t="inlineStr">
        <is>
          <t>Methotrexat; Etoricoxib</t>
        </is>
      </c>
      <c r="T29" s="14" t="inlineStr">
        <is>
          <t>Progrediente Gelenkschmerzen und Schwellungen an Handgelenken, rechtem Knie und MCP-Gelenken bei akutem polyarthritischem Schub nach Pausieren der Basistherapie.</t>
        </is>
      </c>
      <c r="U29" s="14" t="inlineStr">
        <is>
          <t>vorhanden</t>
        </is>
      </c>
      <c r="V29" s="14" t="inlineStr">
        <is>
          <t>vorhanden</t>
        </is>
      </c>
      <c r="W29" s="14" t="inlineStr">
        <is>
          <t>nicht erwähnt</t>
        </is>
      </c>
      <c r="X29" s="14" t="inlineStr">
        <is>
          <t>Handgelenke beidseits, rechtes Knie, MCP 3 und 4; Seiten der MCP-Gelenke nicht angegeben.</t>
        </is>
      </c>
      <c r="Y29" s="14" t="inlineStr">
        <is>
          <t>Mehrere Arthritiden; seit Wochen zunehmende Schmerzen und Schwellungen, insbesondere an Handgelenken, rechtem Knie und MCP 4. Keine dokumentierten standardisierten Gelenkzahlen.</t>
        </is>
      </c>
      <c r="Z29" s="14" t="n"/>
      <c r="AA29" s="14" t="n"/>
      <c r="AB29" s="14" t="inlineStr">
        <is>
          <t>Aktiv</t>
        </is>
      </c>
      <c r="AC29" s="14" t="inlineStr">
        <is>
          <t>Nach Pausieren der Basistherapie wegen erhöhter Leberwerte seit Juni 2020 progrediente Beschwerden mit akutem polyarthritischem Schub. Methotrexat wurde am 12.08.2020 wieder begonnen; eine Umstellung auf einen JAK-Inhibitor im Rahmen der Bare-Bone-Studie ist vorgesehen.</t>
        </is>
      </c>
      <c r="AD29" s="14" t="inlineStr">
        <is>
          <t>Einziger ausdrücklich belegter Besuchstag: 04.06.2020. Der Brief enthält außerdem Angaben zur Episode im August 2020; deren genauer Untersuchungstag ist unklar. Der 28.08. ist nur als geplanter Besuch genannt.
Beschwerden, Gelenkbefunde und Medikationsstatus sind nicht sicher dem Referenztermin 04.06.2020 zuzuordnen.
CRP: erster Messwert nach Reihenfolge, 36,2 mg/l; weiterer Wert 25,4 mg/l. Beide ohne eindeutiges Messdatum.
DAS28-ESR und BSG sind ohne Zahlen aufgeführt.
CRP-Auswahl: erster dokumentierter Messwert in der Briefreihenfolge; daraus kein genaues Labordatum abgeleitet.</t>
        </is>
      </c>
    </row>
    <row r="30" ht="180" customHeight="1">
      <c r="A30" s="17" t="n">
        <v>30</v>
      </c>
      <c r="B30" s="18" t="inlineStr">
        <is>
          <t>RA</t>
        </is>
      </c>
      <c r="C30" s="18" t="inlineStr">
        <is>
          <t>Follow-up</t>
        </is>
      </c>
      <c r="D30" s="19" t="n">
        <v>44274</v>
      </c>
      <c r="E30" s="19" t="n">
        <v>44448</v>
      </c>
      <c r="F30" s="17">
        <f>IF(E30="","",E30-D30)</f>
        <v/>
      </c>
      <c r="G30" s="20" t="n">
        <v>2.13</v>
      </c>
      <c r="H30" s="18" t="inlineStr">
        <is>
          <t>nicht angegeben</t>
        </is>
      </c>
      <c r="I30" s="20" t="n"/>
      <c r="J30" s="20" t="n"/>
      <c r="K30" s="20" t="n"/>
      <c r="L30" s="20" t="n"/>
      <c r="M30" s="20" t="n"/>
      <c r="N30" s="18" t="inlineStr">
        <is>
          <t>Ja</t>
        </is>
      </c>
      <c r="O30" s="20" t="n">
        <v>0.9</v>
      </c>
      <c r="P30" s="18" t="inlineStr">
        <is>
          <t>=</t>
        </is>
      </c>
      <c r="Q30" s="18" t="inlineStr">
        <is>
          <t>mg/l</t>
        </is>
      </c>
      <c r="R30" s="20" t="n">
        <v>21</v>
      </c>
      <c r="S30" s="18" t="inlineStr">
        <is>
          <t>Baricitinib; Methotrexat</t>
        </is>
      </c>
      <c r="T30" s="18" t="inlineStr">
        <is>
          <t>Keine aktuellen Gelenkschmerzen, Schwellungen oder Morgensteifigkeit; regelmäßiger Sport möglich. Beide Handgelenke sind nach Operationen partiell versteift.</t>
        </is>
      </c>
      <c r="U30" s="18" t="inlineStr">
        <is>
          <t>verneint</t>
        </is>
      </c>
      <c r="V30" s="18" t="inlineStr">
        <is>
          <t>verneint</t>
        </is>
      </c>
      <c r="W30" s="18" t="inlineStr">
        <is>
          <t>verneint</t>
        </is>
      </c>
      <c r="X30" s="18" t="inlineStr">
        <is>
          <t>Beide Handgelenke mit postoperativer partieller Versteifung; keine aktuell symptomatischen Gelenkregionen genannt.</t>
        </is>
      </c>
      <c r="Y30" s="18" t="inlineStr">
        <is>
          <t>Im 28-Gelenkstatus keine Druckschmerzen oder geschwollenen Gelenke. Beide Handgelenke postoperativ partiell versteift.</t>
        </is>
      </c>
      <c r="Z30" s="18" t="n"/>
      <c r="AA30" s="18" t="inlineStr">
        <is>
          <t>Nicht beurteilbar</t>
        </is>
      </c>
      <c r="AB30" s="18" t="inlineStr">
        <is>
          <t>Remission</t>
        </is>
      </c>
      <c r="AC30" s="18" t="inlineStr">
        <is>
          <t>Unter Baricitinib und Methotrexat aktuell beschwerdefrei und ärztlich dokumentierte Remission; Fortführung der Therapie empfohlen. Postoperative Handgelenkversteifungen bestehen fort. Thrombozytose und diskret erhöhte Transaminasen sollen kontrolliert werden.</t>
        </is>
      </c>
      <c r="AD30" s="18" t="inlineStr">
        <is>
          <t>Einziger belegter rheumatologischer Besuchstag ist der 09.09.2021, nach dem Follow-up-Scan vom 19.03.2021.
Ansprechen nicht beurteilbar: Dokumentiert sind aktuelle Beschwerdefreiheit und Remission, jedoch keine ausdrückliche klinische Veränderung mit einordenbarem Ausmaß unter einer konkret beurteilten Therapie.
Der unauffällige 28-Gelenkstatus wird nicht in numerische TJC- oder SJC-Werte umgerechnet.
CRP, BSG und DAS28 haben kein gesondert ausgewiesenes Messdatum; die DAS28-Variante ist nicht angegeben.
CRP-Auswahl: erster dokumentierter Messwert in der Briefreihenfolge; daraus kein genaues Labordatum abgeleitet.</t>
        </is>
      </c>
    </row>
    <row r="31" ht="225" customHeight="1">
      <c r="A31" s="13" t="n">
        <v>31</v>
      </c>
      <c r="B31" s="14" t="inlineStr">
        <is>
          <t>RA</t>
        </is>
      </c>
      <c r="C31" s="14" t="inlineStr">
        <is>
          <t>Baseline</t>
        </is>
      </c>
      <c r="D31" s="15" t="n">
        <v>43374</v>
      </c>
      <c r="E31" s="15" t="n">
        <v>43374</v>
      </c>
      <c r="F31" s="13">
        <f>IF(E31="","",E31-D31)</f>
        <v/>
      </c>
      <c r="G31" s="16" t="n"/>
      <c r="H31" s="14" t="n"/>
      <c r="I31" s="16" t="n"/>
      <c r="J31" s="16" t="n"/>
      <c r="K31" s="16" t="n"/>
      <c r="L31" s="16" t="n"/>
      <c r="M31" s="16" t="n"/>
      <c r="N31" s="14" t="inlineStr">
        <is>
          <t>Ja</t>
        </is>
      </c>
      <c r="O31" s="16" t="n">
        <v>10.38</v>
      </c>
      <c r="P31" s="14" t="inlineStr">
        <is>
          <t>&gt;</t>
        </is>
      </c>
      <c r="Q31" s="14" t="inlineStr">
        <is>
          <t>mg/l</t>
        </is>
      </c>
      <c r="R31" s="16" t="n"/>
      <c r="S31" s="14" t="inlineStr">
        <is>
          <t>Systemisches Glukokortikoid, nicht näher bezeichnet</t>
        </is>
      </c>
      <c r="T31" s="14" t="inlineStr">
        <is>
          <t>Wechselnd starke Schmerzen an linker Schulter, rechtem Knie, beiden Handgelenken und linkem Vorfuß.</t>
        </is>
      </c>
      <c r="U31" s="14" t="inlineStr">
        <is>
          <t>vorhanden</t>
        </is>
      </c>
      <c r="V31" s="14" t="inlineStr">
        <is>
          <t>nicht erwähnt</t>
        </is>
      </c>
      <c r="W31" s="14" t="inlineStr">
        <is>
          <t>nicht erwähnt</t>
        </is>
      </c>
      <c r="X31" s="14" t="inlineStr">
        <is>
          <t>Linke Schulter, rechtes Knie, Handgelenke beidseits, linker Vorfuß.</t>
        </is>
      </c>
      <c r="Y31" s="14" t="inlineStr">
        <is>
          <t>Anamnestisch seit Anfang 2017 wechselnd starke Gelenkschmerzen; kein spezifischer klinischer Gelenkstatus dokumentiert.</t>
        </is>
      </c>
      <c r="Z31" s="14" t="n"/>
      <c r="AA31" s="14" t="n"/>
      <c r="AB31" s="14" t="inlineStr">
        <is>
          <t>Aktiv</t>
        </is>
      </c>
      <c r="AC31" s="14" t="inlineStr">
        <is>
          <t>Bei schmerzhaften Gelenken und deutlicher Entzündungsaktivität wurde eine seropositive RA diagnostiziert. Methotrexat wurde zum Beginn besprochen; die am 07.10.2018 selbständig erneut begonnene Steroidtherapie sollte zunächst fortgeführt und anschließend ausgeschlichen werden.</t>
        </is>
      </c>
      <c r="AD31" s="14" t="inlineStr">
        <is>
          <t>Klinischer Referenztermin ist der belegte Besuch am 01.10.2018; Beschwerden und zusammenfassende Beurteilung sind keinem einzelnen der drei Besuche eindeutig zugeordnet.
CRP: verbindlich vorgegebenen ersten Messwert nach Reihenfolge übernommen. Dieser stammt im Brief aus „Hoch sensitives CRP“; zusätzlich ist C-reaktives Protein 15,1 mg/l dokumentiert. Die verbindliche Vorgabe hat hier Vorrang vor dem Ausschluss von hsCRP.
Einzelnes Labordatum nicht dokumentiert.
Keine klinische Gelenkschwellung aus dem bildgebend beschriebenen Knieerguss abgeleitet.
Frühere NSAR-Verordnungen erwähnt; aktuelle Einnahme und Wirkstoff nicht belegt.
CRP-Auswahl: erster dokumentierter Messwert in der Briefreihenfolge; daraus kein genaues Labordatum abgeleitet.</t>
        </is>
      </c>
    </row>
    <row r="32" ht="135" customHeight="1">
      <c r="A32" s="17" t="n">
        <v>31</v>
      </c>
      <c r="B32" s="18" t="inlineStr">
        <is>
          <t>RA</t>
        </is>
      </c>
      <c r="C32" s="18" t="inlineStr">
        <is>
          <t>Follow-up</t>
        </is>
      </c>
      <c r="D32" s="19" t="n">
        <v>44071</v>
      </c>
      <c r="E32" s="19" t="n">
        <v>44083</v>
      </c>
      <c r="F32" s="17">
        <f>IF(E32="","",E32-D32)</f>
        <v/>
      </c>
      <c r="G32" s="20" t="n"/>
      <c r="H32" s="18" t="n"/>
      <c r="I32" s="20" t="n">
        <v>0</v>
      </c>
      <c r="J32" s="20" t="n">
        <v>0</v>
      </c>
      <c r="K32" s="20" t="n"/>
      <c r="L32" s="20" t="n"/>
      <c r="M32" s="20" t="n"/>
      <c r="N32" s="18" t="inlineStr">
        <is>
          <t>Ja</t>
        </is>
      </c>
      <c r="O32" s="20" t="n">
        <v>5.2</v>
      </c>
      <c r="P32" s="18" t="inlineStr">
        <is>
          <t>&lt;</t>
        </is>
      </c>
      <c r="Q32" s="18" t="inlineStr">
        <is>
          <t>mg/l</t>
        </is>
      </c>
      <c r="R32" s="20" t="n"/>
      <c r="S32" s="18" t="inlineStr">
        <is>
          <t>Methotrexat; Folsäure</t>
        </is>
      </c>
      <c r="T32" s="18" t="inlineStr">
        <is>
          <t>Keine Arthralgien oder Morgensteifigkeit; klinisch unauffälliger Gelenkstatus.</t>
        </is>
      </c>
      <c r="U32" s="18" t="inlineStr">
        <is>
          <t>verneint</t>
        </is>
      </c>
      <c r="V32" s="18" t="inlineStr">
        <is>
          <t>verneint</t>
        </is>
      </c>
      <c r="W32" s="18" t="inlineStr">
        <is>
          <t>verneint</t>
        </is>
      </c>
      <c r="X32" s="18" t="n"/>
      <c r="Y32" s="18" t="inlineStr">
        <is>
          <t>Keine druckschmerzhaften oder geschwollenen Gelenke, keine Enthesitis und keine Daktylitis.</t>
        </is>
      </c>
      <c r="Z32" s="18" t="inlineStr">
        <is>
          <t>Methotrexat</t>
        </is>
      </c>
      <c r="AA32" s="18" t="inlineStr">
        <is>
          <t>Nicht beurteilbar</t>
        </is>
      </c>
      <c r="AB32" s="18" t="inlineStr">
        <is>
          <t>Remission</t>
        </is>
      </c>
      <c r="AC32" s="18" t="inlineStr">
        <is>
          <t>Unter seit etwa fünf Monaten auf 10 mg pro Woche reduziertem Methotrexat keine Verschlechterung und aktuell keine Arthralgien oder Morgensteifigkeit. Ärztlich dokumentierte Remission; unveränderte Fortführung empfohlen. Eine klinische Besserung mit einordenbarem Ausmaß wird nicht beschrieben.</t>
        </is>
      </c>
      <c r="AD32" s="18" t="inlineStr">
        <is>
          <t>TJC und SJC ausdrücklich jeweils 0; untersuchter Zählbereich nicht angegeben, daher keine Gleichsetzung mit TJC28/SJC28.
CRP gemäß verbindlicher Vorgabe übernommen; einzelnes Labordatum nicht dokumentiert.
Ansprechen nicht beurteilbar: Remission und fehlende Verschlechterung nach Dosisreduktion belegen keinen klinischen Veränderungsnachweis mit einordenbarem Besserungsausmaß.
CRP-Auswahl: erster dokumentierter Messwert in der Briefreihenfolge; daraus kein genaues Labordatum abgeleitet.</t>
        </is>
      </c>
    </row>
  </sheetData>
  <autoFilter ref="A2:AD32"/>
  <mergeCells count="5">
    <mergeCell ref="T1:Y1"/>
    <mergeCell ref="Z1:AD1"/>
    <mergeCell ref="A1:F1"/>
    <mergeCell ref="G1:M1"/>
    <mergeCell ref="N1:R1"/>
  </mergeCells>
  <dataValidations count="8">
    <dataValidation sqref="H3:H32" showDropDown="0" showInputMessage="0" showErrorMessage="0" allowBlank="1" type="list">
      <formula1>"CRP,BSG,nicht angegeben"</formula1>
    </dataValidation>
    <dataValidation sqref="U3:U32" showDropDown="0" showInputMessage="0" showErrorMessage="0" allowBlank="1" type="list">
      <formula1>"vorhanden,verneint,unklar,nicht erwähnt"</formula1>
    </dataValidation>
    <dataValidation sqref="V3:V32" showDropDown="0" showInputMessage="0" showErrorMessage="0" allowBlank="1" type="list">
      <formula1>"vorhanden,verneint,unklar,nicht erwähnt"</formula1>
    </dataValidation>
    <dataValidation sqref="W3:W32" showDropDown="0" showInputMessage="0" showErrorMessage="0" allowBlank="1" type="list">
      <formula1>"vorhanden,verneint,unklar,nicht erwähnt"</formula1>
    </dataValidation>
    <dataValidation sqref="P3:P32" showDropDown="0" showInputMessage="0" showErrorMessage="0" allowBlank="1" type="list">
      <formula1>"=,&lt;,&lt;=,&gt;,&gt;="</formula1>
    </dataValidation>
    <dataValidation sqref="N3:N32" showDropDown="0" showInputMessage="0" showErrorMessage="0" allowBlank="1" type="list">
      <formula1>"Ja,Nein"</formula1>
    </dataValidation>
    <dataValidation sqref="AA3:AA32" showDropDown="0" showInputMessage="0" showErrorMessage="0" allowBlank="1" type="list">
      <formula1>"Deutlich,Partiell,Keines,Nicht beurteilbar"</formula1>
    </dataValidation>
    <dataValidation sqref="AB3:AB32" showDropDown="0" showInputMessage="0" showErrorMessage="0" allowBlank="1" type="list">
      <formula1>"Remission,Gut kontrolliert,Aktiv,Unklar"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40" customWidth="1" min="11" max="11"/>
    <col width="40" customWidth="1" min="12" max="12"/>
    <col width="65" customWidth="1" min="13" max="13"/>
    <col width="65" customWidth="1" min="14" max="14"/>
  </cols>
  <sheetData>
    <row r="1" ht="40" customHeight="1">
      <c r="A1" s="21" t="inlineStr">
        <is>
          <t>Patient</t>
        </is>
      </c>
      <c r="B1" s="21" t="inlineStr">
        <is>
          <t>Erkrankung</t>
        </is>
      </c>
      <c r="C1" s="21" t="inlineStr">
        <is>
          <t>Zeitpunkt</t>
        </is>
      </c>
      <c r="D1" s="21" t="inlineStr">
        <is>
          <t>Wirkstoff</t>
        </is>
      </c>
      <c r="E1" s="21" t="inlineStr">
        <is>
          <t>Dosis</t>
        </is>
      </c>
      <c r="F1" s="21" t="inlineStr">
        <is>
          <t>Dosiseinheit</t>
        </is>
      </c>
      <c r="G1" s="21" t="inlineStr">
        <is>
          <t>Intervallzahl</t>
        </is>
      </c>
      <c r="H1" s="21" t="inlineStr">
        <is>
          <t>Intervalleinheit</t>
        </is>
      </c>
      <c r="I1" s="21" t="inlineStr">
        <is>
          <t>Bedarf</t>
        </is>
      </c>
      <c r="J1" s="21" t="inlineStr">
        <is>
          <t>Status</t>
        </is>
      </c>
      <c r="K1" s="21" t="inlineStr">
        <is>
          <t>Dosierung (Original)</t>
        </is>
      </c>
      <c r="L1" s="21" t="inlineStr">
        <is>
          <t>Quelle</t>
        </is>
      </c>
      <c r="M1" s="21" t="inlineStr">
        <is>
          <t>Originalbeleg</t>
        </is>
      </c>
      <c r="N1" s="21" t="inlineStr">
        <is>
          <t>Hinweise</t>
        </is>
      </c>
    </row>
    <row r="2">
      <c r="A2" s="22" t="n">
        <v>17</v>
      </c>
      <c r="B2" s="23" t="inlineStr">
        <is>
          <t>RA</t>
        </is>
      </c>
      <c r="C2" s="23" t="inlineStr">
        <is>
          <t>Baseline</t>
        </is>
      </c>
      <c r="D2" s="23" t="inlineStr">
        <is>
          <t>Methotrexat</t>
        </is>
      </c>
      <c r="E2" s="22" t="n">
        <v>22.5</v>
      </c>
      <c r="F2" s="23" t="inlineStr">
        <is>
          <t>mg</t>
        </is>
      </c>
      <c r="G2" s="23" t="n"/>
      <c r="H2" s="23" t="n"/>
      <c r="I2" s="23" t="inlineStr">
        <is>
          <t>Nein</t>
        </is>
      </c>
      <c r="J2" s="23" t="inlineStr">
        <is>
          <t>laufend</t>
        </is>
      </c>
      <c r="K2" s="23" t="inlineStr">
        <is>
          <t>MTX 22,5 mg seit 02/2025 (09/2019 Beginn)</t>
        </is>
      </c>
      <c r="L2" s="23" t="inlineStr">
        <is>
          <t>17_Baseline.docx</t>
        </is>
      </c>
      <c r="M2" s="23" t="inlineStr">
        <is>
          <t>MTX 22,5 mg seit 02/2025 (09/2019 Beginn)
Bekannte Polyarthritis unter MTX-Therapie.</t>
        </is>
      </c>
      <c r="N2" s="23" t="inlineStr">
        <is>
          <t>Einnahmeintervall nicht dokumentiert.</t>
        </is>
      </c>
    </row>
    <row r="3">
      <c r="A3" s="22" t="n">
        <v>17</v>
      </c>
      <c r="B3" s="23" t="inlineStr">
        <is>
          <t>RA</t>
        </is>
      </c>
      <c r="C3" s="23" t="inlineStr">
        <is>
          <t>Baseline</t>
        </is>
      </c>
      <c r="D3" s="23" t="inlineStr">
        <is>
          <t>Adalimumab</t>
        </is>
      </c>
      <c r="E3" s="22" t="n">
        <v>40</v>
      </c>
      <c r="F3" s="23" t="inlineStr">
        <is>
          <t>mg</t>
        </is>
      </c>
      <c r="G3" s="22" t="n">
        <v>14</v>
      </c>
      <c r="H3" s="23" t="inlineStr">
        <is>
          <t>Tage</t>
        </is>
      </c>
      <c r="I3" s="23" t="inlineStr">
        <is>
          <t>Nein</t>
        </is>
      </c>
      <c r="J3" s="23" t="inlineStr">
        <is>
          <t>geplant</t>
        </is>
      </c>
      <c r="K3" s="23" t="inlineStr">
        <is>
          <t>Adalimumab 40 mg s.c. alle 14 Tage</t>
        </is>
      </c>
      <c r="L3" s="23" t="inlineStr">
        <is>
          <t>17_Baseline.docx</t>
        </is>
      </c>
      <c r="M3" s="23" t="inlineStr">
        <is>
          <t>Daher empfehlen wir eine Therapie mit Adalimumab 40 mg s.c. alle 14 Tage.</t>
        </is>
      </c>
      <c r="N3" s="23" t="n"/>
    </row>
    <row r="4">
      <c r="A4" s="22" t="n">
        <v>17</v>
      </c>
      <c r="B4" s="23" t="inlineStr">
        <is>
          <t>RA</t>
        </is>
      </c>
      <c r="C4" s="23" t="inlineStr">
        <is>
          <t>Baseline</t>
        </is>
      </c>
      <c r="D4" s="23" t="inlineStr">
        <is>
          <t>Prednisolon</t>
        </is>
      </c>
      <c r="E4" s="22" t="n">
        <v>20</v>
      </c>
      <c r="F4" s="23" t="inlineStr">
        <is>
          <t>mg</t>
        </is>
      </c>
      <c r="G4" s="23" t="n"/>
      <c r="H4" s="23" t="n"/>
      <c r="I4" s="23" t="inlineStr">
        <is>
          <t>Unklar</t>
        </is>
      </c>
      <c r="J4" s="23" t="inlineStr">
        <is>
          <t>beendet</t>
        </is>
      </c>
      <c r="K4" s="23" t="inlineStr">
        <is>
          <t>Prednisolon 20 mg</t>
        </is>
      </c>
      <c r="L4" s="23" t="inlineStr">
        <is>
          <t>17_Baseline.docx</t>
        </is>
      </c>
      <c r="M4" s="23" t="inlineStr">
        <is>
          <t>Die Patientin nahm jeweils selbstständig Prednisolon 20 mg ein, worunter eine deutliche Linderung eintrat.
Daraufhin erneut Einnahme von Prednisolon 20 mg, mit rascher Besserung.</t>
        </is>
      </c>
      <c r="N4" s="23" t="inlineStr">
        <is>
          <t>Zurückliegende episodische Einnahmen im Juni/Juli und August 2025; Dauer und Intervall nicht dokumentiert, keine laufende Steroidtherapie belegt.</t>
        </is>
      </c>
    </row>
    <row r="5">
      <c r="A5" s="22" t="n">
        <v>17</v>
      </c>
      <c r="B5" s="23" t="inlineStr">
        <is>
          <t>RA</t>
        </is>
      </c>
      <c r="C5" s="23" t="inlineStr">
        <is>
          <t>Follow-up</t>
        </is>
      </c>
      <c r="D5" s="23" t="inlineStr">
        <is>
          <t>Adalimumab</t>
        </is>
      </c>
      <c r="E5" s="22" t="n">
        <v>40</v>
      </c>
      <c r="F5" s="23" t="inlineStr">
        <is>
          <t>mg</t>
        </is>
      </c>
      <c r="G5" s="22" t="n">
        <v>14</v>
      </c>
      <c r="H5" s="23" t="inlineStr">
        <is>
          <t>Tage</t>
        </is>
      </c>
      <c r="I5" s="23" t="inlineStr">
        <is>
          <t>Nein</t>
        </is>
      </c>
      <c r="J5" s="23" t="inlineStr">
        <is>
          <t>laufend</t>
        </is>
      </c>
      <c r="K5" s="23" t="inlineStr">
        <is>
          <t>Adalimumab 40mg s.c. alle 14 Tage (seit 11/25)</t>
        </is>
      </c>
      <c r="L5" s="23" t="inlineStr">
        <is>
          <t>17_FollowUp.docx</t>
        </is>
      </c>
      <c r="M5" s="23" t="inlineStr">
        <is>
          <t>Aktuelle Therapie: Adalimumab 40mg s.c. alle 14 Tage (seit 11/25)</t>
        </is>
      </c>
      <c r="N5" s="23" t="n"/>
    </row>
    <row r="6">
      <c r="A6" s="22" t="n">
        <v>17</v>
      </c>
      <c r="B6" s="23" t="inlineStr">
        <is>
          <t>RA</t>
        </is>
      </c>
      <c r="C6" s="23" t="inlineStr">
        <is>
          <t>Follow-up</t>
        </is>
      </c>
      <c r="D6" s="23" t="inlineStr">
        <is>
          <t>Methotrexat</t>
        </is>
      </c>
      <c r="E6" s="23" t="n"/>
      <c r="F6" s="23" t="n"/>
      <c r="G6" s="23" t="n"/>
      <c r="H6" s="23" t="n"/>
      <c r="I6" s="23" t="inlineStr">
        <is>
          <t>Nein</t>
        </is>
      </c>
      <c r="J6" s="23" t="inlineStr">
        <is>
          <t>laufend</t>
        </is>
      </c>
      <c r="K6" s="23" t="inlineStr">
        <is>
          <t>MTX 22,5 mg seit 02/2025 (09/2019 Beginn)</t>
        </is>
      </c>
      <c r="L6" s="23" t="inlineStr">
        <is>
          <t>17_FollowUp.docx</t>
        </is>
      </c>
      <c r="M6" s="23" t="inlineStr">
        <is>
          <t>Wiedervorstellung zur Verlaufskontrolle bei bekannter seropositiver rheumatoider Arthritis unter Therapie mit Adalimumab und Methotrexat.
MTX 22,5 mg seit 02/2025 (09/2019 Beginn)</t>
        </is>
      </c>
      <c r="N6" s="23" t="inlineStr">
        <is>
          <t>22,5 mg stehen unter bisheriger Therapie; die aktuelle Einnahme ist bestätigt, die aktuelle Dosis jedoch nicht eindeutig separat ausgewiesen.</t>
        </is>
      </c>
    </row>
    <row r="7">
      <c r="A7" s="22" t="n">
        <v>17</v>
      </c>
      <c r="B7" s="23" t="inlineStr">
        <is>
          <t>RA</t>
        </is>
      </c>
      <c r="C7" s="23" t="inlineStr">
        <is>
          <t>Follow-up</t>
        </is>
      </c>
      <c r="D7" s="23" t="inlineStr">
        <is>
          <t>Methotrexat</t>
        </is>
      </c>
      <c r="E7" s="22" t="n">
        <v>20</v>
      </c>
      <c r="F7" s="23" t="inlineStr">
        <is>
          <t>mg</t>
        </is>
      </c>
      <c r="G7" s="22" t="n">
        <v>1</v>
      </c>
      <c r="H7" s="23" t="inlineStr">
        <is>
          <t>Wochen</t>
        </is>
      </c>
      <c r="I7" s="23" t="inlineStr">
        <is>
          <t>Nein</t>
        </is>
      </c>
      <c r="J7" s="23" t="inlineStr">
        <is>
          <t>geplant</t>
        </is>
      </c>
      <c r="K7" s="23" t="inlineStr">
        <is>
          <t>Bei Beschwerdefreiheit probatorische Reduktion von MTX auf 20 mg s.c. 1× wöchentlich.</t>
        </is>
      </c>
      <c r="L7" s="23" t="inlineStr">
        <is>
          <t>17_FollowUp.docx</t>
        </is>
      </c>
      <c r="M7" s="23" t="inlineStr">
        <is>
          <t>Bei Beschwerdefreiheit probatorische Reduktion von MTX auf 20 mg s.c. 1× wöchentlich.</t>
        </is>
      </c>
      <c r="N7" s="23" t="inlineStr">
        <is>
          <t>Bedingte Dosisreduktion, Umsetzung nicht belegt.</t>
        </is>
      </c>
    </row>
    <row r="8">
      <c r="A8" s="22" t="n">
        <v>18</v>
      </c>
      <c r="B8" s="23" t="inlineStr">
        <is>
          <t>RA</t>
        </is>
      </c>
      <c r="C8" s="23" t="inlineStr">
        <is>
          <t>Baseline</t>
        </is>
      </c>
      <c r="D8" s="23" t="inlineStr">
        <is>
          <t>Blinatumomab</t>
        </is>
      </c>
      <c r="E8" s="23" t="n"/>
      <c r="F8" s="23" t="n"/>
      <c r="G8" s="23" t="n"/>
      <c r="H8" s="23" t="n"/>
      <c r="I8" s="23" t="inlineStr">
        <is>
          <t>Nein</t>
        </is>
      </c>
      <c r="J8" s="23" t="inlineStr">
        <is>
          <t>beendet</t>
        </is>
      </c>
      <c r="K8" s="23" t="inlineStr">
        <is>
          <t>kum. 38,5µg Blinatumomab als Daureinfusion über 96h</t>
        </is>
      </c>
      <c r="L8" s="23" t="inlineStr">
        <is>
          <t>18_Baseline.docx</t>
        </is>
      </c>
      <c r="M8" s="23" t="inlineStr">
        <is>
          <t>Die Patientin erhielt kum. 38,5µg Blinatumomab als Daureinfusion über 96h.
Erneute Blinatumomab-Applikation ab dem 15.02.2024 auf unserer Station.</t>
        </is>
      </c>
      <c r="N8" s="23" t="inlineStr">
        <is>
          <t>Infusionsbehandlung im berichteten Aufenthalt abgeschlossen; weitere Applikation ab 15.02.2024 geplant.
Kumulative Dosis und Infusionsdauer nicht als regelmäßige Einzeldosis oder Einnahmeintervall übernommen.</t>
        </is>
      </c>
    </row>
    <row r="9">
      <c r="A9" s="22" t="n">
        <v>18</v>
      </c>
      <c r="B9" s="23" t="inlineStr">
        <is>
          <t>RA</t>
        </is>
      </c>
      <c r="C9" s="23" t="inlineStr">
        <is>
          <t>Baseline</t>
        </is>
      </c>
      <c r="D9" s="23" t="inlineStr">
        <is>
          <t>Abatacept</t>
        </is>
      </c>
      <c r="E9" s="22" t="n">
        <v>125</v>
      </c>
      <c r="F9" s="23" t="inlineStr">
        <is>
          <t>mg</t>
        </is>
      </c>
      <c r="G9" s="23" t="n"/>
      <c r="H9" s="23" t="n"/>
      <c r="I9" s="23" t="inlineStr">
        <is>
          <t>Unklar</t>
        </is>
      </c>
      <c r="J9" s="23" t="inlineStr">
        <is>
          <t>beendet</t>
        </is>
      </c>
      <c r="K9" s="23" t="inlineStr">
        <is>
          <t>Abatacept 125mg s.c. 07/2023-10/2023</t>
        </is>
      </c>
      <c r="L9" s="23" t="inlineStr">
        <is>
          <t>18_Baseline.docx</t>
        </is>
      </c>
      <c r="M9" s="23" t="inlineStr">
        <is>
          <t>Therapie zuletzt: Abatacept 125mg s.c. 07/2023-10/2023</t>
        </is>
      </c>
      <c r="N9" s="23" t="inlineStr">
        <is>
          <t>Vorangegangene Therapiephase; keine laufende Behandlung bei Aufnahme.</t>
        </is>
      </c>
    </row>
    <row r="10">
      <c r="A10" s="22" t="n">
        <v>18</v>
      </c>
      <c r="B10" s="23" t="inlineStr">
        <is>
          <t>RA</t>
        </is>
      </c>
      <c r="C10" s="23" t="inlineStr">
        <is>
          <t>Follow-up</t>
        </is>
      </c>
      <c r="D10" s="23" t="inlineStr">
        <is>
          <t>Blinatumomab</t>
        </is>
      </c>
      <c r="E10" s="23" t="n"/>
      <c r="F10" s="23" t="n"/>
      <c r="G10" s="23" t="n"/>
      <c r="H10" s="23" t="n"/>
      <c r="I10" s="23" t="inlineStr">
        <is>
          <t>Nein</t>
        </is>
      </c>
      <c r="J10" s="23" t="inlineStr">
        <is>
          <t>beendet</t>
        </is>
      </c>
      <c r="K10" s="23" t="inlineStr">
        <is>
          <t>02/2024: Blinatumomab, 2/2 Zyklen erfolgt</t>
        </is>
      </c>
      <c r="L10" s="23" t="inlineStr">
        <is>
          <t>18_FollowUp.docx</t>
        </is>
      </c>
      <c r="M10" s="23" t="inlineStr">
        <is>
          <t>02/2024: Blinatumomab, 2/2 Zyklen erfolgt</t>
        </is>
      </c>
      <c r="N10" s="23" t="inlineStr">
        <is>
          <t>Zwei Zyklen abgeschlossen; keine laufende Dauerinfusion dokumentiert.
Dosis und regelmäßiges Intervall in der Follow-up-Briefgruppe nicht angegeben.</t>
        </is>
      </c>
    </row>
    <row r="11">
      <c r="A11" s="22" t="n">
        <v>18</v>
      </c>
      <c r="B11" s="23" t="inlineStr">
        <is>
          <t>RA</t>
        </is>
      </c>
      <c r="C11" s="23" t="inlineStr">
        <is>
          <t>Follow-up</t>
        </is>
      </c>
      <c r="D11" s="23" t="inlineStr">
        <is>
          <t>Ibuprofen</t>
        </is>
      </c>
      <c r="E11" s="23" t="n"/>
      <c r="F11" s="23" t="n"/>
      <c r="G11" s="23" t="n"/>
      <c r="H11" s="23" t="n"/>
      <c r="I11" s="23" t="inlineStr">
        <is>
          <t>Unklar</t>
        </is>
      </c>
      <c r="J11" s="23" t="inlineStr">
        <is>
          <t>beendet</t>
        </is>
      </c>
      <c r="K11" s="23" t="inlineStr">
        <is>
          <t>Seit der Infusion 1 mal Ibuprofen wegen Schmerzen am Sakrum.</t>
        </is>
      </c>
      <c r="L11" s="23" t="inlineStr">
        <is>
          <t>18_FollowUp.docx</t>
        </is>
      </c>
      <c r="M11" s="23" t="inlineStr">
        <is>
          <t>Seit der Infusion 1 mal Ibuprofen wegen Schmerzen am Sakrum.</t>
        </is>
      </c>
      <c r="N11" s="23" t="inlineStr">
        <is>
          <t>Einmalige zurückliegende Einnahme; keine ausdrückliche fortbestehende Bedarfsverordnung dokumentiert.</t>
        </is>
      </c>
    </row>
    <row r="12">
      <c r="A12" s="22" t="n">
        <v>19</v>
      </c>
      <c r="B12" s="23" t="inlineStr">
        <is>
          <t>RA</t>
        </is>
      </c>
      <c r="C12" s="23" t="inlineStr">
        <is>
          <t>Baseline</t>
        </is>
      </c>
      <c r="D12" s="23" t="inlineStr">
        <is>
          <t>Baricitinib</t>
        </is>
      </c>
      <c r="E12" s="22" t="n">
        <v>2</v>
      </c>
      <c r="F12" s="23" t="inlineStr">
        <is>
          <t>mg</t>
        </is>
      </c>
      <c r="G12" s="22" t="n">
        <v>1</v>
      </c>
      <c r="H12" s="23" t="inlineStr">
        <is>
          <t>Tage</t>
        </is>
      </c>
      <c r="I12" s="23" t="inlineStr">
        <is>
          <t>Nein</t>
        </is>
      </c>
      <c r="J12" s="23" t="inlineStr">
        <is>
          <t>laufend</t>
        </is>
      </c>
      <c r="K12" s="23" t="inlineStr">
        <is>
          <t>Dosisreduktion von Baricitinib auf 2mg pro Tag</t>
        </is>
      </c>
      <c r="L12" s="23" t="inlineStr">
        <is>
          <t>19_Baseline.docx</t>
        </is>
      </c>
      <c r="M12" s="23" t="inlineStr">
        <is>
          <t>Bei Gewichtszunahme und schlechter Verträglichkeit (ausgeprägte Abgeschlagenheit) auf Wunsch der Pat. Dosisreduktion von Baricitinib auf 2mg pro Tag.
Olumiant 4 mg 1-0-0</t>
        </is>
      </c>
      <c r="N12" s="23" t="inlineStr">
        <is>
          <t>Dauermedikationsliste nennt noch 4 mg täglich; die ausdrücklich beschlossene Dosisreduktion auf 2 mg täglich wurde übernommen.</t>
        </is>
      </c>
    </row>
    <row r="13">
      <c r="A13" s="22" t="n">
        <v>19</v>
      </c>
      <c r="B13" s="23" t="inlineStr">
        <is>
          <t>RA</t>
        </is>
      </c>
      <c r="C13" s="23" t="inlineStr">
        <is>
          <t>Baseline</t>
        </is>
      </c>
      <c r="D13" s="23" t="inlineStr">
        <is>
          <t>Rituximab</t>
        </is>
      </c>
      <c r="E13" s="22" t="n">
        <v>1000</v>
      </c>
      <c r="F13" s="23" t="inlineStr">
        <is>
          <t>mg</t>
        </is>
      </c>
      <c r="G13" s="23" t="n"/>
      <c r="H13" s="23" t="n"/>
      <c r="I13" s="23" t="inlineStr">
        <is>
          <t>Unklar</t>
        </is>
      </c>
      <c r="J13" s="23" t="inlineStr">
        <is>
          <t>pausiert</t>
        </is>
      </c>
      <c r="K13" s="23" t="inlineStr">
        <is>
          <t>Rituximab 1000 mg i.v. (letzte Gabe im Mai 23)</t>
        </is>
      </c>
      <c r="L13" s="23" t="inlineStr">
        <is>
          <t>19_Baseline.docx</t>
        </is>
      </c>
      <c r="M13" s="23" t="inlineStr">
        <is>
          <t>Rituximab 1000 mg i.v. (letzte Gabe im Mai 23)
Vorerst keine weiteren Rituximab, bei auch rez. Infekten und zunehmendem IgG-Mangel.</t>
        </is>
      </c>
      <c r="N13" s="23" t="inlineStr">
        <is>
          <t>Letzte Gabe laut Diagnosen im Mai 2023; die Anamnese nennt abweichend November 2022. Keine regelmäßige weitere Infusionsgabe dokumentiert.</t>
        </is>
      </c>
    </row>
    <row r="14">
      <c r="A14" s="22" t="n">
        <v>19</v>
      </c>
      <c r="B14" s="23" t="inlineStr">
        <is>
          <t>RA</t>
        </is>
      </c>
      <c r="C14" s="23" t="inlineStr">
        <is>
          <t>Baseline</t>
        </is>
      </c>
      <c r="D14" s="23" t="inlineStr">
        <is>
          <t>Metamizol</t>
        </is>
      </c>
      <c r="E14" s="22" t="n">
        <v>40</v>
      </c>
      <c r="F14" s="23" t="inlineStr">
        <is>
          <t>Tropfen</t>
        </is>
      </c>
      <c r="G14" s="23" t="n"/>
      <c r="H14" s="23" t="n"/>
      <c r="I14" s="23" t="inlineStr">
        <is>
          <t>Ja</t>
        </is>
      </c>
      <c r="J14" s="23" t="inlineStr">
        <is>
          <t>laufend</t>
        </is>
      </c>
      <c r="K14" s="23" t="inlineStr">
        <is>
          <t>Novaminsulfon Tropfen 40 bei Bedarf (wenn sie arbeiten müssen)</t>
        </is>
      </c>
      <c r="L14" s="23" t="inlineStr">
        <is>
          <t>19_Baseline.docx</t>
        </is>
      </c>
      <c r="M14" s="23" t="inlineStr">
        <is>
          <t>Novaminsulfon Tropfen 40 bei Bedarf (wenn sie arbeiten müssen)</t>
        </is>
      </c>
      <c r="N14" s="23" t="n"/>
    </row>
    <row r="15">
      <c r="A15" s="22" t="n">
        <v>19</v>
      </c>
      <c r="B15" s="23" t="inlineStr">
        <is>
          <t>RA</t>
        </is>
      </c>
      <c r="C15" s="23" t="inlineStr">
        <is>
          <t>Baseline</t>
        </is>
      </c>
      <c r="D15" s="23" t="inlineStr">
        <is>
          <t>Ibuprofen</t>
        </is>
      </c>
      <c r="E15" s="22" t="n">
        <v>600</v>
      </c>
      <c r="F15" s="23" t="inlineStr">
        <is>
          <t>mg</t>
        </is>
      </c>
      <c r="G15" s="23" t="n"/>
      <c r="H15" s="23" t="n"/>
      <c r="I15" s="23" t="inlineStr">
        <is>
          <t>Ja</t>
        </is>
      </c>
      <c r="J15" s="23" t="inlineStr">
        <is>
          <t>laufend</t>
        </is>
      </c>
      <c r="K15" s="23" t="inlineStr">
        <is>
          <t>Ibuprofen 600mg nach Bedarf</t>
        </is>
      </c>
      <c r="L15" s="23" t="inlineStr">
        <is>
          <t>19_Baseline.docx</t>
        </is>
      </c>
      <c r="M15" s="23" t="inlineStr">
        <is>
          <t>Ibuprofen 600mg nach Bedarf</t>
        </is>
      </c>
      <c r="N15" s="23" t="n"/>
    </row>
    <row r="16">
      <c r="A16" s="22" t="n">
        <v>19</v>
      </c>
      <c r="B16" s="23" t="inlineStr">
        <is>
          <t>RA</t>
        </is>
      </c>
      <c r="C16" s="23" t="inlineStr">
        <is>
          <t>Follow-up</t>
        </is>
      </c>
      <c r="D16" s="23" t="inlineStr">
        <is>
          <t>Baricitinib</t>
        </is>
      </c>
      <c r="E16" s="22" t="n">
        <v>2</v>
      </c>
      <c r="F16" s="23" t="inlineStr">
        <is>
          <t>mg</t>
        </is>
      </c>
      <c r="G16" s="22" t="n">
        <v>1</v>
      </c>
      <c r="H16" s="23" t="inlineStr">
        <is>
          <t>Tage</t>
        </is>
      </c>
      <c r="I16" s="23" t="inlineStr">
        <is>
          <t>Nein</t>
        </is>
      </c>
      <c r="J16" s="23" t="inlineStr">
        <is>
          <t>pausiert</t>
        </is>
      </c>
      <c r="K16" s="23" t="inlineStr">
        <is>
          <t>Baricitinib 2 mg 1-0-0</t>
        </is>
      </c>
      <c r="L16" s="23" t="inlineStr">
        <is>
          <t>19_FollowUp.docx</t>
        </is>
      </c>
      <c r="M16" s="23" t="inlineStr">
        <is>
          <t>Aktuelle Therapie: Baricitinib 2 mg 1-0-0
Anamnestisch kurzfristige Pausierung der Baricitinib Therapie bei Infektion des oberen respiratorischen Trakts.
Die Fortsetzung der Baricitinib Therapie wurde besprochen.</t>
        </is>
      </c>
      <c r="N16" s="23" t="inlineStr">
        <is>
          <t>Kurzfristige infektbedingte Pause; Fortsetzung besprochen, tatsächlicher Wiederbeginn nicht dokumentiert.</t>
        </is>
      </c>
    </row>
    <row r="17">
      <c r="A17" s="22" t="n">
        <v>19</v>
      </c>
      <c r="B17" s="23" t="inlineStr">
        <is>
          <t>RA</t>
        </is>
      </c>
      <c r="C17" s="23" t="inlineStr">
        <is>
          <t>Follow-up</t>
        </is>
      </c>
      <c r="D17" s="23" t="inlineStr">
        <is>
          <t>Metamizol</t>
        </is>
      </c>
      <c r="E17" s="22" t="n">
        <v>40</v>
      </c>
      <c r="F17" s="23" t="inlineStr">
        <is>
          <t>Tropfen</t>
        </is>
      </c>
      <c r="G17" s="23" t="n"/>
      <c r="H17" s="23" t="n"/>
      <c r="I17" s="23" t="inlineStr">
        <is>
          <t>Ja</t>
        </is>
      </c>
      <c r="J17" s="23" t="inlineStr">
        <is>
          <t>laufend</t>
        </is>
      </c>
      <c r="K17" s="23" t="inlineStr">
        <is>
          <t>Novaminsulfon 40 gtts bei Bedarf</t>
        </is>
      </c>
      <c r="L17" s="23" t="inlineStr">
        <is>
          <t>19_FollowUp.docx</t>
        </is>
      </c>
      <c r="M17" s="23" t="inlineStr">
        <is>
          <t>Novaminsulfon 40 gtts bei Bedarf</t>
        </is>
      </c>
      <c r="N17" s="23" t="n"/>
    </row>
    <row r="18">
      <c r="A18" s="22" t="n">
        <v>19</v>
      </c>
      <c r="B18" s="23" t="inlineStr">
        <is>
          <t>RA</t>
        </is>
      </c>
      <c r="C18" s="23" t="inlineStr">
        <is>
          <t>Follow-up</t>
        </is>
      </c>
      <c r="D18" s="23" t="inlineStr">
        <is>
          <t>Ibuprofen</t>
        </is>
      </c>
      <c r="E18" s="22" t="n">
        <v>600</v>
      </c>
      <c r="F18" s="23" t="inlineStr">
        <is>
          <t>mg</t>
        </is>
      </c>
      <c r="G18" s="23" t="n"/>
      <c r="H18" s="23" t="n"/>
      <c r="I18" s="23" t="inlineStr">
        <is>
          <t>Ja</t>
        </is>
      </c>
      <c r="J18" s="23" t="inlineStr">
        <is>
          <t>laufend</t>
        </is>
      </c>
      <c r="K18" s="23" t="inlineStr">
        <is>
          <t>Ibuprofen 600mg nach Bedarf</t>
        </is>
      </c>
      <c r="L18" s="23" t="inlineStr">
        <is>
          <t>19_FollowUp.docx</t>
        </is>
      </c>
      <c r="M18" s="23" t="inlineStr">
        <is>
          <t>Ibuprofen 600mg nach Bedarf</t>
        </is>
      </c>
      <c r="N18" s="23" t="n"/>
    </row>
    <row r="19">
      <c r="A19" s="22" t="n">
        <v>20</v>
      </c>
      <c r="B19" s="23" t="inlineStr">
        <is>
          <t>RA</t>
        </is>
      </c>
      <c r="C19" s="23" t="inlineStr">
        <is>
          <t>Baseline</t>
        </is>
      </c>
      <c r="D19" s="23" t="inlineStr">
        <is>
          <t>Blinatumomab</t>
        </is>
      </c>
      <c r="E19" s="23" t="n"/>
      <c r="F19" s="23" t="n"/>
      <c r="G19" s="23" t="n"/>
      <c r="H19" s="23" t="n"/>
      <c r="I19" s="23" t="inlineStr">
        <is>
          <t>Nein</t>
        </is>
      </c>
      <c r="J19" s="23" t="inlineStr">
        <is>
          <t>beendet</t>
        </is>
      </c>
      <c r="K19" s="23" t="inlineStr">
        <is>
          <t>über 96 Stunden</t>
        </is>
      </c>
      <c r="L19" s="23" t="inlineStr">
        <is>
          <t>20_Baseline.docx</t>
        </is>
      </c>
      <c r="M19" s="23" t="inlineStr">
        <is>
          <t>Anschließend initiierten wir die Therapie mit Blinatumomab über 96 Stunden.
Wiedervorstellung bei Medizin 3 - Station Schönlein am 18.09.2023 um 09:00 Uhr zur Zweitgabe von Blinatumomab.</t>
        </is>
      </c>
      <c r="N19" s="23" t="inlineStr">
        <is>
          <t>Erste Infusionsbehandlung im stationären Verlauf abgeschlossen; Zweitgabe für den 18.09.2023 geplant. Keine regelmäßige Dauertherapie oder Einzeldosis dokumentiert.</t>
        </is>
      </c>
    </row>
    <row r="20">
      <c r="A20" s="22" t="n">
        <v>20</v>
      </c>
      <c r="B20" s="23" t="inlineStr">
        <is>
          <t>RA</t>
        </is>
      </c>
      <c r="C20" s="23" t="inlineStr">
        <is>
          <t>Baseline</t>
        </is>
      </c>
      <c r="D20" s="23" t="inlineStr">
        <is>
          <t>Filgotinib</t>
        </is>
      </c>
      <c r="E20" s="22" t="n">
        <v>200</v>
      </c>
      <c r="F20" s="23" t="inlineStr">
        <is>
          <t>mg</t>
        </is>
      </c>
      <c r="G20" s="22" t="n">
        <v>1</v>
      </c>
      <c r="H20" s="23" t="inlineStr">
        <is>
          <t>Tage</t>
        </is>
      </c>
      <c r="I20" s="23" t="inlineStr">
        <is>
          <t>Nein</t>
        </is>
      </c>
      <c r="J20" s="23" t="inlineStr">
        <is>
          <t>beendet</t>
        </is>
      </c>
      <c r="K20" s="23" t="inlineStr">
        <is>
          <t>Jyseleca 200 mg 1-0-0 (letzte Gabe am 03.09.23)</t>
        </is>
      </c>
      <c r="L20" s="23" t="inlineStr">
        <is>
          <t>20_Baseline.docx</t>
        </is>
      </c>
      <c r="M20" s="23" t="inlineStr">
        <is>
          <t>Jyseleca 200 mg 1-0-0 (letzte Gabe am 03.09.23)
Filgotinib 04-08/2023 (unzureichendes Ansprechen)</t>
        </is>
      </c>
      <c r="N20" s="23" t="inlineStr">
        <is>
          <t>Letzte Gabe laut Aufnahmemedikation am 03.09.2023; Therapieübersicht nennt abweichend 08/2023 als Therapieende.</t>
        </is>
      </c>
    </row>
    <row r="21">
      <c r="A21" s="22" t="n">
        <v>20</v>
      </c>
      <c r="B21" s="23" t="inlineStr">
        <is>
          <t>RA</t>
        </is>
      </c>
      <c r="C21" s="23" t="inlineStr">
        <is>
          <t>Baseline</t>
        </is>
      </c>
      <c r="D21" s="23" t="inlineStr">
        <is>
          <t>Prednison</t>
        </is>
      </c>
      <c r="E21" s="22" t="n">
        <v>2</v>
      </c>
      <c r="F21" s="23" t="inlineStr">
        <is>
          <t>mg</t>
        </is>
      </c>
      <c r="G21" s="22" t="n">
        <v>1</v>
      </c>
      <c r="H21" s="23" t="inlineStr">
        <is>
          <t>Tage</t>
        </is>
      </c>
      <c r="I21" s="23" t="inlineStr">
        <is>
          <t>Nein</t>
        </is>
      </c>
      <c r="J21" s="23" t="inlineStr">
        <is>
          <t>laufend</t>
        </is>
      </c>
      <c r="K21" s="23" t="inlineStr">
        <is>
          <t>Lodotra 2 mg 0-0-0-1; Lodotra 1 mg täglich statt 2 mg täglich bis nächster WV.</t>
        </is>
      </c>
      <c r="L21" s="23" t="inlineStr">
        <is>
          <t>20_Baseline.docx</t>
        </is>
      </c>
      <c r="M21" s="23" t="inlineStr">
        <is>
          <t>Lodotra 2 mg 0-0-0-1
Lodotra 1 mg täglich statt 2 mg täglich bis nächster WV.
Prednison | Lodotra ret 1 mg | Retard-Tbl. | 0-0-1-0 | oral | Einnahme mit den Mahlzeiten</t>
        </is>
      </c>
      <c r="N21" s="23" t="inlineStr">
        <is>
          <t>Dosis 2 mg bei Aufnahme am Referenztermin; zur Entlassung Reduktion auf 1 mg täglich.</t>
        </is>
      </c>
    </row>
    <row r="22">
      <c r="A22" s="22" t="n">
        <v>20</v>
      </c>
      <c r="B22" s="23" t="inlineStr">
        <is>
          <t>RA</t>
        </is>
      </c>
      <c r="C22" s="23" t="inlineStr">
        <is>
          <t>Baseline</t>
        </is>
      </c>
      <c r="D22" s="23" t="inlineStr">
        <is>
          <t>Ibuprofen</t>
        </is>
      </c>
      <c r="E22" s="22" t="n">
        <v>600</v>
      </c>
      <c r="F22" s="23" t="inlineStr">
        <is>
          <t>mg</t>
        </is>
      </c>
      <c r="G22" s="23" t="n"/>
      <c r="H22" s="23" t="n"/>
      <c r="I22" s="23" t="inlineStr">
        <is>
          <t>Nein</t>
        </is>
      </c>
      <c r="J22" s="23" t="inlineStr">
        <is>
          <t>laufend</t>
        </is>
      </c>
      <c r="K22" s="23" t="inlineStr">
        <is>
          <t>Ibuprofen 600 mg 1-0-1</t>
        </is>
      </c>
      <c r="L22" s="23" t="inlineStr">
        <is>
          <t>20_Baseline.docx</t>
        </is>
      </c>
      <c r="M22" s="23" t="inlineStr">
        <is>
          <t>Ibuprofen 600 mg 1-0-1</t>
        </is>
      </c>
      <c r="N22" s="23" t="inlineStr">
        <is>
          <t>Regelmäßige Einnahme morgens und abends bei Aufnahme; im Entlassungsplan nicht aufgeführt.</t>
        </is>
      </c>
    </row>
    <row r="23">
      <c r="A23" s="22" t="n">
        <v>20</v>
      </c>
      <c r="B23" s="23" t="inlineStr">
        <is>
          <t>RA</t>
        </is>
      </c>
      <c r="C23" s="23" t="inlineStr">
        <is>
          <t>Follow-up</t>
        </is>
      </c>
      <c r="D23" s="23" t="inlineStr">
        <is>
          <t>Abatacept</t>
        </is>
      </c>
      <c r="E23" s="22" t="n">
        <v>125</v>
      </c>
      <c r="F23" s="23" t="inlineStr">
        <is>
          <t>mg</t>
        </is>
      </c>
      <c r="G23" s="22" t="n">
        <v>1</v>
      </c>
      <c r="H23" s="23" t="inlineStr">
        <is>
          <t>Wochen</t>
        </is>
      </c>
      <c r="I23" s="23" t="inlineStr">
        <is>
          <t>Nein</t>
        </is>
      </c>
      <c r="J23" s="23" t="inlineStr">
        <is>
          <t>laufend</t>
        </is>
      </c>
      <c r="K23" s="23" t="inlineStr">
        <is>
          <t>Abatacept 125mg s.c./Woche (seit November/2023)</t>
        </is>
      </c>
      <c r="L23" s="23" t="inlineStr">
        <is>
          <t>20_FollowUp.docx</t>
        </is>
      </c>
      <c r="M23" s="23" t="inlineStr">
        <is>
          <t>Abatacept 125mg s.c./Woche (seit November/2023)
Es wird empfohlen, die Behandlung mit Abatacept eine Woche vor der Operation zu pausieren.</t>
        </is>
      </c>
      <c r="N23" s="23" t="inlineStr">
        <is>
          <t>Seit November 2023 laufend; vor der für April geplanten Operation ist eine Pause empfohlen, aktuell keine Pause dokumentiert.</t>
        </is>
      </c>
    </row>
    <row r="24">
      <c r="A24" s="22" t="n">
        <v>20</v>
      </c>
      <c r="B24" s="23" t="inlineStr">
        <is>
          <t>RA</t>
        </is>
      </c>
      <c r="C24" s="23" t="inlineStr">
        <is>
          <t>Follow-up</t>
        </is>
      </c>
      <c r="D24" s="23" t="inlineStr">
        <is>
          <t>Prednisolon</t>
        </is>
      </c>
      <c r="E24" s="22" t="n">
        <v>12.5</v>
      </c>
      <c r="F24" s="23" t="inlineStr">
        <is>
          <t>mg</t>
        </is>
      </c>
      <c r="G24" s="22" t="n">
        <v>1</v>
      </c>
      <c r="H24" s="23" t="inlineStr">
        <is>
          <t>Tage</t>
        </is>
      </c>
      <c r="I24" s="23" t="inlineStr">
        <is>
          <t>Nein</t>
        </is>
      </c>
      <c r="J24" s="23" t="inlineStr">
        <is>
          <t>laufend</t>
        </is>
      </c>
      <c r="K24" s="23" t="inlineStr">
        <is>
          <t>Prednisolon 12,5 mg 1-0-0; Prednisolon-Reduktion auf 7,5 mg 1-0-0</t>
        </is>
      </c>
      <c r="L24" s="23" t="inlineStr">
        <is>
          <t>20_FollowUp.docx</t>
        </is>
      </c>
      <c r="M24" s="23" t="inlineStr">
        <is>
          <t>Prednisolon 12,5 mg 1-0-0
Prednisolon-Reduktion auf 7,5 mg 1-0-0</t>
        </is>
      </c>
      <c r="N24" s="23" t="inlineStr">
        <is>
          <t>Aktuelle Dosis bei Vorstellung 12,5 mg täglich; Reduktion auf 7,5 mg täglich empfohlen.</t>
        </is>
      </c>
    </row>
    <row r="25">
      <c r="A25" s="22" t="n">
        <v>20</v>
      </c>
      <c r="B25" s="23" t="inlineStr">
        <is>
          <t>RA</t>
        </is>
      </c>
      <c r="C25" s="23" t="inlineStr">
        <is>
          <t>Follow-up</t>
        </is>
      </c>
      <c r="D25" s="23" t="inlineStr">
        <is>
          <t>Leflunomid</t>
        </is>
      </c>
      <c r="E25" s="22" t="n">
        <v>20</v>
      </c>
      <c r="F25" s="23" t="inlineStr">
        <is>
          <t>mg</t>
        </is>
      </c>
      <c r="G25" s="22" t="n">
        <v>1</v>
      </c>
      <c r="H25" s="23" t="inlineStr">
        <is>
          <t>Tage</t>
        </is>
      </c>
      <c r="I25" s="23" t="inlineStr">
        <is>
          <t>Nein</t>
        </is>
      </c>
      <c r="J25" s="23" t="inlineStr">
        <is>
          <t>unklar</t>
        </is>
      </c>
      <c r="K25" s="23" t="inlineStr">
        <is>
          <t>Leflunomide 20 mg 1-0-0 ab 02/2024; Beginn Leflunomid 20 mg 1-0-0</t>
        </is>
      </c>
      <c r="L25" s="23" t="inlineStr">
        <is>
          <t>20_FollowUp.docx</t>
        </is>
      </c>
      <c r="M25" s="23" t="inlineStr">
        <is>
          <t>Leflunomide 20 mg 1-0-0 ab 02/2024
Beginn Leflunomid 20 mg 1-0-0</t>
        </is>
      </c>
      <c r="N25" s="23" t="inlineStr">
        <is>
          <t>Diagnosen führen Leflunomid als aktuelle Therapie ab Februar 2024; Verlauf und Therapieempfehlung beschreiben erst den Beginn. Tatsächlicher Einnahmebeginn unklar.</t>
        </is>
      </c>
    </row>
    <row r="26">
      <c r="A26" s="22" t="n">
        <v>20</v>
      </c>
      <c r="B26" s="23" t="inlineStr">
        <is>
          <t>RA</t>
        </is>
      </c>
      <c r="C26" s="23" t="inlineStr">
        <is>
          <t>Follow-up</t>
        </is>
      </c>
      <c r="D26" s="23" t="inlineStr">
        <is>
          <t>Blinatumomab</t>
        </is>
      </c>
      <c r="E26" s="23" t="n"/>
      <c r="F26" s="23" t="n"/>
      <c r="G26" s="23" t="n"/>
      <c r="H26" s="23" t="n"/>
      <c r="I26" s="23" t="inlineStr">
        <is>
          <t>Nein</t>
        </is>
      </c>
      <c r="J26" s="23" t="inlineStr">
        <is>
          <t>beendet</t>
        </is>
      </c>
      <c r="K26" s="23" t="inlineStr">
        <is>
          <t>2 Gaben 05.09.2023 und 18.09.2023</t>
        </is>
      </c>
      <c r="L26" s="23" t="inlineStr">
        <is>
          <t>20_FollowUp.docx</t>
        </is>
      </c>
      <c r="M26" s="23" t="inlineStr">
        <is>
          <t>Z.n. Individuellem Heilversuch mit Blinatumomab (2 Gaben 05.09.2023 und 18.09.2023)
Im September 2023 wurde er als IHV mit Blinatumumab behaldent, jedoch habe davon nicht profitiert.</t>
        </is>
      </c>
      <c r="N26" s="23" t="inlineStr">
        <is>
          <t>Abgeschlossener Heilversuch; darauf bezieht sich das klassifizierte fehlende Ansprechen.</t>
        </is>
      </c>
    </row>
    <row r="27">
      <c r="A27" s="22" t="n">
        <v>21</v>
      </c>
      <c r="B27" s="23" t="inlineStr">
        <is>
          <t>RA</t>
        </is>
      </c>
      <c r="C27" s="23" t="inlineStr">
        <is>
          <t>Baseline</t>
        </is>
      </c>
      <c r="D27" s="23" t="inlineStr">
        <is>
          <t>Prednisolon</t>
        </is>
      </c>
      <c r="E27" s="22" t="n">
        <v>10</v>
      </c>
      <c r="F27" s="23" t="inlineStr">
        <is>
          <t>mg</t>
        </is>
      </c>
      <c r="G27" s="22" t="n">
        <v>1</v>
      </c>
      <c r="H27" s="23" t="inlineStr">
        <is>
          <t>Tage</t>
        </is>
      </c>
      <c r="I27" s="23" t="inlineStr">
        <is>
          <t>Nein</t>
        </is>
      </c>
      <c r="J27" s="23" t="inlineStr">
        <is>
          <t>laufend</t>
        </is>
      </c>
      <c r="K27" s="23" t="inlineStr">
        <is>
          <t>Aktuell seit ca. einer Woche Prednisolon 10mg tgl.; langsames Ausschleichen der Prednisolon-Therapie mit schrittweiser Reduktion um 2,5mg wöchentlich</t>
        </is>
      </c>
      <c r="L27" s="23" t="inlineStr">
        <is>
          <t>21_Baseline.docx</t>
        </is>
      </c>
      <c r="M27" s="23" t="inlineStr">
        <is>
          <t>Aktuell seit ca. einer Woche Prednisolon 10mg tgl.
langsames Ausschleichen der Prednisolon-Therapie mit schrittweiser Reduktion um 2,5mg wöchentlich</t>
        </is>
      </c>
      <c r="N27" s="23" t="inlineStr">
        <is>
          <t>10 mg täglich als dokumentierte aktuelle Dosis; Ausschleichschema empfohlen. Einzeldatum der Dosisangabe im zusammenfassenden Brief unklar.</t>
        </is>
      </c>
    </row>
    <row r="28">
      <c r="A28" s="22" t="n">
        <v>21</v>
      </c>
      <c r="B28" s="23" t="inlineStr">
        <is>
          <t>RA</t>
        </is>
      </c>
      <c r="C28" s="23" t="inlineStr">
        <is>
          <t>Baseline</t>
        </is>
      </c>
      <c r="D28" s="23" t="inlineStr">
        <is>
          <t>Diclofenac</t>
        </is>
      </c>
      <c r="E28" s="22" t="n">
        <v>75</v>
      </c>
      <c r="F28" s="23" t="n"/>
      <c r="G28" s="23" t="n"/>
      <c r="H28" s="23" t="n"/>
      <c r="I28" s="23" t="inlineStr">
        <is>
          <t>Ja</t>
        </is>
      </c>
      <c r="J28" s="23" t="inlineStr">
        <is>
          <t>laufend</t>
        </is>
      </c>
      <c r="K28" s="23" t="inlineStr">
        <is>
          <t>Diclofenac 75 1-0-1 b.B.</t>
        </is>
      </c>
      <c r="L28" s="23" t="inlineStr">
        <is>
          <t>21_Baseline.docx</t>
        </is>
      </c>
      <c r="M28" s="23" t="inlineStr">
        <is>
          <t>Diclofenac 75 1-0-1 b.B.
restliche Therapie unverändert</t>
        </is>
      </c>
      <c r="N28" s="23" t="inlineStr">
        <is>
          <t>Dosiseinheit fehlt; Einnahmeschema morgens und abends bei Bedarf, kein festes Einnahmeintervall.</t>
        </is>
      </c>
    </row>
    <row r="29">
      <c r="A29" s="22" t="n">
        <v>21</v>
      </c>
      <c r="B29" s="23" t="inlineStr">
        <is>
          <t>RA</t>
        </is>
      </c>
      <c r="C29" s="23" t="inlineStr">
        <is>
          <t>Baseline</t>
        </is>
      </c>
      <c r="D29" s="23" t="inlineStr">
        <is>
          <t>Methotrexat</t>
        </is>
      </c>
      <c r="E29" s="22" t="n">
        <v>15</v>
      </c>
      <c r="F29" s="23" t="inlineStr">
        <is>
          <t>mg</t>
        </is>
      </c>
      <c r="G29" s="22" t="n">
        <v>1</v>
      </c>
      <c r="H29" s="23" t="inlineStr">
        <is>
          <t>Wochen</t>
        </is>
      </c>
      <c r="I29" s="23" t="inlineStr">
        <is>
          <t>Nein</t>
        </is>
      </c>
      <c r="J29" s="23" t="inlineStr">
        <is>
          <t>geplant</t>
        </is>
      </c>
      <c r="K29" s="23" t="inlineStr">
        <is>
          <t>MTX 15 mg 1x/Woche p.o.</t>
        </is>
      </c>
      <c r="L29" s="23" t="inlineStr">
        <is>
          <t>21_Baseline.docx</t>
        </is>
      </c>
      <c r="M29" s="23" t="inlineStr">
        <is>
          <t>aktuelle Empfehlung: Beginn einer Therapie mit Methotrexat 15mg 1-mal wöchentlich und Folsäure 5mg 24h nach MTX
MTX 15 mg 1x/Woche p.o.</t>
        </is>
      </c>
      <c r="N29" s="23" t="n"/>
    </row>
    <row r="30">
      <c r="A30" s="22" t="n">
        <v>21</v>
      </c>
      <c r="B30" s="23" t="inlineStr">
        <is>
          <t>RA</t>
        </is>
      </c>
      <c r="C30" s="23" t="inlineStr">
        <is>
          <t>Baseline</t>
        </is>
      </c>
      <c r="D30" s="23" t="inlineStr">
        <is>
          <t>Folsäure</t>
        </is>
      </c>
      <c r="E30" s="22" t="n">
        <v>5</v>
      </c>
      <c r="F30" s="23" t="inlineStr">
        <is>
          <t>mg</t>
        </is>
      </c>
      <c r="G30" s="22" t="n">
        <v>1</v>
      </c>
      <c r="H30" s="23" t="inlineStr">
        <is>
          <t>Wochen</t>
        </is>
      </c>
      <c r="I30" s="23" t="inlineStr">
        <is>
          <t>Nein</t>
        </is>
      </c>
      <c r="J30" s="23" t="inlineStr">
        <is>
          <t>geplant</t>
        </is>
      </c>
      <c r="K30" s="23" t="inlineStr">
        <is>
          <t>Folsäure 5mg 24h nach MTX</t>
        </is>
      </c>
      <c r="L30" s="23" t="inlineStr">
        <is>
          <t>21_Baseline.docx</t>
        </is>
      </c>
      <c r="M30" s="23" t="inlineStr">
        <is>
          <t>aktuelle Empfehlung: Beginn einer Therapie mit Methotrexat 15mg 1-mal wöchentlich und Folsäure 5mg 24h nach MTX</t>
        </is>
      </c>
      <c r="N30" s="23" t="inlineStr">
        <is>
          <t>Wöchentliches Intervall durch die Bindung an die wöchentliche Methotrexatgabe; Einnahme 24 Stunden danach.</t>
        </is>
      </c>
    </row>
    <row r="31">
      <c r="A31" s="22" t="n">
        <v>21</v>
      </c>
      <c r="B31" s="23" t="inlineStr">
        <is>
          <t>RA</t>
        </is>
      </c>
      <c r="C31" s="23" t="inlineStr">
        <is>
          <t>Follow-up</t>
        </is>
      </c>
      <c r="D31" s="23" t="inlineStr">
        <is>
          <t>Abatacept</t>
        </is>
      </c>
      <c r="E31" s="22" t="n">
        <v>125</v>
      </c>
      <c r="F31" s="23" t="inlineStr">
        <is>
          <t>mg</t>
        </is>
      </c>
      <c r="G31" s="22" t="n">
        <v>1</v>
      </c>
      <c r="H31" s="23" t="inlineStr">
        <is>
          <t>Wochen</t>
        </is>
      </c>
      <c r="I31" s="23" t="inlineStr">
        <is>
          <t>Nein</t>
        </is>
      </c>
      <c r="J31" s="23" t="inlineStr">
        <is>
          <t>beendet</t>
        </is>
      </c>
      <c r="K31" s="23" t="inlineStr">
        <is>
          <t>Abatacent 125mg 1x/Woche von 03/2024 bis 06/2024 (abgesetzt bei Unwirksamkeit)</t>
        </is>
      </c>
      <c r="L31" s="23" t="inlineStr">
        <is>
          <t>21_FollowUp.docx</t>
        </is>
      </c>
      <c r="M31" s="23" t="inlineStr">
        <is>
          <t>Abatacent 125mg 1x/Woche von 03/2024 bis 06/2024 (abgesetzt bei Unwirksamkeit)
Weiterhin Arthralgien und Schwellungen in mehreren Gelenken trotz neu eingeleiteter Therapie mit Abatacept 03/2024.</t>
        </is>
      </c>
      <c r="N31" s="23" t="inlineStr">
        <is>
          <t>Schreibweise „Abatacent“ anhand der ausdrücklichen Abatacept-Angabe im selben Brief vereinheitlicht.</t>
        </is>
      </c>
    </row>
    <row r="32">
      <c r="A32" s="22" t="n">
        <v>21</v>
      </c>
      <c r="B32" s="23" t="inlineStr">
        <is>
          <t>RA</t>
        </is>
      </c>
      <c r="C32" s="23" t="inlineStr">
        <is>
          <t>Follow-up</t>
        </is>
      </c>
      <c r="D32" s="23" t="inlineStr">
        <is>
          <t>Tocilizumab</t>
        </is>
      </c>
      <c r="E32" s="22" t="n">
        <v>162</v>
      </c>
      <c r="F32" s="23" t="inlineStr">
        <is>
          <t>mg</t>
        </is>
      </c>
      <c r="G32" s="22" t="n">
        <v>1</v>
      </c>
      <c r="H32" s="23" t="inlineStr">
        <is>
          <t>Wochen</t>
        </is>
      </c>
      <c r="I32" s="23" t="inlineStr">
        <is>
          <t>Nein</t>
        </is>
      </c>
      <c r="J32" s="23" t="inlineStr">
        <is>
          <t>geplant</t>
        </is>
      </c>
      <c r="K32" s="23" t="inlineStr">
        <is>
          <t>Tocilizumab 162mg s.c. 1-mal pro Woche</t>
        </is>
      </c>
      <c r="L32" s="23" t="inlineStr">
        <is>
          <t>21_FollowUp.docx</t>
        </is>
      </c>
      <c r="M32" s="23" t="inlineStr">
        <is>
          <t>In Zusammenschau der Befunde empfehlen wir eine Umstellung der Therapie auf Tocilizumab 162mg s.c. 1-mal pro Woche unter regelm. Blutkontrollen nach DGRh-Empfehlungen.</t>
        </is>
      </c>
      <c r="N32" s="23" t="inlineStr">
        <is>
          <t>Empfehlung und Rezept dokumentiert; tatsächlicher Therapiebeginn nicht belegt.</t>
        </is>
      </c>
    </row>
    <row r="33">
      <c r="A33" s="22" t="n">
        <v>21</v>
      </c>
      <c r="B33" s="23" t="inlineStr">
        <is>
          <t>RA</t>
        </is>
      </c>
      <c r="C33" s="23" t="inlineStr">
        <is>
          <t>Follow-up</t>
        </is>
      </c>
      <c r="D33" s="23" t="inlineStr">
        <is>
          <t>Naproxen</t>
        </is>
      </c>
      <c r="E33" s="22" t="n">
        <v>500</v>
      </c>
      <c r="F33" s="23" t="inlineStr">
        <is>
          <t>mg</t>
        </is>
      </c>
      <c r="G33" s="23" t="n"/>
      <c r="H33" s="23" t="n"/>
      <c r="I33" s="23" t="inlineStr">
        <is>
          <t>Ja</t>
        </is>
      </c>
      <c r="J33" s="23" t="inlineStr">
        <is>
          <t>laufend</t>
        </is>
      </c>
      <c r="K33" s="23" t="inlineStr">
        <is>
          <t>Naproxen 500mg B.b.</t>
        </is>
      </c>
      <c r="L33" s="23" t="inlineStr">
        <is>
          <t>21_FollowUp.docx</t>
        </is>
      </c>
      <c r="M33" s="23" t="inlineStr">
        <is>
          <t>Naproxen 500mg B.b.</t>
        </is>
      </c>
      <c r="N33" s="23" t="n"/>
    </row>
    <row r="34">
      <c r="A34" s="22" t="n">
        <v>21</v>
      </c>
      <c r="B34" s="23" t="inlineStr">
        <is>
          <t>RA</t>
        </is>
      </c>
      <c r="C34" s="23" t="inlineStr">
        <is>
          <t>Follow-up</t>
        </is>
      </c>
      <c r="D34" s="23" t="inlineStr">
        <is>
          <t>Methotrexat</t>
        </is>
      </c>
      <c r="E34" s="22" t="n">
        <v>15</v>
      </c>
      <c r="F34" s="23" t="inlineStr">
        <is>
          <t>mg</t>
        </is>
      </c>
      <c r="G34" s="23" t="n"/>
      <c r="H34" s="23" t="n"/>
      <c r="I34" s="23" t="inlineStr">
        <is>
          <t>Unklar</t>
        </is>
      </c>
      <c r="J34" s="23" t="inlineStr">
        <is>
          <t>beendet</t>
        </is>
      </c>
      <c r="K34" s="23" t="inlineStr">
        <is>
          <t>Methotrexat 15mg (08/23-12/23)</t>
        </is>
      </c>
      <c r="L34" s="23" t="inlineStr">
        <is>
          <t>21_FollowUp.docx</t>
        </is>
      </c>
      <c r="M34" s="23" t="inlineStr">
        <is>
          <t>Therapie: Methotrexat 15mg (08/23-12/23), Sulfasalazin ab 10/23-3/24, Adalimumab ab 12/23-03/24.</t>
        </is>
      </c>
      <c r="N34" s="23" t="inlineStr">
        <is>
          <t>Vorausgegangene Therapie im Verlauf seit Baseline; Intervall und Absetzgrund im Follow-up-Brief nicht angegeben.</t>
        </is>
      </c>
    </row>
    <row r="35">
      <c r="A35" s="22" t="n">
        <v>21</v>
      </c>
      <c r="B35" s="23" t="inlineStr">
        <is>
          <t>RA</t>
        </is>
      </c>
      <c r="C35" s="23" t="inlineStr">
        <is>
          <t>Follow-up</t>
        </is>
      </c>
      <c r="D35" s="23" t="inlineStr">
        <is>
          <t>Sulfasalazin</t>
        </is>
      </c>
      <c r="E35" s="23" t="n"/>
      <c r="F35" s="23" t="n"/>
      <c r="G35" s="23" t="n"/>
      <c r="H35" s="23" t="n"/>
      <c r="I35" s="23" t="inlineStr">
        <is>
          <t>Unklar</t>
        </is>
      </c>
      <c r="J35" s="23" t="inlineStr">
        <is>
          <t>beendet</t>
        </is>
      </c>
      <c r="K35" s="23" t="inlineStr">
        <is>
          <t>Sulfasalazin ab 10/23-3/24</t>
        </is>
      </c>
      <c r="L35" s="23" t="inlineStr">
        <is>
          <t>21_FollowUp.docx</t>
        </is>
      </c>
      <c r="M35" s="23" t="inlineStr">
        <is>
          <t>Therapie: Methotrexat 15mg (08/23-12/23), Sulfasalazin ab 10/23-3/24, Adalimumab ab 12/23-03/24.</t>
        </is>
      </c>
      <c r="N35" s="23" t="inlineStr">
        <is>
          <t>Vorausgegangene Therapie im Verlauf seit Baseline; Absetzgrund nicht angegeben.</t>
        </is>
      </c>
    </row>
    <row r="36">
      <c r="A36" s="22" t="n">
        <v>21</v>
      </c>
      <c r="B36" s="23" t="inlineStr">
        <is>
          <t>RA</t>
        </is>
      </c>
      <c r="C36" s="23" t="inlineStr">
        <is>
          <t>Follow-up</t>
        </is>
      </c>
      <c r="D36" s="23" t="inlineStr">
        <is>
          <t>Adalimumab</t>
        </is>
      </c>
      <c r="E36" s="23" t="n"/>
      <c r="F36" s="23" t="n"/>
      <c r="G36" s="23" t="n"/>
      <c r="H36" s="23" t="n"/>
      <c r="I36" s="23" t="inlineStr">
        <is>
          <t>Unklar</t>
        </is>
      </c>
      <c r="J36" s="23" t="inlineStr">
        <is>
          <t>beendet</t>
        </is>
      </c>
      <c r="K36" s="23" t="inlineStr">
        <is>
          <t>Adalimumab ab 12/23-03/24</t>
        </is>
      </c>
      <c r="L36" s="23" t="inlineStr">
        <is>
          <t>21_FollowUp.docx</t>
        </is>
      </c>
      <c r="M36" s="23" t="inlineStr">
        <is>
          <t>Therapie: Methotrexat 15mg (08/23-12/23), Sulfasalazin ab 10/23-3/24, Adalimumab ab 12/23-03/24.</t>
        </is>
      </c>
      <c r="N36" s="23" t="inlineStr">
        <is>
          <t>Vorausgegangene Therapie im Verlauf seit Baseline; Absetzgrund nicht angegeben.</t>
        </is>
      </c>
    </row>
    <row r="37">
      <c r="A37" s="22" t="n">
        <v>22</v>
      </c>
      <c r="B37" s="23" t="inlineStr">
        <is>
          <t>RA</t>
        </is>
      </c>
      <c r="C37" s="23" t="inlineStr">
        <is>
          <t>Baseline</t>
        </is>
      </c>
      <c r="D37" s="23" t="inlineStr">
        <is>
          <t>Adalimumab</t>
        </is>
      </c>
      <c r="E37" s="22" t="n">
        <v>40</v>
      </c>
      <c r="F37" s="23" t="inlineStr">
        <is>
          <t>mg</t>
        </is>
      </c>
      <c r="G37" s="22" t="n">
        <v>2</v>
      </c>
      <c r="H37" s="23" t="inlineStr">
        <is>
          <t>Wochen</t>
        </is>
      </c>
      <c r="I37" s="23" t="inlineStr">
        <is>
          <t>Nein</t>
        </is>
      </c>
      <c r="J37" s="23" t="inlineStr">
        <is>
          <t>beendet</t>
        </is>
      </c>
      <c r="K37" s="23" t="inlineStr">
        <is>
          <t>Humira 40mg s.c. alle 2 Wochen (zuletzt 15.06.2023)</t>
        </is>
      </c>
      <c r="L37" s="23" t="inlineStr">
        <is>
          <t>22_Baseline.docx</t>
        </is>
      </c>
      <c r="M37" s="23" t="inlineStr">
        <is>
          <t>Humira 40mg s.c. alle 2 Wochen (zuletzt 15.06.2023)
Z.n. Prednisolon, MTX und Adalimumab (von 03/2023 bis 06/2023)</t>
        </is>
      </c>
      <c r="N37" s="23" t="inlineStr">
        <is>
          <t>Bei Aufnahme noch aufgeführt, in der Diagnoseübersicht als abgeschlossene Therapiephase bis Juni 2023 bezeichnet.</t>
        </is>
      </c>
    </row>
    <row r="38">
      <c r="A38" s="22" t="n">
        <v>22</v>
      </c>
      <c r="B38" s="23" t="inlineStr">
        <is>
          <t>RA</t>
        </is>
      </c>
      <c r="C38" s="23" t="inlineStr">
        <is>
          <t>Baseline</t>
        </is>
      </c>
      <c r="D38" s="23" t="inlineStr">
        <is>
          <t>Methotrexat</t>
        </is>
      </c>
      <c r="E38" s="22" t="n">
        <v>10</v>
      </c>
      <c r="F38" s="23" t="inlineStr">
        <is>
          <t>mg</t>
        </is>
      </c>
      <c r="G38" s="22" t="n">
        <v>1</v>
      </c>
      <c r="H38" s="23" t="inlineStr">
        <is>
          <t>Wochen</t>
        </is>
      </c>
      <c r="I38" s="23" t="inlineStr">
        <is>
          <t>Nein</t>
        </is>
      </c>
      <c r="J38" s="23" t="inlineStr">
        <is>
          <t>laufend</t>
        </is>
      </c>
      <c r="K38" s="23" t="inlineStr">
        <is>
          <t>MTX 10mg p.o. 1x Woche (Montag, 26.06.2023 nicht eingenommen)</t>
        </is>
      </c>
      <c r="L38" s="23" t="inlineStr">
        <is>
          <t>22_Baseline.docx</t>
        </is>
      </c>
      <c r="M38" s="23" t="inlineStr">
        <is>
          <t>MTX 10mg p.o. 1x Woche (Montag, 26.06.2023 nicht eingenommen)
Methotrexat (dinatrium) | Metex 10 mg | Tbl. | 0-0-1-0 (jeden 7. Tag) | oral | Einnahme nüchtern</t>
        </is>
      </c>
      <c r="N38" s="23" t="inlineStr">
        <is>
          <t>Am 26.06.2023 nicht eingenommen; bei Entlassung weiterhin verordnet.</t>
        </is>
      </c>
    </row>
    <row r="39">
      <c r="A39" s="22" t="n">
        <v>22</v>
      </c>
      <c r="B39" s="23" t="inlineStr">
        <is>
          <t>RA</t>
        </is>
      </c>
      <c r="C39" s="23" t="inlineStr">
        <is>
          <t>Baseline</t>
        </is>
      </c>
      <c r="D39" s="23" t="inlineStr">
        <is>
          <t>Prednisolon</t>
        </is>
      </c>
      <c r="E39" s="22" t="n">
        <v>10</v>
      </c>
      <c r="F39" s="23" t="inlineStr">
        <is>
          <t>mg</t>
        </is>
      </c>
      <c r="G39" s="22" t="n">
        <v>1</v>
      </c>
      <c r="H39" s="23" t="inlineStr">
        <is>
          <t>Tage</t>
        </is>
      </c>
      <c r="I39" s="23" t="inlineStr">
        <is>
          <t>Nein</t>
        </is>
      </c>
      <c r="J39" s="23" t="inlineStr">
        <is>
          <t>laufend</t>
        </is>
      </c>
      <c r="K39" s="23" t="inlineStr">
        <is>
          <t>Prednisolon 10 mg 1-0-0</t>
        </is>
      </c>
      <c r="L39" s="23" t="inlineStr">
        <is>
          <t>22_Baseline.docx</t>
        </is>
      </c>
      <c r="M39" s="23" t="inlineStr">
        <is>
          <t>Prednisolon 10 mg 1-0-0
Prednisolon | Prednisolon | Tbl. | 5mg um 07:00 | oral | Einnahme mit den Mahlzeiten</t>
        </is>
      </c>
      <c r="N39" s="23" t="inlineStr">
        <is>
          <t>Dosis am Referenztermin bei Aufnahme: 10 mg täglich; bei Entlassung 5 mg morgens.</t>
        </is>
      </c>
    </row>
    <row r="40">
      <c r="A40" s="22" t="n">
        <v>22</v>
      </c>
      <c r="B40" s="23" t="inlineStr">
        <is>
          <t>RA</t>
        </is>
      </c>
      <c r="C40" s="23" t="inlineStr">
        <is>
          <t>Baseline</t>
        </is>
      </c>
      <c r="D40" s="23" t="inlineStr">
        <is>
          <t>Diclofenac</t>
        </is>
      </c>
      <c r="E40" s="22" t="n">
        <v>75</v>
      </c>
      <c r="F40" s="23" t="inlineStr">
        <is>
          <t>mg</t>
        </is>
      </c>
      <c r="G40" s="23" t="n"/>
      <c r="H40" s="23" t="n"/>
      <c r="I40" s="23" t="inlineStr">
        <is>
          <t>Ja</t>
        </is>
      </c>
      <c r="J40" s="23" t="inlineStr">
        <is>
          <t>laufend</t>
        </is>
      </c>
      <c r="K40" s="23" t="inlineStr">
        <is>
          <t>Voltaren res. 75mg nach Bedarf</t>
        </is>
      </c>
      <c r="L40" s="23" t="inlineStr">
        <is>
          <t>22_Baseline.docx</t>
        </is>
      </c>
      <c r="M40" s="23" t="inlineStr">
        <is>
          <t>Voltaren res. 75mg nach Bedarf</t>
        </is>
      </c>
      <c r="N40" s="23" t="inlineStr">
        <is>
          <t>Bedarfsmedikation bei Aufnahme; bei Entlassung nicht mehr aufgeführt.</t>
        </is>
      </c>
    </row>
    <row r="41">
      <c r="A41" s="22" t="n">
        <v>22</v>
      </c>
      <c r="B41" s="23" t="inlineStr">
        <is>
          <t>RA</t>
        </is>
      </c>
      <c r="C41" s="23" t="inlineStr">
        <is>
          <t>Baseline</t>
        </is>
      </c>
      <c r="D41" s="23" t="inlineStr">
        <is>
          <t>Etoricoxib</t>
        </is>
      </c>
      <c r="E41" s="22" t="n">
        <v>60</v>
      </c>
      <c r="F41" s="23" t="inlineStr">
        <is>
          <t>mg</t>
        </is>
      </c>
      <c r="G41" s="22" t="n">
        <v>1</v>
      </c>
      <c r="H41" s="23" t="inlineStr">
        <is>
          <t>Tage</t>
        </is>
      </c>
      <c r="I41" s="23" t="inlineStr">
        <is>
          <t>Nein</t>
        </is>
      </c>
      <c r="J41" s="23" t="inlineStr">
        <is>
          <t>laufend</t>
        </is>
      </c>
      <c r="K41" s="23" t="inlineStr">
        <is>
          <t>0-0-1-0</t>
        </is>
      </c>
      <c r="L41" s="23" t="inlineStr">
        <is>
          <t>22_Baseline.docx</t>
        </is>
      </c>
      <c r="M41" s="23" t="inlineStr">
        <is>
          <t>Etoricoxib | Etoricoxib 60mg | Filmtbl. | 0-0-1-0 | oral |</t>
        </is>
      </c>
      <c r="N41" s="23" t="inlineStr">
        <is>
          <t>Verordnung bei Entlassung, nicht als Medikation am Referenztermin belegt.</t>
        </is>
      </c>
    </row>
    <row r="42">
      <c r="A42" s="22" t="n">
        <v>22</v>
      </c>
      <c r="B42" s="23" t="inlineStr">
        <is>
          <t>RA</t>
        </is>
      </c>
      <c r="C42" s="23" t="inlineStr">
        <is>
          <t>Baseline</t>
        </is>
      </c>
      <c r="D42" s="23" t="inlineStr">
        <is>
          <t>Blinatumomab</t>
        </is>
      </c>
      <c r="E42" s="23" t="n"/>
      <c r="F42" s="23" t="n"/>
      <c r="G42" s="23" t="n"/>
      <c r="H42" s="23" t="n"/>
      <c r="I42" s="23" t="inlineStr">
        <is>
          <t>Unklar</t>
        </is>
      </c>
      <c r="J42" s="23" t="inlineStr">
        <is>
          <t>beendet</t>
        </is>
      </c>
      <c r="K42" s="23" t="inlineStr">
        <is>
          <t>intravenöse Gabe von Bilantumomab über 5 Tage</t>
        </is>
      </c>
      <c r="L42" s="23" t="inlineStr">
        <is>
          <t>22_Baseline.docx</t>
        </is>
      </c>
      <c r="M42" s="23" t="inlineStr">
        <is>
          <t>Aktuell: individueller Heilversuch mit Blinatumomab, erste Gabe
Anschließend erfolgte komplikationslos die intravenöse Gabe von Bilantumomab über 5 Tage.
Stationäre Aufnahme zur Zweitgabe von Blinatumomab auf Station Schönlein B2.2. der Medizinischen Klinik 3 am 10.07.2023 um 9 Uhr wie bereits vereinbart.</t>
        </is>
      </c>
      <c r="N42" s="23" t="inlineStr">
        <is>
          <t>Erste fünftägige Infusionsbehandlung abgeschlossen; Zweitgabe für den 10.07.2023 geplant. Keine Dosis oder regelmäßiges Dauerintervall dokumentiert.</t>
        </is>
      </c>
    </row>
    <row r="43">
      <c r="A43" s="22" t="n">
        <v>22</v>
      </c>
      <c r="B43" s="23" t="inlineStr">
        <is>
          <t>RA</t>
        </is>
      </c>
      <c r="C43" s="23" t="inlineStr">
        <is>
          <t>Baseline</t>
        </is>
      </c>
      <c r="D43" s="23" t="inlineStr">
        <is>
          <t>Triamcinolon</t>
        </is>
      </c>
      <c r="E43" s="22" t="n">
        <v>40</v>
      </c>
      <c r="F43" s="23" t="inlineStr">
        <is>
          <t>mg</t>
        </is>
      </c>
      <c r="G43" s="23" t="n"/>
      <c r="H43" s="23" t="n"/>
      <c r="I43" s="23" t="inlineStr">
        <is>
          <t>Unklar</t>
        </is>
      </c>
      <c r="J43" s="23" t="inlineStr">
        <is>
          <t>beendet</t>
        </is>
      </c>
      <c r="K43" s="23" t="inlineStr">
        <is>
          <t>Am Ende des Eingriffs wurden 40mg Triamcinolon injiziert.</t>
        </is>
      </c>
      <c r="L43" s="23" t="inlineStr">
        <is>
          <t>22_Baseline.docx</t>
        </is>
      </c>
      <c r="M43" s="23" t="inlineStr">
        <is>
          <t>Nach ausführlichem Aufklärungsgespräch über mögliche Risiken wurde komplikationslos eine Synovialbiopsie am linken Handgelenk unter Ultraschallkontrolle durchgeführt.
Am Ende des Eingriffs wurden 40mg Triamcinolon injiziert.
Synovialbiopsie vom 27.06.2023:</t>
        </is>
      </c>
      <c r="N43" s="23" t="inlineStr">
        <is>
          <t>Einmalige lokale Gabe am linken Handgelenk im Rahmen der Biopsie vom 27.06.2023.</t>
        </is>
      </c>
    </row>
    <row r="44">
      <c r="A44" s="22" t="n">
        <v>22</v>
      </c>
      <c r="B44" s="23" t="inlineStr">
        <is>
          <t>RA</t>
        </is>
      </c>
      <c r="C44" s="23" t="inlineStr">
        <is>
          <t>Follow-up</t>
        </is>
      </c>
      <c r="D44" s="23" t="inlineStr">
        <is>
          <t>Abatacept</t>
        </is>
      </c>
      <c r="E44" s="23" t="n"/>
      <c r="F44" s="23" t="n"/>
      <c r="G44" s="23" t="n"/>
      <c r="H44" s="23" t="n"/>
      <c r="I44" s="23" t="inlineStr">
        <is>
          <t>Nein</t>
        </is>
      </c>
      <c r="J44" s="23" t="inlineStr">
        <is>
          <t>laufend</t>
        </is>
      </c>
      <c r="K44" s="23" t="n"/>
      <c r="L44" s="23" t="inlineStr">
        <is>
          <t>22_FollowUp.docx</t>
        </is>
      </c>
      <c r="M44" s="23" t="inlineStr">
        <is>
          <t>Laufend  Orencia-Therapie, welches seit 11 Wochen eingenommen wird, des Weiteren 20mg MTX/Wo., sowie Folsan und Dekristol.
Diese Therapie sollte vorerst fortgeführt werden.</t>
        </is>
      </c>
      <c r="N44" s="23" t="inlineStr">
        <is>
          <t>Seit elf Wochen laufend; welchem der zusammengefassten Besuche diese Dauer zuzuordnen ist, bleibt unklar.</t>
        </is>
      </c>
    </row>
    <row r="45">
      <c r="A45" s="22" t="n">
        <v>22</v>
      </c>
      <c r="B45" s="23" t="inlineStr">
        <is>
          <t>RA</t>
        </is>
      </c>
      <c r="C45" s="23" t="inlineStr">
        <is>
          <t>Follow-up</t>
        </is>
      </c>
      <c r="D45" s="23" t="inlineStr">
        <is>
          <t>Methotrexat</t>
        </is>
      </c>
      <c r="E45" s="22" t="n">
        <v>20</v>
      </c>
      <c r="F45" s="23" t="inlineStr">
        <is>
          <t>mg</t>
        </is>
      </c>
      <c r="G45" s="22" t="n">
        <v>1</v>
      </c>
      <c r="H45" s="23" t="inlineStr">
        <is>
          <t>Wochen</t>
        </is>
      </c>
      <c r="I45" s="23" t="inlineStr">
        <is>
          <t>Nein</t>
        </is>
      </c>
      <c r="J45" s="23" t="inlineStr">
        <is>
          <t>laufend</t>
        </is>
      </c>
      <c r="K45" s="23" t="inlineStr">
        <is>
          <t>20mg MTX/Wo.</t>
        </is>
      </c>
      <c r="L45" s="23" t="inlineStr">
        <is>
          <t>22_FollowUp.docx</t>
        </is>
      </c>
      <c r="M45" s="23" t="inlineStr">
        <is>
          <t>Laufend  Orencia-Therapie, welches seit 11 Wochen eingenommen wird, des Weiteren 20mg MTX/Wo., sowie Folsan und Dekristol.
Diese Therapie sollte vorerst fortgeführt werden.</t>
        </is>
      </c>
      <c r="N45" s="23" t="inlineStr">
        <is>
          <t>Zuordnung der Medikationsangabe zu einem einzelnen Besuch nicht eindeutig.</t>
        </is>
      </c>
    </row>
    <row r="46">
      <c r="A46" s="22" t="n">
        <v>22</v>
      </c>
      <c r="B46" s="23" t="inlineStr">
        <is>
          <t>RA</t>
        </is>
      </c>
      <c r="C46" s="23" t="inlineStr">
        <is>
          <t>Follow-up</t>
        </is>
      </c>
      <c r="D46" s="23" t="inlineStr">
        <is>
          <t>Blinatumomab</t>
        </is>
      </c>
      <c r="E46" s="23" t="n"/>
      <c r="F46" s="23" t="n"/>
      <c r="G46" s="23" t="n"/>
      <c r="H46" s="23" t="n"/>
      <c r="I46" s="23" t="inlineStr">
        <is>
          <t>Unklar</t>
        </is>
      </c>
      <c r="J46" s="23" t="inlineStr">
        <is>
          <t>beendet</t>
        </is>
      </c>
      <c r="K46" s="23" t="n"/>
      <c r="L46" s="23" t="inlineStr">
        <is>
          <t>22_FollowUp.docx</t>
        </is>
      </c>
      <c r="M46" s="23" t="inlineStr">
        <is>
          <t>Zusammenfassend mäßiggradige Krankheitsaktivität bei therapierefraktärer RA, bei Status post. Blinatumomab-Therapie, und derzeit Therapie mit MTX und Orencia.</t>
        </is>
      </c>
      <c r="N46" s="23" t="inlineStr">
        <is>
          <t>Abgeschlossene Therapie; keine ausdrückliche Bewertung ihres klinischen Nutzens.</t>
        </is>
      </c>
    </row>
    <row r="47">
      <c r="A47" s="22" t="n">
        <v>23</v>
      </c>
      <c r="B47" s="23" t="inlineStr">
        <is>
          <t>RA</t>
        </is>
      </c>
      <c r="C47" s="23" t="inlineStr">
        <is>
          <t>Baseline</t>
        </is>
      </c>
      <c r="D47" s="23" t="inlineStr">
        <is>
          <t>Methotrexat</t>
        </is>
      </c>
      <c r="E47" s="22" t="n">
        <v>15</v>
      </c>
      <c r="F47" s="23" t="inlineStr">
        <is>
          <t>mg</t>
        </is>
      </c>
      <c r="G47" s="22" t="n">
        <v>1</v>
      </c>
      <c r="H47" s="23" t="inlineStr">
        <is>
          <t>Wochen</t>
        </is>
      </c>
      <c r="I47" s="23" t="inlineStr">
        <is>
          <t>Nein</t>
        </is>
      </c>
      <c r="J47" s="23" t="inlineStr">
        <is>
          <t>laufend</t>
        </is>
      </c>
      <c r="K47" s="23" t="inlineStr">
        <is>
          <t>Methotrexat 15 mg/Woche</t>
        </is>
      </c>
      <c r="L47" s="23" t="inlineStr">
        <is>
          <t>23_Baseline.docx</t>
        </is>
      </c>
      <c r="M47" s="23" t="inlineStr">
        <is>
          <t>Methotrexat 15 mg/Woche
Vor drei Wochen sei die letzte Adalimumabgabe erfolgt, aktuell nehme die Patientin nur MTX gegen die rheumatischen Beschwerden.</t>
        </is>
      </c>
      <c r="N47" s="23" t="n"/>
    </row>
    <row r="48">
      <c r="A48" s="22" t="n">
        <v>23</v>
      </c>
      <c r="B48" s="23" t="inlineStr">
        <is>
          <t>RA</t>
        </is>
      </c>
      <c r="C48" s="23" t="inlineStr">
        <is>
          <t>Baseline</t>
        </is>
      </c>
      <c r="D48" s="23" t="inlineStr">
        <is>
          <t>Adalimumab</t>
        </is>
      </c>
      <c r="E48" s="22" t="n">
        <v>40</v>
      </c>
      <c r="F48" s="23" t="inlineStr">
        <is>
          <t>mg</t>
        </is>
      </c>
      <c r="G48" s="22" t="n">
        <v>14</v>
      </c>
      <c r="H48" s="23" t="inlineStr">
        <is>
          <t>Tage</t>
        </is>
      </c>
      <c r="I48" s="23" t="inlineStr">
        <is>
          <t>Nein</t>
        </is>
      </c>
      <c r="J48" s="23" t="inlineStr">
        <is>
          <t>pausiert</t>
        </is>
      </c>
      <c r="K48" s="23" t="inlineStr">
        <is>
          <t>Adalimumab 40mg alle 14d s.c. (vor drei Wochen pausiert)</t>
        </is>
      </c>
      <c r="L48" s="23" t="inlineStr">
        <is>
          <t>23_Baseline.docx</t>
        </is>
      </c>
      <c r="M48" s="23" t="inlineStr">
        <is>
          <t>Adalimumab 40mg alle 14d s.c. (vor drei Wochen pausiert)</t>
        </is>
      </c>
      <c r="N48" s="23" t="n"/>
    </row>
    <row r="49">
      <c r="A49" s="22" t="n">
        <v>23</v>
      </c>
      <c r="B49" s="23" t="inlineStr">
        <is>
          <t>RA</t>
        </is>
      </c>
      <c r="C49" s="23" t="inlineStr">
        <is>
          <t>Baseline</t>
        </is>
      </c>
      <c r="D49" s="23" t="inlineStr">
        <is>
          <t>Blinatumomab</t>
        </is>
      </c>
      <c r="E49" s="23" t="n"/>
      <c r="F49" s="23" t="n"/>
      <c r="G49" s="23" t="n"/>
      <c r="H49" s="23" t="n"/>
      <c r="I49" s="23" t="inlineStr">
        <is>
          <t>Unklar</t>
        </is>
      </c>
      <c r="J49" s="23" t="inlineStr">
        <is>
          <t>beendet</t>
        </is>
      </c>
      <c r="K49" s="23" t="n"/>
      <c r="L49" s="23" t="inlineStr">
        <is>
          <t>23_Baseline.docx</t>
        </is>
      </c>
      <c r="M49" s="23" t="inlineStr">
        <is>
          <t>In Zusammenschau der Befunde wurde die Erstgabe Blinatumomab von Seiten der Patientin gut vertragen.
Der Termin zur Zweitgabe Blinatumomab wurde für den 10.07.2023 vereinbart.</t>
        </is>
      </c>
      <c r="N49" s="23" t="inlineStr">
        <is>
          <t>Erstgabe abgeschlossen; zweite Gabe für den 10.07.2023 geplant. Keine regelmäßige Dauermedikation dokumentiert.</t>
        </is>
      </c>
    </row>
    <row r="50">
      <c r="A50" s="22" t="n">
        <v>23</v>
      </c>
      <c r="B50" s="23" t="inlineStr">
        <is>
          <t>RA</t>
        </is>
      </c>
      <c r="C50" s="23" t="inlineStr">
        <is>
          <t>Baseline</t>
        </is>
      </c>
      <c r="D50" s="23" t="inlineStr">
        <is>
          <t>Triamcinolon</t>
        </is>
      </c>
      <c r="E50" s="22" t="n">
        <v>40</v>
      </c>
      <c r="F50" s="23" t="inlineStr">
        <is>
          <t>mg</t>
        </is>
      </c>
      <c r="G50" s="23" t="n"/>
      <c r="H50" s="23" t="n"/>
      <c r="I50" s="23" t="inlineStr">
        <is>
          <t>Unklar</t>
        </is>
      </c>
      <c r="J50" s="23" t="inlineStr">
        <is>
          <t>beendet</t>
        </is>
      </c>
      <c r="K50" s="23" t="inlineStr">
        <is>
          <t>40mg Triamcinolon injiziert</t>
        </is>
      </c>
      <c r="L50" s="23" t="inlineStr">
        <is>
          <t>23_Baseline.docx</t>
        </is>
      </c>
      <c r="M50" s="23" t="inlineStr">
        <is>
          <t>Weiterhin wurde eine Synovia-Biopsie des linken Kniegelenks zur späteren Verlaufskontrolle im Rahmen des individuellen Heilversuchs durchgeführt und 40mg Triamcinolon injiziert.</t>
        </is>
      </c>
      <c r="N50" s="23" t="inlineStr">
        <is>
          <t>Einmalige lokale Injektion im Zusammenhang mit der Biopsie des linken Knies; Datum nicht ausdrücklich genannt.</t>
        </is>
      </c>
    </row>
    <row r="51">
      <c r="A51" s="22" t="n">
        <v>23</v>
      </c>
      <c r="B51" s="23" t="inlineStr">
        <is>
          <t>RA</t>
        </is>
      </c>
      <c r="C51" s="23" t="inlineStr">
        <is>
          <t>Baseline</t>
        </is>
      </c>
      <c r="D51" s="23" t="inlineStr">
        <is>
          <t>Ibuprofen</t>
        </is>
      </c>
      <c r="E51" s="22" t="n">
        <v>600</v>
      </c>
      <c r="F51" s="23" t="inlineStr">
        <is>
          <t>mg</t>
        </is>
      </c>
      <c r="G51" s="23" t="n"/>
      <c r="H51" s="23" t="n"/>
      <c r="I51" s="23" t="inlineStr">
        <is>
          <t>Nein</t>
        </is>
      </c>
      <c r="J51" s="23" t="inlineStr">
        <is>
          <t>pausiert</t>
        </is>
      </c>
      <c r="K51" s="23" t="inlineStr">
        <is>
          <t>1-1-1-0 PAUSE</t>
        </is>
      </c>
      <c r="L51" s="23" t="inlineStr">
        <is>
          <t>23_Baseline.docx</t>
        </is>
      </c>
      <c r="M51" s="23" t="inlineStr">
        <is>
          <t>Ibuprofen 600 mg 1-1-1
Ibuprofen | Ibuprofen 600mg | Gran. | 1-1-1-0 PAUSE | oral | Einnahme mit den Mahlzeiten</t>
        </is>
      </c>
      <c r="N51" s="23" t="inlineStr">
        <is>
          <t>Bei Aufnahme regelmäßig angegeben, bei Entlassung pausiert.</t>
        </is>
      </c>
    </row>
    <row r="52">
      <c r="A52" s="22" t="n">
        <v>23</v>
      </c>
      <c r="B52" s="23" t="inlineStr">
        <is>
          <t>RA</t>
        </is>
      </c>
      <c r="C52" s="23" t="inlineStr">
        <is>
          <t>Baseline</t>
        </is>
      </c>
      <c r="D52" s="23" t="inlineStr">
        <is>
          <t>Metamizol</t>
        </is>
      </c>
      <c r="E52" s="22" t="n">
        <v>500</v>
      </c>
      <c r="F52" s="23" t="inlineStr">
        <is>
          <t>mg</t>
        </is>
      </c>
      <c r="G52" s="23" t="n"/>
      <c r="H52" s="23" t="n"/>
      <c r="I52" s="23" t="inlineStr">
        <is>
          <t>Ja</t>
        </is>
      </c>
      <c r="J52" s="23" t="inlineStr">
        <is>
          <t>laufend</t>
        </is>
      </c>
      <c r="K52" s="23" t="inlineStr">
        <is>
          <t>bei Bedarf (1, maximal 8/d); Mindestabstand 2h</t>
        </is>
      </c>
      <c r="L52" s="23" t="inlineStr">
        <is>
          <t>23_Baseline.docx</t>
        </is>
      </c>
      <c r="M52" s="23" t="inlineStr">
        <is>
          <t>Metamizol natrium hydrat | Metamizol 500mg | Tbl. | bei Bedarf (1, maximal 8/d) | oral | Mindestabstand 2h</t>
        </is>
      </c>
      <c r="N52" s="23" t="n"/>
    </row>
    <row r="53">
      <c r="A53" s="22" t="n">
        <v>23</v>
      </c>
      <c r="B53" s="23" t="inlineStr">
        <is>
          <t>RA</t>
        </is>
      </c>
      <c r="C53" s="23" t="inlineStr">
        <is>
          <t>Follow-up</t>
        </is>
      </c>
      <c r="D53" s="23" t="inlineStr">
        <is>
          <t>Methotrexat</t>
        </is>
      </c>
      <c r="E53" s="22" t="n">
        <v>15</v>
      </c>
      <c r="F53" s="23" t="inlineStr">
        <is>
          <t>mg</t>
        </is>
      </c>
      <c r="G53" s="22" t="n">
        <v>1</v>
      </c>
      <c r="H53" s="23" t="inlineStr">
        <is>
          <t>Wochen</t>
        </is>
      </c>
      <c r="I53" s="23" t="inlineStr">
        <is>
          <t>Nein</t>
        </is>
      </c>
      <c r="J53" s="23" t="inlineStr">
        <is>
          <t>laufend</t>
        </is>
      </c>
      <c r="K53" s="23" t="inlineStr">
        <is>
          <t>Methotrexat 15 mg/Woche</t>
        </is>
      </c>
      <c r="L53" s="23" t="inlineStr">
        <is>
          <t>23_FollowUp.docx</t>
        </is>
      </c>
      <c r="M53" s="23" t="inlineStr">
        <is>
          <t>Methotrexat 15 mg/Woche
MTX weiter 1 x wöchentlich.</t>
        </is>
      </c>
      <c r="N53" s="23" t="inlineStr">
        <is>
          <t>Dosis in der Vorgeschichte, Fortführung am 18.01.2024 dokumentiert.</t>
        </is>
      </c>
    </row>
    <row r="54">
      <c r="A54" s="22" t="n">
        <v>23</v>
      </c>
      <c r="B54" s="23" t="inlineStr">
        <is>
          <t>RA</t>
        </is>
      </c>
      <c r="C54" s="23" t="inlineStr">
        <is>
          <t>Follow-up</t>
        </is>
      </c>
      <c r="D54" s="23" t="inlineStr">
        <is>
          <t>Blinatumomab</t>
        </is>
      </c>
      <c r="E54" s="23" t="n"/>
      <c r="F54" s="23" t="n"/>
      <c r="G54" s="23" t="n"/>
      <c r="H54" s="23" t="n"/>
      <c r="I54" s="23" t="inlineStr">
        <is>
          <t>Unklar</t>
        </is>
      </c>
      <c r="J54" s="23" t="inlineStr">
        <is>
          <t>beendet</t>
        </is>
      </c>
      <c r="K54" s="23" t="inlineStr">
        <is>
          <t>über 96 Stunden</t>
        </is>
      </c>
      <c r="L54" s="23" t="inlineStr">
        <is>
          <t>23_FollowUp.docx</t>
        </is>
      </c>
      <c r="M54" s="23" t="inlineStr">
        <is>
          <t>Die stationäre Aufnahme von Frau Schatt erfolgte zur 2. Gabe Blinatumomab im Rahmen eines individuellen Heilversuches.
Nach Ausschluss von Kontraindikationen erfolgte die erneute Applikation von Blinatumomab über 96 Stunden.</t>
        </is>
      </c>
      <c r="N54" s="23" t="inlineStr">
        <is>
          <t>Abgeschlossene zweite Infusionsbehandlung in der Vorgeschichte mit Entlassung am 14.07.2023; keine laufende Dauertherapie.</t>
        </is>
      </c>
    </row>
    <row r="55">
      <c r="A55" s="22" t="n">
        <v>23</v>
      </c>
      <c r="B55" s="23" t="inlineStr">
        <is>
          <t>RA</t>
        </is>
      </c>
      <c r="C55" s="23" t="inlineStr">
        <is>
          <t>Follow-up</t>
        </is>
      </c>
      <c r="D55" s="23" t="inlineStr">
        <is>
          <t>Ibuprofen</t>
        </is>
      </c>
      <c r="E55" s="23" t="n"/>
      <c r="F55" s="23" t="n"/>
      <c r="G55" s="23" t="n"/>
      <c r="H55" s="23" t="n"/>
      <c r="I55" s="23" t="inlineStr">
        <is>
          <t>Unklar</t>
        </is>
      </c>
      <c r="J55" s="23" t="inlineStr">
        <is>
          <t>beendet</t>
        </is>
      </c>
      <c r="K55" s="23" t="inlineStr">
        <is>
          <t>Einmalig Ibu eingenommen</t>
        </is>
      </c>
      <c r="L55" s="23" t="inlineStr">
        <is>
          <t>23_FollowUp.docx</t>
        </is>
      </c>
      <c r="M55" s="23" t="inlineStr">
        <is>
          <t>18.4.2024: Einmalig Ibu eingenommen, da Hände (Handgelenk re.) wehgetan haben...einmalig auch li. Knie wehgetan....ansonsten dann aber wieder schnell alles besser.
Ibuprofen 600 mg 1-1-1  (Pause)</t>
        </is>
      </c>
      <c r="N55" s="23" t="inlineStr">
        <is>
          <t>Regelmäßige Einnahme in der Vorgeschichte pausiert; einmalige Einnahme im April 2024. Dosis dieser Einzeleinnahme nicht dokumentiert.</t>
        </is>
      </c>
    </row>
    <row r="56">
      <c r="A56" s="22" t="n">
        <v>24</v>
      </c>
      <c r="B56" s="23" t="inlineStr">
        <is>
          <t>RA</t>
        </is>
      </c>
      <c r="C56" s="23" t="inlineStr">
        <is>
          <t>Baseline</t>
        </is>
      </c>
      <c r="D56" s="23" t="inlineStr">
        <is>
          <t>Filgotinib</t>
        </is>
      </c>
      <c r="E56" s="22" t="n">
        <v>100</v>
      </c>
      <c r="F56" s="23" t="inlineStr">
        <is>
          <t>mg</t>
        </is>
      </c>
      <c r="G56" s="22" t="n">
        <v>1</v>
      </c>
      <c r="H56" s="23" t="inlineStr">
        <is>
          <t>Tage</t>
        </is>
      </c>
      <c r="I56" s="23" t="inlineStr">
        <is>
          <t>Nein</t>
        </is>
      </c>
      <c r="J56" s="23" t="inlineStr">
        <is>
          <t>beendet</t>
        </is>
      </c>
      <c r="K56" s="23" t="inlineStr">
        <is>
          <t>Filgotinib 100 mg 1-0-0 (vor 7d abgesetzt)</t>
        </is>
      </c>
      <c r="L56" s="23" t="inlineStr">
        <is>
          <t>24_Baseline.docx</t>
        </is>
      </c>
      <c r="M56" s="23" t="inlineStr">
        <is>
          <t>Filgotinib 100 mg 1-0-0 (vor 7d abgesetzt)</t>
        </is>
      </c>
      <c r="N56" s="23" t="inlineStr">
        <is>
          <t>Absetzzeitpunkt anamnestisch auch als vor etwa 1½ Wochen angegeben; Therapiehistorie enthält die widersprüchliche Jahresangabe 04/2022.</t>
        </is>
      </c>
    </row>
    <row r="57">
      <c r="A57" s="22" t="n">
        <v>24</v>
      </c>
      <c r="B57" s="23" t="inlineStr">
        <is>
          <t>RA</t>
        </is>
      </c>
      <c r="C57" s="23" t="inlineStr">
        <is>
          <t>Baseline</t>
        </is>
      </c>
      <c r="D57" s="23" t="inlineStr">
        <is>
          <t>Methotrexat</t>
        </is>
      </c>
      <c r="E57" s="22" t="n">
        <v>7.5</v>
      </c>
      <c r="F57" s="23" t="inlineStr">
        <is>
          <t>mg</t>
        </is>
      </c>
      <c r="G57" s="22" t="n">
        <v>1</v>
      </c>
      <c r="H57" s="23" t="inlineStr">
        <is>
          <t>Wochen</t>
        </is>
      </c>
      <c r="I57" s="23" t="inlineStr">
        <is>
          <t>Nein</t>
        </is>
      </c>
      <c r="J57" s="23" t="inlineStr">
        <is>
          <t>beendet</t>
        </is>
      </c>
      <c r="K57" s="23" t="inlineStr">
        <is>
          <t>MTX 7,5 mg 1x/Woche s.c. (vor 14d abgesetzt)</t>
        </is>
      </c>
      <c r="L57" s="23" t="inlineStr">
        <is>
          <t>24_Baseline.docx</t>
        </is>
      </c>
      <c r="M57" s="23" t="inlineStr">
        <is>
          <t>MTX 7,5 mg 1x/Woche s.c. (vor 14d abgesetzt)</t>
        </is>
      </c>
      <c r="N57" s="23" t="n"/>
    </row>
    <row r="58">
      <c r="A58" s="22" t="n">
        <v>24</v>
      </c>
      <c r="B58" s="23" t="inlineStr">
        <is>
          <t>RA</t>
        </is>
      </c>
      <c r="C58" s="23" t="inlineStr">
        <is>
          <t>Baseline</t>
        </is>
      </c>
      <c r="D58" s="23" t="inlineStr">
        <is>
          <t>Blinatumomab</t>
        </is>
      </c>
      <c r="E58" s="23" t="n"/>
      <c r="F58" s="23" t="n"/>
      <c r="G58" s="23" t="n"/>
      <c r="H58" s="23" t="n"/>
      <c r="I58" s="23" t="inlineStr">
        <is>
          <t>Unklar</t>
        </is>
      </c>
      <c r="J58" s="23" t="inlineStr">
        <is>
          <t>beendet</t>
        </is>
      </c>
      <c r="K58" s="23" t="inlineStr">
        <is>
          <t>über 5 Tage</t>
        </is>
      </c>
      <c r="L58" s="23" t="inlineStr">
        <is>
          <t>24_Baseline.docx</t>
        </is>
      </c>
      <c r="M58" s="23" t="inlineStr">
        <is>
          <t>Anschließend initiierten wir die Therapie mit Blinatumomab über 5 Tage.
Wir entlassen den Patienten am 29.04.2023 in stabilem und gebesserten Allgemeinzustand und vereinbarten eine erneute stationäre Aufnahme am 08.05.2023 zur zweitem Therapiezyklus.</t>
        </is>
      </c>
      <c r="N58" s="23" t="inlineStr">
        <is>
          <t>Erster Infusionszyklus abgeschlossen; zweiter Zyklus geplant. Keine Einzeldosis oder regelmäßiges Intervall dokumentiert.</t>
        </is>
      </c>
    </row>
    <row r="59">
      <c r="A59" s="22" t="n">
        <v>24</v>
      </c>
      <c r="B59" s="23" t="inlineStr">
        <is>
          <t>RA</t>
        </is>
      </c>
      <c r="C59" s="23" t="inlineStr">
        <is>
          <t>Follow-up</t>
        </is>
      </c>
      <c r="D59" s="23" t="inlineStr">
        <is>
          <t>Blinatumomab</t>
        </is>
      </c>
      <c r="E59" s="23" t="n"/>
      <c r="F59" s="23" t="n"/>
      <c r="G59" s="23" t="n"/>
      <c r="H59" s="23" t="n"/>
      <c r="I59" s="23" t="inlineStr">
        <is>
          <t>Unklar</t>
        </is>
      </c>
      <c r="J59" s="23" t="inlineStr">
        <is>
          <t>beendet</t>
        </is>
      </c>
      <c r="K59" s="23" t="inlineStr">
        <is>
          <t>über 5 Tage</t>
        </is>
      </c>
      <c r="L59" s="23" t="inlineStr">
        <is>
          <t>24_FollowUp.docx</t>
        </is>
      </c>
      <c r="M59" s="23" t="inlineStr">
        <is>
          <t>Die Aufnahme des Patienten erfolgte elektiv zum dritten Therapiezyklus von Blinatumomab im Rahmen eines individuellen Heilversuchs bei therapierefraktärer seronegativer rheumatoider Arthritis.
Anschließend initierten wir die Therapie mit Blinatumomab über 5 Tage.
Wir entlassen den Patienten am 22.07.2023 in stabilem und gebesserten Allgemeinzustand in die ambulante Weiterbehandlung.</t>
        </is>
      </c>
      <c r="N59" s="23" t="inlineStr">
        <is>
          <t>Dritter Infusionszyklus abgeschlossen; keine regelmäßige Dauergabe oder Einzeldosis dokumentiert.</t>
        </is>
      </c>
    </row>
    <row r="60">
      <c r="A60" s="22" t="n">
        <v>25</v>
      </c>
      <c r="B60" s="23" t="inlineStr">
        <is>
          <t>RA</t>
        </is>
      </c>
      <c r="C60" s="23" t="inlineStr">
        <is>
          <t>Baseline</t>
        </is>
      </c>
      <c r="D60" s="23" t="inlineStr">
        <is>
          <t>Methotrexat</t>
        </is>
      </c>
      <c r="E60" s="23" t="n"/>
      <c r="F60" s="23" t="inlineStr">
        <is>
          <t>mg</t>
        </is>
      </c>
      <c r="G60" s="22" t="n">
        <v>1</v>
      </c>
      <c r="H60" s="23" t="inlineStr">
        <is>
          <t>Wochen</t>
        </is>
      </c>
      <c r="I60" s="23" t="inlineStr">
        <is>
          <t>Nein</t>
        </is>
      </c>
      <c r="J60" s="23" t="inlineStr">
        <is>
          <t>laufend</t>
        </is>
      </c>
      <c r="K60" s="23" t="inlineStr">
        <is>
          <t>Aktuell 15mg/Woche. / aktuell Methotrexat 25mg/Woche / Deshalb Empfehlung Methotrexat auf 25mg/Woche zu steigern.</t>
        </is>
      </c>
      <c r="L60" s="23" t="inlineStr">
        <is>
          <t>25_Baseline.docx</t>
        </is>
      </c>
      <c r="M60" s="23" t="inlineStr">
        <is>
          <t>Aktuell 15mg/Woche.
aktuell Methotrexat 25mg/Woche + Prednisolon (5/2022) mit Reduktionsschema, aktuell 7,5 mg
Deshalb Empfehlung Methotrexat auf 25mg/Woche zu steigern.</t>
        </is>
      </c>
      <c r="N60" s="23" t="inlineStr">
        <is>
          <t>Aktuelle Dosis widersprüchlich: Anamnese 15 mg/Woche, Diagnosen 25 mg/Woche; zugleich Steigerung auf 25 mg/Woche empfohlen. Deshalb Dosis=null.</t>
        </is>
      </c>
    </row>
    <row r="61">
      <c r="A61" s="22" t="n">
        <v>25</v>
      </c>
      <c r="B61" s="23" t="inlineStr">
        <is>
          <t>RA</t>
        </is>
      </c>
      <c r="C61" s="23" t="inlineStr">
        <is>
          <t>Baseline</t>
        </is>
      </c>
      <c r="D61" s="23" t="inlineStr">
        <is>
          <t>Prednisolon</t>
        </is>
      </c>
      <c r="E61" s="23" t="n"/>
      <c r="F61" s="23" t="inlineStr">
        <is>
          <t>mg</t>
        </is>
      </c>
      <c r="G61" s="23" t="n"/>
      <c r="H61" s="23" t="n"/>
      <c r="I61" s="23" t="inlineStr">
        <is>
          <t>Nein</t>
        </is>
      </c>
      <c r="J61" s="23" t="inlineStr">
        <is>
          <t>laufend</t>
        </is>
      </c>
      <c r="K61" s="23" t="inlineStr">
        <is>
          <t>Prednisolon (5/2022) mit Reduktionsschema, aktuell 7,5 mg; Prednisolon konnte auf 5mg reduziert werden.</t>
        </is>
      </c>
      <c r="L61" s="23" t="inlineStr">
        <is>
          <t>25_Baseline.docx</t>
        </is>
      </c>
      <c r="M61" s="23" t="inlineStr">
        <is>
          <t>aktuell Methotrexat 25mg/Woche + Prednisolon (5/2022) mit Reduktionsschema, aktuell 7,5 mg
Prednisolon konnte auf 5mg reduziert werden.</t>
        </is>
      </c>
      <c r="N61" s="23" t="inlineStr">
        <is>
          <t>Abweichende aktuelle Dosisangaben von 7,5 und 5 mg ohne eindeutig datierte Zuordnung; deshalb Dosis=null.</t>
        </is>
      </c>
    </row>
    <row r="62">
      <c r="A62" s="22" t="n">
        <v>25</v>
      </c>
      <c r="B62" s="23" t="inlineStr">
        <is>
          <t>RA</t>
        </is>
      </c>
      <c r="C62" s="23" t="inlineStr">
        <is>
          <t>Baseline</t>
        </is>
      </c>
      <c r="D62" s="23" t="inlineStr">
        <is>
          <t>Ibuprofen</t>
        </is>
      </c>
      <c r="E62" s="22" t="n">
        <v>600</v>
      </c>
      <c r="F62" s="23" t="inlineStr">
        <is>
          <t>mg</t>
        </is>
      </c>
      <c r="G62" s="23" t="n"/>
      <c r="H62" s="23" t="n"/>
      <c r="I62" s="23" t="inlineStr">
        <is>
          <t>Nein</t>
        </is>
      </c>
      <c r="J62" s="23" t="inlineStr">
        <is>
          <t>unklar</t>
        </is>
      </c>
      <c r="K62" s="23" t="inlineStr">
        <is>
          <t>Ibuprofen 600mg 4x/Tag</t>
        </is>
      </c>
      <c r="L62" s="23" t="inlineStr">
        <is>
          <t>25_Baseline.docx</t>
        </is>
      </c>
      <c r="M62" s="23" t="inlineStr">
        <is>
          <t>Ibuprofen 600mg 4x/Tag
bisherige Therapie: Ibuprofen</t>
        </is>
      </c>
      <c r="N62" s="23" t="inlineStr">
        <is>
          <t>Unter Dauermedikation und zugleich als bisherige Therapie genannt; aktueller Einnahmestatus unklar. Vier Einnahmen pro Tag dokumentiert, kein gleichmäßiger Stundenabstand.</t>
        </is>
      </c>
    </row>
    <row r="63">
      <c r="A63" s="22" t="n">
        <v>25</v>
      </c>
      <c r="B63" s="23" t="inlineStr">
        <is>
          <t>RA</t>
        </is>
      </c>
      <c r="C63" s="23" t="inlineStr">
        <is>
          <t>Baseline</t>
        </is>
      </c>
      <c r="D63" s="23" t="inlineStr">
        <is>
          <t>Celecoxib</t>
        </is>
      </c>
      <c r="E63" s="23" t="n"/>
      <c r="F63" s="23" t="n"/>
      <c r="G63" s="23" t="n"/>
      <c r="H63" s="23" t="n"/>
      <c r="I63" s="23" t="inlineStr">
        <is>
          <t>Unklar</t>
        </is>
      </c>
      <c r="J63" s="23" t="inlineStr">
        <is>
          <t>laufend</t>
        </is>
      </c>
      <c r="K63" s="23" t="n"/>
      <c r="L63" s="23" t="inlineStr">
        <is>
          <t>25_Baseline.docx</t>
        </is>
      </c>
      <c r="M63" s="23" t="inlineStr">
        <is>
          <t>Dauermedikation:
Pantoprazol 40mg 1-0-0
Ibuprofen 600mg 4x/Tag
Celecoxib</t>
        </is>
      </c>
      <c r="N63" s="23" t="n"/>
    </row>
    <row r="64">
      <c r="A64" s="22" t="n">
        <v>25</v>
      </c>
      <c r="B64" s="23" t="inlineStr">
        <is>
          <t>RA</t>
        </is>
      </c>
      <c r="C64" s="23" t="inlineStr">
        <is>
          <t>Follow-up</t>
        </is>
      </c>
      <c r="D64" s="23" t="inlineStr">
        <is>
          <t>Methotrexat</t>
        </is>
      </c>
      <c r="E64" s="22" t="n">
        <v>25</v>
      </c>
      <c r="F64" s="23" t="inlineStr">
        <is>
          <t>mg</t>
        </is>
      </c>
      <c r="G64" s="22" t="n">
        <v>1</v>
      </c>
      <c r="H64" s="23" t="inlineStr">
        <is>
          <t>Wochen</t>
        </is>
      </c>
      <c r="I64" s="23" t="inlineStr">
        <is>
          <t>Nein</t>
        </is>
      </c>
      <c r="J64" s="23" t="inlineStr">
        <is>
          <t>laufend</t>
        </is>
      </c>
      <c r="K64" s="23" t="inlineStr">
        <is>
          <t>MTX 25mg/Wo</t>
        </is>
      </c>
      <c r="L64" s="23" t="inlineStr">
        <is>
          <t>25_FollowUp.docx</t>
        </is>
      </c>
      <c r="M64" s="23" t="inlineStr">
        <is>
          <t>Herr Raulf stellt sich zur Verlaufskontrolle bei bek rheumatoider Arthritis unter der Therapie mit MTX 25mg/Wo und Prednisolon 3,5 mg vor.
Wir empfehlen deshalb die Fortsetzung der Therapie mit Methotrexat 25mg/Woche und eine Reduktion von Prednisolon um 0,5 mg alle 7 Tage.</t>
        </is>
      </c>
      <c r="N64" s="23" t="n"/>
    </row>
    <row r="65">
      <c r="A65" s="22" t="n">
        <v>25</v>
      </c>
      <c r="B65" s="23" t="inlineStr">
        <is>
          <t>RA</t>
        </is>
      </c>
      <c r="C65" s="23" t="inlineStr">
        <is>
          <t>Follow-up</t>
        </is>
      </c>
      <c r="D65" s="23" t="inlineStr">
        <is>
          <t>Prednisolon</t>
        </is>
      </c>
      <c r="E65" s="22" t="n">
        <v>3.5</v>
      </c>
      <c r="F65" s="23" t="inlineStr">
        <is>
          <t>mg</t>
        </is>
      </c>
      <c r="G65" s="22" t="n">
        <v>1</v>
      </c>
      <c r="H65" s="23" t="inlineStr">
        <is>
          <t>Tage</t>
        </is>
      </c>
      <c r="I65" s="23" t="inlineStr">
        <is>
          <t>Nein</t>
        </is>
      </c>
      <c r="J65" s="23" t="inlineStr">
        <is>
          <t>laufend</t>
        </is>
      </c>
      <c r="K65" s="23" t="inlineStr">
        <is>
          <t>Prednisolon 3.5mg 1-0-0; Reduktion Prednisolon um 0,5 mg alle 7 Tage</t>
        </is>
      </c>
      <c r="L65" s="23" t="inlineStr">
        <is>
          <t>25_FollowUp.docx</t>
        </is>
      </c>
      <c r="M65" s="23" t="inlineStr">
        <is>
          <t>Prednisolon 3.5mg 1-0-0
2. Reduktion Prednisolon um 0,5 mg alle 7 Tage</t>
        </is>
      </c>
      <c r="N65" s="23" t="inlineStr">
        <is>
          <t>3,5 mg als aktuelle Tagesdosis; geplante Reduktion um 0,5 mg alle sieben Tage.</t>
        </is>
      </c>
    </row>
    <row r="66">
      <c r="A66" s="22" t="n">
        <v>26</v>
      </c>
      <c r="B66" s="23" t="inlineStr">
        <is>
          <t>RA</t>
        </is>
      </c>
      <c r="C66" s="23" t="inlineStr">
        <is>
          <t>Baseline</t>
        </is>
      </c>
      <c r="D66" s="23" t="inlineStr">
        <is>
          <t>Golimumab</t>
        </is>
      </c>
      <c r="E66" s="23" t="n"/>
      <c r="F66" s="23" t="n"/>
      <c r="G66" s="23" t="n"/>
      <c r="H66" s="23" t="n"/>
      <c r="I66" s="23" t="inlineStr">
        <is>
          <t>Unklar</t>
        </is>
      </c>
      <c r="J66" s="23" t="inlineStr">
        <is>
          <t>beendet</t>
        </is>
      </c>
      <c r="K66" s="23" t="n"/>
      <c r="L66" s="23" t="inlineStr">
        <is>
          <t>26_Baseline.docx</t>
        </is>
      </c>
      <c r="M66" s="23" t="inlineStr">
        <is>
          <t>Z.n. Golimumab 02/2021-07/2021
Verlaufskontrolle der rheumatoiden Arthritis unter Golimumab.</t>
        </is>
      </c>
      <c r="N66" s="23" t="inlineStr">
        <is>
          <t>Beendigung im Rahmen der aktuellen Umstellung; genauer letzter Anwendungstag nicht angegeben.</t>
        </is>
      </c>
    </row>
    <row r="67">
      <c r="A67" s="22" t="n">
        <v>26</v>
      </c>
      <c r="B67" s="23" t="inlineStr">
        <is>
          <t>RA</t>
        </is>
      </c>
      <c r="C67" s="23" t="inlineStr">
        <is>
          <t>Baseline</t>
        </is>
      </c>
      <c r="D67" s="23" t="inlineStr">
        <is>
          <t>Upadacitinib</t>
        </is>
      </c>
      <c r="E67" s="22" t="n">
        <v>15</v>
      </c>
      <c r="F67" s="23" t="inlineStr">
        <is>
          <t>mg</t>
        </is>
      </c>
      <c r="G67" s="22" t="n">
        <v>1</v>
      </c>
      <c r="H67" s="23" t="inlineStr">
        <is>
          <t>Tage</t>
        </is>
      </c>
      <c r="I67" s="23" t="inlineStr">
        <is>
          <t>Nein</t>
        </is>
      </c>
      <c r="J67" s="23" t="inlineStr">
        <is>
          <t>geplant</t>
        </is>
      </c>
      <c r="K67" s="23" t="inlineStr">
        <is>
          <t>Upadacitinib 15 mg 1-0-0</t>
        </is>
      </c>
      <c r="L67" s="23" t="inlineStr">
        <is>
          <t>26_Baseline.docx</t>
        </is>
      </c>
      <c r="M67" s="23" t="inlineStr">
        <is>
          <t>Wir empfehlen daher eine Umstellung der medikamentösen Therapie auf Upadacitinib 15 mg 1-0-0.</t>
        </is>
      </c>
      <c r="N67" s="23" t="inlineStr">
        <is>
          <t>Bereits als Dauermedikation aufgeführt, im Beurteilungstext jedoch als empfohlene Umstellung; tatsächlicher Beginn nicht eindeutig belegt.</t>
        </is>
      </c>
    </row>
    <row r="68">
      <c r="A68" s="22" t="n">
        <v>26</v>
      </c>
      <c r="B68" s="23" t="inlineStr">
        <is>
          <t>RA</t>
        </is>
      </c>
      <c r="C68" s="23" t="inlineStr">
        <is>
          <t>Baseline</t>
        </is>
      </c>
      <c r="D68" s="23" t="inlineStr">
        <is>
          <t>Prednisolon</t>
        </is>
      </c>
      <c r="E68" s="22" t="n">
        <v>40</v>
      </c>
      <c r="F68" s="23" t="inlineStr">
        <is>
          <t>mg</t>
        </is>
      </c>
      <c r="G68" s="22" t="n">
        <v>1</v>
      </c>
      <c r="H68" s="23" t="inlineStr">
        <is>
          <t>Tage</t>
        </is>
      </c>
      <c r="I68" s="23" t="inlineStr">
        <is>
          <t>Nein</t>
        </is>
      </c>
      <c r="J68" s="23" t="inlineStr">
        <is>
          <t>laufend</t>
        </is>
      </c>
      <c r="K68" s="23" t="inlineStr">
        <is>
          <t>Prednisolon 40 mg 1-0-0</t>
        </is>
      </c>
      <c r="L68" s="23" t="inlineStr">
        <is>
          <t>26_Baseline.docx</t>
        </is>
      </c>
      <c r="M68" s="23" t="inlineStr">
        <is>
          <t>Prednisolon 40 mg 1-0-0
Prednisolon sollte schrittweise reduziert werden.</t>
        </is>
      </c>
      <c r="N68" s="23" t="inlineStr">
        <is>
          <t>Stoßtherapie; Reduktionsschema nicht angegeben.</t>
        </is>
      </c>
    </row>
    <row r="69">
      <c r="A69" s="22" t="n">
        <v>26</v>
      </c>
      <c r="B69" s="23" t="inlineStr">
        <is>
          <t>RA</t>
        </is>
      </c>
      <c r="C69" s="23" t="inlineStr">
        <is>
          <t>Baseline</t>
        </is>
      </c>
      <c r="D69" s="23" t="inlineStr">
        <is>
          <t>Ibuprofen</t>
        </is>
      </c>
      <c r="E69" s="22" t="n">
        <v>800</v>
      </c>
      <c r="F69" s="23" t="inlineStr">
        <is>
          <t>mg</t>
        </is>
      </c>
      <c r="G69" s="23" t="n"/>
      <c r="H69" s="23" t="n"/>
      <c r="I69" s="23" t="inlineStr">
        <is>
          <t>Nein</t>
        </is>
      </c>
      <c r="J69" s="23" t="inlineStr">
        <is>
          <t>laufend</t>
        </is>
      </c>
      <c r="K69" s="23" t="inlineStr">
        <is>
          <t>Ibuprofen 800 mg 1-0-1</t>
        </is>
      </c>
      <c r="L69" s="23" t="inlineStr">
        <is>
          <t>26_Baseline.docx</t>
        </is>
      </c>
      <c r="M69" s="23" t="inlineStr">
        <is>
          <t>Ibuprofen 800 mg 1-0-1
Wir weisen daraufhin, Ibuprofen nicht täglich einzunehmen und nur in Verbindung mit einem Magenschutz.</t>
        </is>
      </c>
      <c r="N69" s="23" t="inlineStr">
        <is>
          <t>Aktuell morgens und abends; künftig keine tägliche Einnahme empfohlen, ohne konkretes neues Intervall.</t>
        </is>
      </c>
    </row>
    <row r="70">
      <c r="A70" s="22" t="n">
        <v>26</v>
      </c>
      <c r="B70" s="23" t="inlineStr">
        <is>
          <t>RA</t>
        </is>
      </c>
      <c r="C70" s="23" t="inlineStr">
        <is>
          <t>Baseline</t>
        </is>
      </c>
      <c r="D70" s="23" t="inlineStr">
        <is>
          <t>Pantoprazol</t>
        </is>
      </c>
      <c r="E70" s="22" t="n">
        <v>20</v>
      </c>
      <c r="F70" s="23" t="inlineStr">
        <is>
          <t>mg</t>
        </is>
      </c>
      <c r="G70" s="22" t="n">
        <v>1</v>
      </c>
      <c r="H70" s="23" t="inlineStr">
        <is>
          <t>Tage</t>
        </is>
      </c>
      <c r="I70" s="23" t="inlineStr">
        <is>
          <t>Nein</t>
        </is>
      </c>
      <c r="J70" s="23" t="inlineStr">
        <is>
          <t>laufend</t>
        </is>
      </c>
      <c r="K70" s="23" t="inlineStr">
        <is>
          <t>Pantoprazol 20mg 1-0-0</t>
        </is>
      </c>
      <c r="L70" s="23" t="inlineStr">
        <is>
          <t>26_Baseline.docx</t>
        </is>
      </c>
      <c r="M70" s="23" t="inlineStr">
        <is>
          <t>Pantoprazol 20mg 1-0-0
Wir weisen daraufhin, Ibuprofen nicht täglich einzunehmen und nur in Verbindung mit einem Magenschutz.</t>
        </is>
      </c>
      <c r="N70" s="23" t="n"/>
    </row>
    <row r="71">
      <c r="A71" s="22" t="n">
        <v>26</v>
      </c>
      <c r="B71" s="23" t="inlineStr">
        <is>
          <t>RA</t>
        </is>
      </c>
      <c r="C71" s="23" t="inlineStr">
        <is>
          <t>Baseline</t>
        </is>
      </c>
      <c r="D71" s="23" t="inlineStr">
        <is>
          <t>Metamizol</t>
        </is>
      </c>
      <c r="E71" s="22" t="n">
        <v>500</v>
      </c>
      <c r="F71" s="23" t="inlineStr">
        <is>
          <t>mg</t>
        </is>
      </c>
      <c r="G71" s="23" t="n"/>
      <c r="H71" s="23" t="n"/>
      <c r="I71" s="23" t="inlineStr">
        <is>
          <t>Unklar</t>
        </is>
      </c>
      <c r="J71" s="23" t="inlineStr">
        <is>
          <t>geplant</t>
        </is>
      </c>
      <c r="K71" s="23" t="inlineStr">
        <is>
          <t>Novalgin 500 mg max. 4-6 x tgl.</t>
        </is>
      </c>
      <c r="L71" s="23" t="inlineStr">
        <is>
          <t>26_Baseline.docx</t>
        </is>
      </c>
      <c r="M71" s="23" t="inlineStr">
        <is>
          <t>Alternativ kann die Therapie mit Novalgin 500 mg max. 4-6 x tgl. kombiniert werden.</t>
        </is>
      </c>
      <c r="N71" s="23" t="inlineStr">
        <is>
          <t>Optionale analgetische Ergänzung; tatsächliche Einnahme nicht belegt.</t>
        </is>
      </c>
    </row>
    <row r="72">
      <c r="A72" s="22" t="n">
        <v>26</v>
      </c>
      <c r="B72" s="23" t="inlineStr">
        <is>
          <t>RA</t>
        </is>
      </c>
      <c r="C72" s="23" t="inlineStr">
        <is>
          <t>Follow-up</t>
        </is>
      </c>
      <c r="D72" s="23" t="inlineStr">
        <is>
          <t>Upadacitinib</t>
        </is>
      </c>
      <c r="E72" s="22" t="n">
        <v>15</v>
      </c>
      <c r="F72" s="23" t="inlineStr">
        <is>
          <t>mg</t>
        </is>
      </c>
      <c r="G72" s="22" t="n">
        <v>1</v>
      </c>
      <c r="H72" s="23" t="inlineStr">
        <is>
          <t>Tage</t>
        </is>
      </c>
      <c r="I72" s="23" t="inlineStr">
        <is>
          <t>Nein</t>
        </is>
      </c>
      <c r="J72" s="23" t="inlineStr">
        <is>
          <t>laufend</t>
        </is>
      </c>
      <c r="K72" s="23" t="inlineStr">
        <is>
          <t>Upadacitinib 15 mg 1-0-0 seit Juli 2021</t>
        </is>
      </c>
      <c r="L72" s="23" t="inlineStr">
        <is>
          <t>26_FollowUp.docx</t>
        </is>
      </c>
      <c r="M72" s="23" t="inlineStr">
        <is>
          <t>Aktuelle Therapie: Upadacitinib 15 mg 1-0-0 seit Juli 2021</t>
        </is>
      </c>
      <c r="N72" s="23" t="n"/>
    </row>
    <row r="73">
      <c r="A73" s="22" t="n">
        <v>26</v>
      </c>
      <c r="B73" s="23" t="inlineStr">
        <is>
          <t>RA</t>
        </is>
      </c>
      <c r="C73" s="23" t="inlineStr">
        <is>
          <t>Follow-up</t>
        </is>
      </c>
      <c r="D73" s="23" t="inlineStr">
        <is>
          <t>Ibuprofen</t>
        </is>
      </c>
      <c r="E73" s="22" t="n">
        <v>800</v>
      </c>
      <c r="F73" s="23" t="inlineStr">
        <is>
          <t>mg</t>
        </is>
      </c>
      <c r="G73" s="23" t="n"/>
      <c r="H73" s="23" t="n"/>
      <c r="I73" s="23" t="inlineStr">
        <is>
          <t>Nein</t>
        </is>
      </c>
      <c r="J73" s="23" t="inlineStr">
        <is>
          <t>laufend</t>
        </is>
      </c>
      <c r="K73" s="23" t="inlineStr">
        <is>
          <t>Ibuprofen 800 mg 1-0-1</t>
        </is>
      </c>
      <c r="L73" s="23" t="inlineStr">
        <is>
          <t>26_FollowUp.docx</t>
        </is>
      </c>
      <c r="M73" s="23" t="inlineStr">
        <is>
          <t>Ibuprofen 800 mg 1-0-1</t>
        </is>
      </c>
      <c r="N73" s="23" t="inlineStr">
        <is>
          <t>Morgens und abends laut Dauermedikation.</t>
        </is>
      </c>
    </row>
    <row r="74">
      <c r="A74" s="22" t="n">
        <v>26</v>
      </c>
      <c r="B74" s="23" t="inlineStr">
        <is>
          <t>RA</t>
        </is>
      </c>
      <c r="C74" s="23" t="inlineStr">
        <is>
          <t>Follow-up</t>
        </is>
      </c>
      <c r="D74" s="23" t="inlineStr">
        <is>
          <t>Pantoprazol</t>
        </is>
      </c>
      <c r="E74" s="22" t="n">
        <v>20</v>
      </c>
      <c r="F74" s="23" t="inlineStr">
        <is>
          <t>mg</t>
        </is>
      </c>
      <c r="G74" s="22" t="n">
        <v>1</v>
      </c>
      <c r="H74" s="23" t="inlineStr">
        <is>
          <t>Tage</t>
        </is>
      </c>
      <c r="I74" s="23" t="inlineStr">
        <is>
          <t>Nein</t>
        </is>
      </c>
      <c r="J74" s="23" t="inlineStr">
        <is>
          <t>laufend</t>
        </is>
      </c>
      <c r="K74" s="23" t="inlineStr">
        <is>
          <t>Pantoprazol 20mg 1-0-0</t>
        </is>
      </c>
      <c r="L74" s="23" t="inlineStr">
        <is>
          <t>26_FollowUp.docx</t>
        </is>
      </c>
      <c r="M74" s="23" t="inlineStr">
        <is>
          <t>Pantoprazol 20mg 1-0-0</t>
        </is>
      </c>
      <c r="N74" s="23" t="inlineStr">
        <is>
          <t>Begleitmedikation bei gleichzeitig dokumentierter Ibuprofeneinnahme und anamnestischer Gastritis.</t>
        </is>
      </c>
    </row>
    <row r="75">
      <c r="A75" s="22" t="n">
        <v>27</v>
      </c>
      <c r="B75" s="23" t="inlineStr">
        <is>
          <t>RA</t>
        </is>
      </c>
      <c r="C75" s="23" t="inlineStr">
        <is>
          <t>Baseline</t>
        </is>
      </c>
      <c r="D75" s="23" t="inlineStr">
        <is>
          <t>Sulfasalazin</t>
        </is>
      </c>
      <c r="E75" s="23" t="n"/>
      <c r="F75" s="23" t="n"/>
      <c r="G75" s="23" t="n"/>
      <c r="H75" s="23" t="n"/>
      <c r="I75" s="23" t="inlineStr">
        <is>
          <t>Nein</t>
        </is>
      </c>
      <c r="J75" s="23" t="inlineStr">
        <is>
          <t>beendet</t>
        </is>
      </c>
      <c r="K75" s="23" t="inlineStr">
        <is>
          <t>SSZ 500 mg 2-0-2</t>
        </is>
      </c>
      <c r="L75" s="23" t="inlineStr">
        <is>
          <t>27_Baseline.docx</t>
        </is>
      </c>
      <c r="M75" s="23" t="inlineStr">
        <is>
          <t>SSZ 500 mg 2-0-2
Hydroxychloroquin und Sulfasalazin (11/2020-18.03.2021, abgesetzt bei fehlendem Therapieansprechen)</t>
        </is>
      </c>
      <c r="N75" s="23" t="inlineStr">
        <is>
          <t>Absetzen am 18.03.2021 ausdrücklich dokumentiert, obwohl noch unter Dauermedikation aufgeführt; komplexes Einnahmeschema im Original erhalten.</t>
        </is>
      </c>
    </row>
    <row r="76">
      <c r="A76" s="22" t="n">
        <v>27</v>
      </c>
      <c r="B76" s="23" t="inlineStr">
        <is>
          <t>RA</t>
        </is>
      </c>
      <c r="C76" s="23" t="inlineStr">
        <is>
          <t>Baseline</t>
        </is>
      </c>
      <c r="D76" s="23" t="inlineStr">
        <is>
          <t>Hydroxychloroquin</t>
        </is>
      </c>
      <c r="E76" s="23" t="n"/>
      <c r="F76" s="23" t="n"/>
      <c r="G76" s="23" t="n"/>
      <c r="H76" s="23" t="n"/>
      <c r="I76" s="23" t="inlineStr">
        <is>
          <t>Nein</t>
        </is>
      </c>
      <c r="J76" s="23" t="inlineStr">
        <is>
          <t>beendet</t>
        </is>
      </c>
      <c r="K76" s="23" t="inlineStr">
        <is>
          <t>Quensyl 200 mg 1-0-1</t>
        </is>
      </c>
      <c r="L76" s="23" t="inlineStr">
        <is>
          <t>27_Baseline.docx</t>
        </is>
      </c>
      <c r="M76" s="23" t="inlineStr">
        <is>
          <t>Quensyl 200 mg 1-0-1
Hydroxychloroquin und Sulfasalazin (11/2020-18.03.2021, abgesetzt bei fehlendem Therapieansprechen)</t>
        </is>
      </c>
      <c r="N76" s="23" t="inlineStr">
        <is>
          <t>Absetzen am 18.03.2021 ausdrücklich dokumentiert, obwohl noch unter Dauermedikation aufgeführt; komplexes Einnahmeschema im Original erhalten.</t>
        </is>
      </c>
    </row>
    <row r="77">
      <c r="A77" s="22" t="n">
        <v>27</v>
      </c>
      <c r="B77" s="23" t="inlineStr">
        <is>
          <t>RA</t>
        </is>
      </c>
      <c r="C77" s="23" t="inlineStr">
        <is>
          <t>Baseline</t>
        </is>
      </c>
      <c r="D77" s="23" t="inlineStr">
        <is>
          <t>Etoricoxib</t>
        </is>
      </c>
      <c r="E77" s="22" t="n">
        <v>60</v>
      </c>
      <c r="F77" s="23" t="inlineStr">
        <is>
          <t>mg</t>
        </is>
      </c>
      <c r="G77" s="22" t="n">
        <v>1</v>
      </c>
      <c r="H77" s="23" t="inlineStr">
        <is>
          <t>Tage</t>
        </is>
      </c>
      <c r="I77" s="23" t="inlineStr">
        <is>
          <t>Nein</t>
        </is>
      </c>
      <c r="J77" s="23" t="inlineStr">
        <is>
          <t>laufend</t>
        </is>
      </c>
      <c r="K77" s="23" t="inlineStr">
        <is>
          <t>Etoricoxib 60 mg 0-0-1</t>
        </is>
      </c>
      <c r="L77" s="23" t="inlineStr">
        <is>
          <t>27_Baseline.docx</t>
        </is>
      </c>
      <c r="M77" s="23" t="inlineStr">
        <is>
          <t>Etoricoxib 60 mg 0-0-1</t>
        </is>
      </c>
      <c r="N77" s="23" t="n"/>
    </row>
    <row r="78">
      <c r="A78" s="22" t="n">
        <v>27</v>
      </c>
      <c r="B78" s="23" t="inlineStr">
        <is>
          <t>RA</t>
        </is>
      </c>
      <c r="C78" s="23" t="inlineStr">
        <is>
          <t>Baseline</t>
        </is>
      </c>
      <c r="D78" s="23" t="inlineStr">
        <is>
          <t>Rituximab</t>
        </is>
      </c>
      <c r="E78" s="22" t="n">
        <v>1000</v>
      </c>
      <c r="F78" s="23" t="inlineStr">
        <is>
          <t>mg</t>
        </is>
      </c>
      <c r="G78" s="23" t="n"/>
      <c r="H78" s="23" t="n"/>
      <c r="I78" s="23" t="inlineStr">
        <is>
          <t>Nein</t>
        </is>
      </c>
      <c r="J78" s="23" t="inlineStr">
        <is>
          <t>laufend</t>
        </is>
      </c>
      <c r="K78" s="23" t="inlineStr">
        <is>
          <t>nach 2 Gaben Rituximab 1000mg</t>
        </is>
      </c>
      <c r="L78" s="23" t="inlineStr">
        <is>
          <t>27_Baseline.docx</t>
        </is>
      </c>
      <c r="M78" s="23" t="inlineStr">
        <is>
          <t>nach 2 Gaben Rituximab 1000mg werden die Probanden 50/50 randomisiert und erhalten entweder Abatacept oder eine Beobachtung.
Die erste Gabe von Rtx erfolgte komplikationslos am 29.03.2021.</t>
        </is>
      </c>
      <c r="N78" s="23" t="inlineStr">
        <is>
          <t>Begonnener Behandlungszyklus mit zwei vorgesehenen Gaben; kein regelmäßiges Dauerintervall dokumentiert.</t>
        </is>
      </c>
    </row>
    <row r="79">
      <c r="A79" s="22" t="n">
        <v>27</v>
      </c>
      <c r="B79" s="23" t="inlineStr">
        <is>
          <t>RA</t>
        </is>
      </c>
      <c r="C79" s="23" t="inlineStr">
        <is>
          <t>Baseline</t>
        </is>
      </c>
      <c r="D79" s="23" t="inlineStr">
        <is>
          <t>Abatacept</t>
        </is>
      </c>
      <c r="E79" s="23" t="n"/>
      <c r="F79" s="23" t="n"/>
      <c r="G79" s="23" t="n"/>
      <c r="H79" s="23" t="n"/>
      <c r="I79" s="23" t="inlineStr">
        <is>
          <t>Unklar</t>
        </is>
      </c>
      <c r="J79" s="23" t="inlineStr">
        <is>
          <t>geplant</t>
        </is>
      </c>
      <c r="K79" s="23" t="n"/>
      <c r="L79" s="23" t="inlineStr">
        <is>
          <t>27_Baseline.docx</t>
        </is>
      </c>
      <c r="M79" s="23" t="inlineStr">
        <is>
          <t>nach 2 Gaben Rituximab 1000mg werden die Probanden 50/50 randomisiert und erhalten entweder Abatacept oder eine Beobachtung.</t>
        </is>
      </c>
      <c r="N79" s="23" t="inlineStr">
        <is>
          <t>Nur bedingt vorgesehen; tatsächliche Zuteilung und Gabe nicht belegt.</t>
        </is>
      </c>
    </row>
    <row r="80">
      <c r="A80" s="22" t="n">
        <v>27</v>
      </c>
      <c r="B80" s="23" t="inlineStr">
        <is>
          <t>RA</t>
        </is>
      </c>
      <c r="C80" s="23" t="inlineStr">
        <is>
          <t>Follow-up</t>
        </is>
      </c>
      <c r="D80" s="23" t="inlineStr">
        <is>
          <t>Rituximab</t>
        </is>
      </c>
      <c r="E80" s="23" t="n"/>
      <c r="F80" s="23" t="n"/>
      <c r="G80" s="23" t="n"/>
      <c r="H80" s="23" t="n"/>
      <c r="I80" s="23" t="inlineStr">
        <is>
          <t>Nein</t>
        </is>
      </c>
      <c r="J80" s="23" t="inlineStr">
        <is>
          <t>laufend</t>
        </is>
      </c>
      <c r="K80" s="23" t="inlineStr">
        <is>
          <t>zwei Gaben im April 2021 zum Beginn der Studie</t>
        </is>
      </c>
      <c r="L80" s="23" t="inlineStr">
        <is>
          <t>27_FollowUp.docx</t>
        </is>
      </c>
      <c r="M80" s="23" t="inlineStr">
        <is>
          <t>Aktuelle Therapie: Rituximab ; initial im Rahmen einer Studie
zwei Gaben im April 2021 zum Beginn der Studie, gut vertragen, wirksam.
Nach klinischem Infektausschluss konnte RTX komplikationslos appliziert werden.
Wir empfahlen die Fortführung der RTX Therapie, bei guter Wirksamkeit  und eine Wiedervorstellung in 3 Monaten.</t>
        </is>
      </c>
      <c r="N80" s="23" t="inlineStr">
        <is>
          <t>Laufende Behandlungsstrategie mit erneuter Gabe am Vorstellungstag; Dosis und Wiederholungsintervall nicht angegeben. Wiedervorstellung in drei Monaten ist kein dokumentiertes Dosierungsintervall.</t>
        </is>
      </c>
    </row>
    <row r="81">
      <c r="A81" s="22" t="n">
        <v>27</v>
      </c>
      <c r="B81" s="23" t="inlineStr">
        <is>
          <t>RA</t>
        </is>
      </c>
      <c r="C81" s="23" t="inlineStr">
        <is>
          <t>Follow-up</t>
        </is>
      </c>
      <c r="D81" s="23" t="inlineStr">
        <is>
          <t>Prednisolon</t>
        </is>
      </c>
      <c r="E81" s="22" t="n">
        <v>5</v>
      </c>
      <c r="F81" s="23" t="inlineStr">
        <is>
          <t>mg</t>
        </is>
      </c>
      <c r="G81" s="22" t="n">
        <v>1</v>
      </c>
      <c r="H81" s="23" t="inlineStr">
        <is>
          <t>Tage</t>
        </is>
      </c>
      <c r="I81" s="23" t="inlineStr">
        <is>
          <t>Nein</t>
        </is>
      </c>
      <c r="J81" s="23" t="inlineStr">
        <is>
          <t>laufend</t>
        </is>
      </c>
      <c r="K81" s="23" t="inlineStr">
        <is>
          <t>Predisolondosis stabil bei 5mg/d.</t>
        </is>
      </c>
      <c r="L81" s="23" t="inlineStr">
        <is>
          <t>27_FollowUp.docx</t>
        </is>
      </c>
      <c r="M81" s="23" t="inlineStr">
        <is>
          <t>Predisolondosis stabil bei 5mg/d.</t>
        </is>
      </c>
      <c r="N81" s="23" t="inlineStr">
        <is>
          <t>Originalschreibweise „Predisolon“ als Prednisolon eingeordnet.</t>
        </is>
      </c>
    </row>
    <row r="82">
      <c r="A82" s="22" t="n">
        <v>27</v>
      </c>
      <c r="B82" s="23" t="inlineStr">
        <is>
          <t>RA</t>
        </is>
      </c>
      <c r="C82" s="23" t="inlineStr">
        <is>
          <t>Follow-up</t>
        </is>
      </c>
      <c r="D82" s="23" t="inlineStr">
        <is>
          <t>Etoricoxib</t>
        </is>
      </c>
      <c r="E82" s="22" t="n">
        <v>60</v>
      </c>
      <c r="F82" s="23" t="inlineStr">
        <is>
          <t>mg</t>
        </is>
      </c>
      <c r="G82" s="23" t="n"/>
      <c r="H82" s="23" t="n"/>
      <c r="I82" s="23" t="inlineStr">
        <is>
          <t>Ja</t>
        </is>
      </c>
      <c r="J82" s="23" t="inlineStr">
        <is>
          <t>laufend</t>
        </is>
      </c>
      <c r="K82" s="23" t="inlineStr">
        <is>
          <t>Etoricoxib 60 mg bei Bedarf</t>
        </is>
      </c>
      <c r="L82" s="23" t="inlineStr">
        <is>
          <t>27_FollowUp.docx</t>
        </is>
      </c>
      <c r="M82" s="23" t="inlineStr">
        <is>
          <t>Etoricoxib 60 mg bei Bedarf</t>
        </is>
      </c>
      <c r="N82" s="23" t="n"/>
    </row>
    <row r="83">
      <c r="A83" s="22" t="n">
        <v>28</v>
      </c>
      <c r="B83" s="23" t="inlineStr">
        <is>
          <t>RA</t>
        </is>
      </c>
      <c r="C83" s="23" t="inlineStr">
        <is>
          <t>Baseline</t>
        </is>
      </c>
      <c r="D83" s="23" t="inlineStr">
        <is>
          <t>Methotrexat</t>
        </is>
      </c>
      <c r="E83" s="23" t="n"/>
      <c r="F83" s="23" t="n"/>
      <c r="G83" s="23" t="n"/>
      <c r="H83" s="23" t="n"/>
      <c r="I83" s="23" t="inlineStr">
        <is>
          <t>Nein</t>
        </is>
      </c>
      <c r="J83" s="23" t="inlineStr">
        <is>
          <t>laufend</t>
        </is>
      </c>
      <c r="K83" s="23" t="n"/>
      <c r="L83" s="23" t="inlineStr">
        <is>
          <t>28_Baseline.docx</t>
        </is>
      </c>
      <c r="M83" s="23" t="inlineStr">
        <is>
          <t>aktuelle Therapie: Methotrexat seit 1/2021
Dieses wurde regelmäßig eingenommen und gut vertragen.</t>
        </is>
      </c>
      <c r="N83" s="23" t="n"/>
    </row>
    <row r="84">
      <c r="A84" s="22" t="n">
        <v>28</v>
      </c>
      <c r="B84" s="23" t="inlineStr">
        <is>
          <t>RA</t>
        </is>
      </c>
      <c r="C84" s="23" t="inlineStr">
        <is>
          <t>Baseline</t>
        </is>
      </c>
      <c r="D84" s="23" t="inlineStr">
        <is>
          <t>Prednisolon</t>
        </is>
      </c>
      <c r="E84" s="23" t="n"/>
      <c r="F84" s="23" t="n"/>
      <c r="G84" s="23" t="n"/>
      <c r="H84" s="23" t="n"/>
      <c r="I84" s="23" t="inlineStr">
        <is>
          <t>Unklar</t>
        </is>
      </c>
      <c r="J84" s="23" t="inlineStr">
        <is>
          <t>laufend</t>
        </is>
      </c>
      <c r="K84" s="23" t="n"/>
      <c r="L84" s="23" t="inlineStr">
        <is>
          <t>28_Baseline.docx</t>
        </is>
      </c>
      <c r="M84" s="23" t="inlineStr">
        <is>
          <t>Prednisolon konnte reduziert werden.</t>
        </is>
      </c>
      <c r="N84" s="23" t="inlineStr">
        <is>
          <t>Reduzierung dokumentiert; aktuelle Dosis und Einnahmehäufigkeit fehlen.</t>
        </is>
      </c>
    </row>
    <row r="85">
      <c r="A85" s="22" t="n">
        <v>28</v>
      </c>
      <c r="B85" s="23" t="inlineStr">
        <is>
          <t>RA</t>
        </is>
      </c>
      <c r="C85" s="23" t="inlineStr">
        <is>
          <t>Baseline</t>
        </is>
      </c>
      <c r="D85" s="23" t="inlineStr">
        <is>
          <t>Schmerzmittel (nicht benannt)</t>
        </is>
      </c>
      <c r="E85" s="23" t="n"/>
      <c r="F85" s="23" t="n"/>
      <c r="G85" s="23" t="n"/>
      <c r="H85" s="23" t="n"/>
      <c r="I85" s="23" t="inlineStr">
        <is>
          <t>Unklar</t>
        </is>
      </c>
      <c r="J85" s="23" t="inlineStr">
        <is>
          <t>laufend</t>
        </is>
      </c>
      <c r="K85" s="23" t="inlineStr">
        <is>
          <t>Schmermittel werden intermittierend benötigt.</t>
        </is>
      </c>
      <c r="L85" s="23" t="inlineStr">
        <is>
          <t>28_Baseline.docx</t>
        </is>
      </c>
      <c r="M85" s="23" t="inlineStr">
        <is>
          <t>Schmermittel werden intermittierend benötigt.</t>
        </is>
      </c>
      <c r="N85" s="23" t="inlineStr">
        <is>
          <t>Wirkstoff unbekannt; intermittierende Anwendung ohne ausdrücklich dokumentierte Bedarfsverordnung.</t>
        </is>
      </c>
    </row>
    <row r="86">
      <c r="A86" s="22" t="n">
        <v>28</v>
      </c>
      <c r="B86" s="23" t="inlineStr">
        <is>
          <t>RA</t>
        </is>
      </c>
      <c r="C86" s="23" t="inlineStr">
        <is>
          <t>Follow-up</t>
        </is>
      </c>
      <c r="D86" s="23" t="inlineStr">
        <is>
          <t>Methotrexat</t>
        </is>
      </c>
      <c r="E86" s="22" t="n">
        <v>15</v>
      </c>
      <c r="F86" s="23" t="inlineStr">
        <is>
          <t>mg</t>
        </is>
      </c>
      <c r="G86" s="22" t="n">
        <v>1</v>
      </c>
      <c r="H86" s="23" t="inlineStr">
        <is>
          <t>Wochen</t>
        </is>
      </c>
      <c r="I86" s="23" t="inlineStr">
        <is>
          <t>Nein</t>
        </is>
      </c>
      <c r="J86" s="23" t="inlineStr">
        <is>
          <t>laufend</t>
        </is>
      </c>
      <c r="K86" s="23" t="inlineStr">
        <is>
          <t>Methotrexat mit 15mg/Woche rglm eingenommen und gut vertragen.</t>
        </is>
      </c>
      <c r="L86" s="23" t="inlineStr">
        <is>
          <t>28_FollowUp.docx</t>
        </is>
      </c>
      <c r="M86" s="23" t="inlineStr">
        <is>
          <t>Methotrexat mit 15mg/Woche rglm eingenommen und gut vertragen.
Das MTX auf 25mg/Woche steigern</t>
        </is>
      </c>
      <c r="N86" s="23" t="inlineStr">
        <is>
          <t>Zum Besuch Einnahme von 15 mg/Woche dokumentiert; Steigerung auf 25 mg/Woche empfohlen und in der anschließenden Medikationsliste aufgeführt.</t>
        </is>
      </c>
    </row>
    <row r="87">
      <c r="A87" s="22" t="n">
        <v>28</v>
      </c>
      <c r="B87" s="23" t="inlineStr">
        <is>
          <t>RA</t>
        </is>
      </c>
      <c r="C87" s="23" t="inlineStr">
        <is>
          <t>Follow-up</t>
        </is>
      </c>
      <c r="D87" s="23" t="inlineStr">
        <is>
          <t>Baricitinib</t>
        </is>
      </c>
      <c r="E87" s="22" t="n">
        <v>4</v>
      </c>
      <c r="F87" s="23" t="inlineStr">
        <is>
          <t>mg</t>
        </is>
      </c>
      <c r="G87" s="22" t="n">
        <v>1</v>
      </c>
      <c r="H87" s="23" t="inlineStr">
        <is>
          <t>Tage</t>
        </is>
      </c>
      <c r="I87" s="23" t="inlineStr">
        <is>
          <t>Nein</t>
        </is>
      </c>
      <c r="J87" s="23" t="inlineStr">
        <is>
          <t>geplant</t>
        </is>
      </c>
      <c r="K87" s="23" t="inlineStr">
        <is>
          <t>Beginn mit Baricitinib 4mg/Tag</t>
        </is>
      </c>
      <c r="L87" s="23" t="inlineStr">
        <is>
          <t>28_FollowUp.docx</t>
        </is>
      </c>
      <c r="M87" s="23" t="inlineStr">
        <is>
          <t>Beginn mit Baricitinib 4mg/Tag
Baricitinib 4mg ( seit 8/2021)</t>
        </is>
      </c>
      <c r="N87" s="23" t="inlineStr">
        <is>
          <t>Beim Referenzbesuch am 19.07.2021 als Beginn empfohlen; die Diagnosenliste nennt eine Therapie seit 8/2021. Spätere Einnahme ist damit innerhalb der Episode angegeben, der genaue Beginn bleibt offen.</t>
        </is>
      </c>
    </row>
    <row r="88">
      <c r="A88" s="22" t="n">
        <v>29</v>
      </c>
      <c r="B88" s="23" t="inlineStr">
        <is>
          <t>RA</t>
        </is>
      </c>
      <c r="C88" s="23" t="inlineStr">
        <is>
          <t>Baseline</t>
        </is>
      </c>
      <c r="D88" s="23" t="inlineStr">
        <is>
          <t>Methotrexat</t>
        </is>
      </c>
      <c r="E88" s="22" t="n">
        <v>20</v>
      </c>
      <c r="F88" s="23" t="inlineStr">
        <is>
          <t>mg</t>
        </is>
      </c>
      <c r="G88" s="22" t="n">
        <v>1</v>
      </c>
      <c r="H88" s="23" t="inlineStr">
        <is>
          <t>Wochen</t>
        </is>
      </c>
      <c r="I88" s="23" t="inlineStr">
        <is>
          <t>Nein</t>
        </is>
      </c>
      <c r="J88" s="23" t="inlineStr">
        <is>
          <t>laufend</t>
        </is>
      </c>
      <c r="K88" s="23" t="inlineStr">
        <is>
          <t>Methotrexat 20 mg einmal wöchentlich s. c.</t>
        </is>
      </c>
      <c r="L88" s="23" t="inlineStr">
        <is>
          <t>29_Baseline.docx</t>
        </is>
      </c>
      <c r="M88" s="23" t="inlineStr">
        <is>
          <t>Methotrexat 20 mg einmal wöchentlich s. c.</t>
        </is>
      </c>
      <c r="N88" s="23" t="n"/>
    </row>
    <row r="89">
      <c r="A89" s="22" t="n">
        <v>29</v>
      </c>
      <c r="B89" s="23" t="inlineStr">
        <is>
          <t>RA</t>
        </is>
      </c>
      <c r="C89" s="23" t="inlineStr">
        <is>
          <t>Baseline</t>
        </is>
      </c>
      <c r="D89" s="23" t="inlineStr">
        <is>
          <t>Sulfasalazin</t>
        </is>
      </c>
      <c r="E89" s="23" t="n"/>
      <c r="F89" s="23" t="n"/>
      <c r="G89" s="23" t="n"/>
      <c r="H89" s="23" t="n"/>
      <c r="I89" s="23" t="inlineStr">
        <is>
          <t>Unklar</t>
        </is>
      </c>
      <c r="J89" s="23" t="inlineStr">
        <is>
          <t>laufend</t>
        </is>
      </c>
      <c r="K89" s="23" t="n"/>
      <c r="L89" s="23" t="inlineStr">
        <is>
          <t>29_Baseline.docx</t>
        </is>
      </c>
      <c r="M89" s="23" t="inlineStr">
        <is>
          <t>Wiedervorstellung bei bek. rheumatoider Arthritis, DD Spondylarthropathie, aktuell unter MTX und Sulfasalazin.</t>
        </is>
      </c>
      <c r="N89" s="23" t="inlineStr">
        <is>
          <t>Nur anamnestisch als aktuell angegeben; in der Dauermedikation nicht aufgeführt.</t>
        </is>
      </c>
    </row>
    <row r="90">
      <c r="A90" s="22" t="n">
        <v>29</v>
      </c>
      <c r="B90" s="23" t="inlineStr">
        <is>
          <t>RA</t>
        </is>
      </c>
      <c r="C90" s="23" t="inlineStr">
        <is>
          <t>Baseline</t>
        </is>
      </c>
      <c r="D90" s="23" t="inlineStr">
        <is>
          <t>Adalimumab</t>
        </is>
      </c>
      <c r="E90" s="22" t="n">
        <v>40</v>
      </c>
      <c r="F90" s="23" t="inlineStr">
        <is>
          <t>mg</t>
        </is>
      </c>
      <c r="G90" s="22" t="n">
        <v>2</v>
      </c>
      <c r="H90" s="23" t="inlineStr">
        <is>
          <t>Wochen</t>
        </is>
      </c>
      <c r="I90" s="23" t="inlineStr">
        <is>
          <t>Nein</t>
        </is>
      </c>
      <c r="J90" s="23" t="inlineStr">
        <is>
          <t>geplant</t>
        </is>
      </c>
      <c r="K90" s="23" t="inlineStr">
        <is>
          <t>Adalimumab 40 mg alle 2 Wochen</t>
        </is>
      </c>
      <c r="L90" s="23" t="inlineStr">
        <is>
          <t>29_Baseline.docx</t>
        </is>
      </c>
      <c r="M90" s="23" t="inlineStr">
        <is>
          <t>Wir empfehlen eine Erweiterung der immunsuppressiven Therapie auf eine Biologika-Therapie mit Anti-TNF Adalimumab 40 mg alle 2 Wochen unter Kontrollen nach Maßgabe der DGRh.
aktuelle Therapie: MTX + Erweiterung mit Adalimumab 11/20</t>
        </is>
      </c>
      <c r="N90" s="23" t="inlineStr">
        <is>
          <t>Als Erweiterung empfohlen; die Diagnoseübersicht nennt 11/20. Beginn innerhalb der Baseline-Episode nicht eindeutig belegt.</t>
        </is>
      </c>
    </row>
    <row r="91">
      <c r="A91" s="22" t="n">
        <v>29</v>
      </c>
      <c r="B91" s="23" t="inlineStr">
        <is>
          <t>RA</t>
        </is>
      </c>
      <c r="C91" s="23" t="inlineStr">
        <is>
          <t>Baseline</t>
        </is>
      </c>
      <c r="D91" s="23" t="inlineStr">
        <is>
          <t>Diclofenac</t>
        </is>
      </c>
      <c r="E91" s="23" t="n"/>
      <c r="F91" s="23" t="n"/>
      <c r="G91" s="23" t="n"/>
      <c r="H91" s="23" t="n"/>
      <c r="I91" s="23" t="inlineStr">
        <is>
          <t>Ja</t>
        </is>
      </c>
      <c r="J91" s="23" t="inlineStr">
        <is>
          <t>laufend</t>
        </is>
      </c>
      <c r="K91" s="23" t="inlineStr">
        <is>
          <t>Diclofenac b.B.</t>
        </is>
      </c>
      <c r="L91" s="23" t="inlineStr">
        <is>
          <t>29_Baseline.docx</t>
        </is>
      </c>
      <c r="M91" s="23" t="inlineStr">
        <is>
          <t>Diclofenac b.B.</t>
        </is>
      </c>
      <c r="N91" s="23" t="n"/>
    </row>
    <row r="92">
      <c r="A92" s="22" t="n">
        <v>29</v>
      </c>
      <c r="B92" s="23" t="inlineStr">
        <is>
          <t>RA</t>
        </is>
      </c>
      <c r="C92" s="23" t="inlineStr">
        <is>
          <t>Follow-up</t>
        </is>
      </c>
      <c r="D92" s="23" t="inlineStr">
        <is>
          <t>Methotrexat</t>
        </is>
      </c>
      <c r="E92" s="22" t="n">
        <v>20</v>
      </c>
      <c r="F92" s="23" t="inlineStr">
        <is>
          <t>mg</t>
        </is>
      </c>
      <c r="G92" s="22" t="n">
        <v>1</v>
      </c>
      <c r="H92" s="23" t="inlineStr">
        <is>
          <t>Wochen</t>
        </is>
      </c>
      <c r="I92" s="23" t="inlineStr">
        <is>
          <t>Nein</t>
        </is>
      </c>
      <c r="J92" s="23" t="inlineStr">
        <is>
          <t>laufend</t>
        </is>
      </c>
      <c r="K92" s="23" t="inlineStr">
        <is>
          <t>Methotrexat 20 mg einmal wöchentlich s. c.</t>
        </is>
      </c>
      <c r="L92" s="23" t="inlineStr">
        <is>
          <t>29_FollowUp.docx</t>
        </is>
      </c>
      <c r="M92" s="23" t="inlineStr">
        <is>
          <t>Methotrexat 20 mg einmal wöchentlich s. c.</t>
        </is>
      </c>
      <c r="N92" s="23" t="n"/>
    </row>
    <row r="93">
      <c r="A93" s="22" t="n">
        <v>29</v>
      </c>
      <c r="B93" s="23" t="inlineStr">
        <is>
          <t>RA</t>
        </is>
      </c>
      <c r="C93" s="23" t="inlineStr">
        <is>
          <t>Follow-up</t>
        </is>
      </c>
      <c r="D93" s="23" t="inlineStr">
        <is>
          <t>Adalimumab</t>
        </is>
      </c>
      <c r="E93" s="22" t="n">
        <v>40</v>
      </c>
      <c r="F93" s="23" t="inlineStr">
        <is>
          <t>mg</t>
        </is>
      </c>
      <c r="G93" s="22" t="n">
        <v>14</v>
      </c>
      <c r="H93" s="23" t="inlineStr">
        <is>
          <t>Tage</t>
        </is>
      </c>
      <c r="I93" s="23" t="inlineStr">
        <is>
          <t>Nein</t>
        </is>
      </c>
      <c r="J93" s="23" t="inlineStr">
        <is>
          <t>laufend</t>
        </is>
      </c>
      <c r="K93" s="23" t="inlineStr">
        <is>
          <t>Adalimumab 40 mg 1x alle 14 Tage, unter hausärztlichen Kontrollen nach Maßgabe der DGRh</t>
        </is>
      </c>
      <c r="L93" s="23" t="inlineStr">
        <is>
          <t>29_FollowUp.docx</t>
        </is>
      </c>
      <c r="M93" s="23" t="inlineStr">
        <is>
          <t>Adalimumab seit 01/21
Adalimumab 40 mg 1x alle 14 Tage, unter hausärztlichen Kontrollen nach Maßgabe der DGRh</t>
        </is>
      </c>
      <c r="N93" s="23" t="n"/>
    </row>
    <row r="94">
      <c r="A94" s="22" t="n">
        <v>29</v>
      </c>
      <c r="B94" s="23" t="inlineStr">
        <is>
          <t>RA</t>
        </is>
      </c>
      <c r="C94" s="23" t="inlineStr">
        <is>
          <t>Follow-up</t>
        </is>
      </c>
      <c r="D94" s="23" t="inlineStr">
        <is>
          <t>Diclofenac</t>
        </is>
      </c>
      <c r="E94" s="23" t="n"/>
      <c r="F94" s="23" t="n"/>
      <c r="G94" s="23" t="n"/>
      <c r="H94" s="23" t="n"/>
      <c r="I94" s="23" t="inlineStr">
        <is>
          <t>Ja</t>
        </is>
      </c>
      <c r="J94" s="23" t="inlineStr">
        <is>
          <t>laufend</t>
        </is>
      </c>
      <c r="K94" s="23" t="inlineStr">
        <is>
          <t>Diclofenac b.B.</t>
        </is>
      </c>
      <c r="L94" s="23" t="inlineStr">
        <is>
          <t>29_FollowUp.docx</t>
        </is>
      </c>
      <c r="M94" s="23" t="inlineStr">
        <is>
          <t>Diclofenac b.B.</t>
        </is>
      </c>
      <c r="N94" s="23" t="n"/>
    </row>
    <row r="95">
      <c r="A95" s="22" t="n">
        <v>29</v>
      </c>
      <c r="B95" s="23" t="inlineStr">
        <is>
          <t>RA</t>
        </is>
      </c>
      <c r="C95" s="23" t="inlineStr">
        <is>
          <t>Follow-up</t>
        </is>
      </c>
      <c r="D95" s="23" t="inlineStr">
        <is>
          <t>Prednisolon</t>
        </is>
      </c>
      <c r="E95" s="22" t="n">
        <v>10</v>
      </c>
      <c r="F95" s="23" t="inlineStr">
        <is>
          <t>mg</t>
        </is>
      </c>
      <c r="G95" s="22" t="n">
        <v>1</v>
      </c>
      <c r="H95" s="23" t="inlineStr">
        <is>
          <t>Tage</t>
        </is>
      </c>
      <c r="I95" s="23" t="inlineStr">
        <is>
          <t>Nein</t>
        </is>
      </c>
      <c r="J95" s="23" t="inlineStr">
        <is>
          <t>geplant</t>
        </is>
      </c>
      <c r="K95" s="23" t="inlineStr">
        <is>
          <t>Prednisolon 10 mg 1x täglich für 10 Tage, danach Reduktion um 2,5 mg pro Woche bis zum Absetzen</t>
        </is>
      </c>
      <c r="L95" s="23" t="inlineStr">
        <is>
          <t>29_FollowUp.docx</t>
        </is>
      </c>
      <c r="M95" s="23" t="inlineStr">
        <is>
          <t>Prednisolon 10 mg 1x täglich für 10 Tage, danach Reduktion um 2,5 mg pro Woche bis zum Absetzen</t>
        </is>
      </c>
      <c r="N95" s="23" t="inlineStr">
        <is>
          <t>Dosis und Intervall beschreiben die Anfangsphase des empfohlenen Ausschleichschemas.</t>
        </is>
      </c>
    </row>
    <row r="96">
      <c r="A96" s="22" t="n">
        <v>30</v>
      </c>
      <c r="B96" s="23" t="inlineStr">
        <is>
          <t>RA</t>
        </is>
      </c>
      <c r="C96" s="23" t="inlineStr">
        <is>
          <t>Baseline</t>
        </is>
      </c>
      <c r="D96" s="23" t="inlineStr">
        <is>
          <t>Abatacept</t>
        </is>
      </c>
      <c r="E96" s="22" t="n">
        <v>125</v>
      </c>
      <c r="F96" s="23" t="inlineStr">
        <is>
          <t>mg</t>
        </is>
      </c>
      <c r="G96" s="22" t="n">
        <v>1</v>
      </c>
      <c r="H96" s="23" t="inlineStr">
        <is>
          <t>Wochen</t>
        </is>
      </c>
      <c r="I96" s="23" t="inlineStr">
        <is>
          <t>Nein</t>
        </is>
      </c>
      <c r="J96" s="23" t="inlineStr">
        <is>
          <t>pausiert</t>
        </is>
      </c>
      <c r="K96" s="23" t="inlineStr">
        <is>
          <t>Orencia 125mg 1x Wo (Pause seit 06/2020)</t>
        </is>
      </c>
      <c r="L96" s="23" t="inlineStr">
        <is>
          <t>30_Baseline.docx</t>
        </is>
      </c>
      <c r="M96" s="23" t="inlineStr">
        <is>
          <t>Orencia 125mg 1x Wo (Pause seit 06/2020)
Therapie: Abatacept s.c. + MTX  pausiert seit 06/2020 wegen Leberwerterhöhung</t>
        </is>
      </c>
      <c r="N96" s="23" t="inlineStr">
        <is>
          <t>Dosis und Intervall beschreiben das seit Juni 2020 pausierte Regime.</t>
        </is>
      </c>
    </row>
    <row r="97">
      <c r="A97" s="22" t="n">
        <v>30</v>
      </c>
      <c r="B97" s="23" t="inlineStr">
        <is>
          <t>RA</t>
        </is>
      </c>
      <c r="C97" s="23" t="inlineStr">
        <is>
          <t>Baseline</t>
        </is>
      </c>
      <c r="D97" s="23" t="inlineStr">
        <is>
          <t>Methotrexat</t>
        </is>
      </c>
      <c r="E97" s="22" t="n">
        <v>12.5</v>
      </c>
      <c r="F97" s="23" t="inlineStr">
        <is>
          <t>mg</t>
        </is>
      </c>
      <c r="G97" s="22" t="n">
        <v>1</v>
      </c>
      <c r="H97" s="23" t="inlineStr">
        <is>
          <t>Wochen</t>
        </is>
      </c>
      <c r="I97" s="23" t="inlineStr">
        <is>
          <t>Nein</t>
        </is>
      </c>
      <c r="J97" s="23" t="inlineStr">
        <is>
          <t>laufend</t>
        </is>
      </c>
      <c r="K97" s="23" t="inlineStr">
        <is>
          <t>MTX 12,5 mg 1x Wo (Pause seir 06/2020, Wiederbeginn 12.08.2020 bisher 2 Spritzen)</t>
        </is>
      </c>
      <c r="L97" s="23" t="inlineStr">
        <is>
          <t>30_Baseline.docx</t>
        </is>
      </c>
      <c r="M97" s="23" t="inlineStr">
        <is>
          <t>MTX 12,5 mg 1x Wo (Pause seir 06/2020, Wiederbeginn 12.08.2020 bisher 2 Spritzen)</t>
        </is>
      </c>
      <c r="N97" s="23" t="inlineStr">
        <is>
          <t>Nach Pause seit Juni 2020 Wiederbeginn am 12.08.2020; dieser Status ist dem späteren Episodenverlauf zuzuordnen.</t>
        </is>
      </c>
    </row>
    <row r="98">
      <c r="A98" s="22" t="n">
        <v>30</v>
      </c>
      <c r="B98" s="23" t="inlineStr">
        <is>
          <t>RA</t>
        </is>
      </c>
      <c r="C98" s="23" t="inlineStr">
        <is>
          <t>Baseline</t>
        </is>
      </c>
      <c r="D98" s="23" t="inlineStr">
        <is>
          <t>Etoricoxib</t>
        </is>
      </c>
      <c r="E98" s="22" t="n">
        <v>60</v>
      </c>
      <c r="F98" s="23" t="inlineStr">
        <is>
          <t>mg</t>
        </is>
      </c>
      <c r="G98" s="23" t="n"/>
      <c r="H98" s="23" t="n"/>
      <c r="I98" s="23" t="inlineStr">
        <is>
          <t>Ja</t>
        </is>
      </c>
      <c r="J98" s="23" t="inlineStr">
        <is>
          <t>laufend</t>
        </is>
      </c>
      <c r="K98" s="23" t="inlineStr">
        <is>
          <t>Arcoxia 60mg b.B</t>
        </is>
      </c>
      <c r="L98" s="23" t="inlineStr">
        <is>
          <t>30_Baseline.docx</t>
        </is>
      </c>
      <c r="M98" s="23" t="inlineStr">
        <is>
          <t>Arcoxia 60mg b.B</t>
        </is>
      </c>
      <c r="N98" s="23" t="n"/>
    </row>
    <row r="99">
      <c r="A99" s="22" t="n">
        <v>30</v>
      </c>
      <c r="B99" s="23" t="inlineStr">
        <is>
          <t>RA</t>
        </is>
      </c>
      <c r="C99" s="23" t="inlineStr">
        <is>
          <t>Baseline</t>
        </is>
      </c>
      <c r="D99" s="23" t="inlineStr">
        <is>
          <t>JAK-Inhibitor, Wirkstoff nicht genannt</t>
        </is>
      </c>
      <c r="E99" s="23" t="n"/>
      <c r="F99" s="23" t="n"/>
      <c r="G99" s="23" t="n"/>
      <c r="H99" s="23" t="n"/>
      <c r="I99" s="23" t="inlineStr">
        <is>
          <t>Unklar</t>
        </is>
      </c>
      <c r="J99" s="23" t="inlineStr">
        <is>
          <t>geplant</t>
        </is>
      </c>
      <c r="K99" s="23" t="n"/>
      <c r="L99" s="23" t="inlineStr">
        <is>
          <t>30_Baseline.docx</t>
        </is>
      </c>
      <c r="M99" s="23" t="inlineStr">
        <is>
          <t>08/2020: Schubsymptomatik mit Arthritis Knie rechts, Handg. bds., MCP 3&amp;4 -&gt; Therapieumstellung auf JAK-Inhibitor und Einschluss in Bare-Bone
Wir besprachen mit Ihr die Notwendigkeit einer Therapieumstellung und empfahlen Ihr die Teilnahme an einer Studie.</t>
        </is>
      </c>
      <c r="N99" s="23" t="inlineStr">
        <is>
          <t>Konkreter Wirkstoff und tatsächlicher Therapiebeginn sind in der Baseline-Gruppe nicht belegt.</t>
        </is>
      </c>
    </row>
    <row r="100">
      <c r="A100" s="22" t="n">
        <v>30</v>
      </c>
      <c r="B100" s="23" t="inlineStr">
        <is>
          <t>RA</t>
        </is>
      </c>
      <c r="C100" s="23" t="inlineStr">
        <is>
          <t>Follow-up</t>
        </is>
      </c>
      <c r="D100" s="23" t="inlineStr">
        <is>
          <t>Baricitinib</t>
        </is>
      </c>
      <c r="E100" s="22" t="n">
        <v>4</v>
      </c>
      <c r="F100" s="23" t="inlineStr">
        <is>
          <t>mg</t>
        </is>
      </c>
      <c r="G100" s="22" t="n">
        <v>1</v>
      </c>
      <c r="H100" s="23" t="inlineStr">
        <is>
          <t>Tage</t>
        </is>
      </c>
      <c r="I100" s="23" t="inlineStr">
        <is>
          <t>Nein</t>
        </is>
      </c>
      <c r="J100" s="23" t="inlineStr">
        <is>
          <t>laufend</t>
        </is>
      </c>
      <c r="K100" s="23" t="inlineStr">
        <is>
          <t>Baricitinib 4mg 1-0-0</t>
        </is>
      </c>
      <c r="L100" s="23" t="inlineStr">
        <is>
          <t>30_FollowUp.docx</t>
        </is>
      </c>
      <c r="M100" s="23" t="inlineStr">
        <is>
          <t>Aktuelle Therapie: Baricitinib 4mg 1-0-0
Es erfolgte eine ambulante WV bei RA unter Baricitinib und MTX Therapie seit August 2020.</t>
        </is>
      </c>
      <c r="N100" s="23" t="n"/>
    </row>
    <row r="101">
      <c r="A101" s="22" t="n">
        <v>30</v>
      </c>
      <c r="B101" s="23" t="inlineStr">
        <is>
          <t>RA</t>
        </is>
      </c>
      <c r="C101" s="23" t="inlineStr">
        <is>
          <t>Follow-up</t>
        </is>
      </c>
      <c r="D101" s="23" t="inlineStr">
        <is>
          <t>Methotrexat</t>
        </is>
      </c>
      <c r="E101" s="22" t="n">
        <v>12.5</v>
      </c>
      <c r="F101" s="23" t="inlineStr">
        <is>
          <t>mg</t>
        </is>
      </c>
      <c r="G101" s="22" t="n">
        <v>1</v>
      </c>
      <c r="H101" s="23" t="inlineStr">
        <is>
          <t>Wochen</t>
        </is>
      </c>
      <c r="I101" s="23" t="inlineStr">
        <is>
          <t>Nein</t>
        </is>
      </c>
      <c r="J101" s="23" t="inlineStr">
        <is>
          <t>laufend</t>
        </is>
      </c>
      <c r="K101" s="23" t="inlineStr">
        <is>
          <t>MTX 12,5 mg/ Woche</t>
        </is>
      </c>
      <c r="L101" s="23" t="inlineStr">
        <is>
          <t>30_FollowUp.docx</t>
        </is>
      </c>
      <c r="M101" s="23" t="inlineStr">
        <is>
          <t>MTX 12,5 mg/ Woche
Es erfolgte eine ambulante WV bei RA unter Baricitinib und MTX Therapie seit August 2020.</t>
        </is>
      </c>
      <c r="N101" s="23" t="n"/>
    </row>
    <row r="102">
      <c r="A102" s="22" t="n">
        <v>31</v>
      </c>
      <c r="B102" s="23" t="inlineStr">
        <is>
          <t>RA</t>
        </is>
      </c>
      <c r="C102" s="23" t="inlineStr">
        <is>
          <t>Baseline</t>
        </is>
      </c>
      <c r="D102" s="23" t="inlineStr">
        <is>
          <t>Methotrexat</t>
        </is>
      </c>
      <c r="E102" s="22" t="n">
        <v>15</v>
      </c>
      <c r="F102" s="23" t="inlineStr">
        <is>
          <t>mg</t>
        </is>
      </c>
      <c r="G102" s="22" t="n">
        <v>1</v>
      </c>
      <c r="H102" s="23" t="inlineStr">
        <is>
          <t>Wochen</t>
        </is>
      </c>
      <c r="I102" s="23" t="inlineStr">
        <is>
          <t>Nein</t>
        </is>
      </c>
      <c r="J102" s="23" t="inlineStr">
        <is>
          <t>geplant</t>
        </is>
      </c>
      <c r="K102" s="23" t="inlineStr">
        <is>
          <t>Methotrexat 15 mg p.o. /Woche</t>
        </is>
      </c>
      <c r="L102" s="23" t="inlineStr">
        <is>
          <t>31_Baseline.docx</t>
        </is>
      </c>
      <c r="M102" s="23" t="inlineStr">
        <is>
          <t>Wir besprachen mit Herrn Pfister und seiner Frau zunächst den Beginn einer Therapie mit Methotrexat 15 mg p.o. /Woche sowie 5mg Folsäure am Folgetag (Einnahme 24h später nach Methotrexat).</t>
        </is>
      </c>
      <c r="N102" s="23" t="inlineStr">
        <is>
          <t>Beginn im Oktober 2018 angegeben; tatsächlicher erster Einnahmetag nicht belegt.</t>
        </is>
      </c>
    </row>
    <row r="103">
      <c r="A103" s="22" t="n">
        <v>31</v>
      </c>
      <c r="B103" s="23" t="inlineStr">
        <is>
          <t>RA</t>
        </is>
      </c>
      <c r="C103" s="23" t="inlineStr">
        <is>
          <t>Baseline</t>
        </is>
      </c>
      <c r="D103" s="23" t="inlineStr">
        <is>
          <t>Folsäure</t>
        </is>
      </c>
      <c r="E103" s="22" t="n">
        <v>5</v>
      </c>
      <c r="F103" s="23" t="inlineStr">
        <is>
          <t>mg</t>
        </is>
      </c>
      <c r="G103" s="22" t="n">
        <v>1</v>
      </c>
      <c r="H103" s="23" t="inlineStr">
        <is>
          <t>Wochen</t>
        </is>
      </c>
      <c r="I103" s="23" t="inlineStr">
        <is>
          <t>Nein</t>
        </is>
      </c>
      <c r="J103" s="23" t="inlineStr">
        <is>
          <t>geplant</t>
        </is>
      </c>
      <c r="K103" s="23" t="inlineStr">
        <is>
          <t>5mg Folsäure am Folgetag (Einnahme 24h später nach Methotrexat).</t>
        </is>
      </c>
      <c r="L103" s="23" t="inlineStr">
        <is>
          <t>31_Baseline.docx</t>
        </is>
      </c>
      <c r="M103" s="23" t="inlineStr">
        <is>
          <t>Wir besprachen mit Herrn Pfister und seiner Frau zunächst den Beginn einer Therapie mit Methotrexat 15 mg p.o. /Woche sowie 5mg Folsäure am Folgetag (Einnahme 24h später nach Methotrexat).</t>
        </is>
      </c>
      <c r="N103" s="23" t="inlineStr">
        <is>
          <t>Wöchentliches Intervall durch Einnahme am Folgetag der wöchentlichen Methotrexatgabe.</t>
        </is>
      </c>
    </row>
    <row r="104">
      <c r="A104" s="22" t="n">
        <v>31</v>
      </c>
      <c r="B104" s="23" t="inlineStr">
        <is>
          <t>RA</t>
        </is>
      </c>
      <c r="C104" s="23" t="inlineStr">
        <is>
          <t>Baseline</t>
        </is>
      </c>
      <c r="D104" s="23" t="inlineStr">
        <is>
          <t>Systemisches Glukokortikoid, nicht näher bezeichnet</t>
        </is>
      </c>
      <c r="E104" s="22" t="n">
        <v>20</v>
      </c>
      <c r="F104" s="23" t="inlineStr">
        <is>
          <t>mg</t>
        </is>
      </c>
      <c r="G104" s="22" t="n">
        <v>1</v>
      </c>
      <c r="H104" s="23" t="inlineStr">
        <is>
          <t>Tage</t>
        </is>
      </c>
      <c r="I104" s="23" t="inlineStr">
        <is>
          <t>Nein</t>
        </is>
      </c>
      <c r="J104" s="23" t="inlineStr">
        <is>
          <t>laufend</t>
        </is>
      </c>
      <c r="K104" s="23" t="inlineStr">
        <is>
          <t>Die am WE erneut begonnene Steroidtherapie mit 20mg /d für 1 Woche fortsetzen. Im weiteren Verlauf ist dann eine Dosisreduktion um 5 mg/d in Woche 2 auf 15 g/d, sowie in Woche 3 mit 10mg/d, Woche 4 7,5 mg/d, Woche 5 5 mg/d, Woche 6 2,5mg/d</t>
        </is>
      </c>
      <c r="L104" s="23" t="inlineStr">
        <is>
          <t>31_Baseline.docx</t>
        </is>
      </c>
      <c r="M104" s="23" t="inlineStr">
        <is>
          <t>Z.n. rez. höher dosierter Steroidtherapie, aktuell erneuter selbständiger Beginn mit 20mg Steroide am 7.10.2018
Die am WE erneut begonnene Steroidtherapie mit 20mg /d für 1 Woche fortsetzen.
Im weiteren Verlauf ist dann eine Dosisreduktion um 5 mg/d in Woche 2 auf 15 g/d, sowie in Woche 3 mit 10mg/d, Woche 4 7,5 mg/d, Woche 5 5 mg/d, Woche 6 2,5mg/d
Im weiteren verlauf ist dann eine Dosisreduktion um 5 mg/d in Woche 2 auf 15 g/d, sowie in Woche 3 mit 10mg/d, Woche 4 7,5 mg/d, Woche 5 5 mg/d, Woche 6 2,5mg/d und anschließenden absetzen vorgesehen.</t>
        </is>
      </c>
      <c r="N104" s="23" t="inlineStr">
        <is>
          <t>Wirkstoff nicht genannt. Beginn am 07.10.2018, nach dem klinischen Referenztermin.
Dosis bezeichnet die dokumentierte Anfangsdosis; anschließend Ausschleichschema mit geplantem Absetzen.
Originalangabe „15 g/d“ in Woche 2 unverändert erhalten; vermutlich Schreibfehler, nicht korrigiert.</t>
        </is>
      </c>
    </row>
    <row r="105">
      <c r="A105" s="22" t="n">
        <v>31</v>
      </c>
      <c r="B105" s="23" t="inlineStr">
        <is>
          <t>RA</t>
        </is>
      </c>
      <c r="C105" s="23" t="inlineStr">
        <is>
          <t>Follow-up</t>
        </is>
      </c>
      <c r="D105" s="23" t="inlineStr">
        <is>
          <t>Methotrexat</t>
        </is>
      </c>
      <c r="E105" s="22" t="n">
        <v>10</v>
      </c>
      <c r="F105" s="23" t="inlineStr">
        <is>
          <t>mg</t>
        </is>
      </c>
      <c r="G105" s="22" t="n">
        <v>1</v>
      </c>
      <c r="H105" s="23" t="inlineStr">
        <is>
          <t>Wochen</t>
        </is>
      </c>
      <c r="I105" s="23" t="inlineStr">
        <is>
          <t>Nein</t>
        </is>
      </c>
      <c r="J105" s="23" t="inlineStr">
        <is>
          <t>laufend</t>
        </is>
      </c>
      <c r="K105" s="23" t="inlineStr">
        <is>
          <t>MTX 10mg p.o/ Woche</t>
        </is>
      </c>
      <c r="L105" s="23" t="inlineStr">
        <is>
          <t>31_FollowUp.docx</t>
        </is>
      </c>
      <c r="M105" s="23" t="inlineStr">
        <is>
          <t>MTX 10mg p.o/ Woche
Wir empfehlen die unveränderte Fortführung der MTX-Therapie bei 10mg/ Woche bis zur Wiedervorstellung in 3 Monaten.</t>
        </is>
      </c>
      <c r="N105" s="23" t="n"/>
    </row>
    <row r="106">
      <c r="A106" s="22" t="n">
        <v>31</v>
      </c>
      <c r="B106" s="23" t="inlineStr">
        <is>
          <t>RA</t>
        </is>
      </c>
      <c r="C106" s="23" t="inlineStr">
        <is>
          <t>Follow-up</t>
        </is>
      </c>
      <c r="D106" s="23" t="inlineStr">
        <is>
          <t>Folsäure</t>
        </is>
      </c>
      <c r="E106" s="22" t="n">
        <v>5</v>
      </c>
      <c r="F106" s="23" t="inlineStr">
        <is>
          <t>mg</t>
        </is>
      </c>
      <c r="G106" s="22" t="n">
        <v>1</v>
      </c>
      <c r="H106" s="23" t="inlineStr">
        <is>
          <t>Wochen</t>
        </is>
      </c>
      <c r="I106" s="23" t="inlineStr">
        <is>
          <t>Nein</t>
        </is>
      </c>
      <c r="J106" s="23" t="inlineStr">
        <is>
          <t>laufend</t>
        </is>
      </c>
      <c r="K106" s="23" t="inlineStr">
        <is>
          <t>Folsäure 5mg am Folgetag</t>
        </is>
      </c>
      <c r="L106" s="23" t="inlineStr">
        <is>
          <t>31_FollowUp.docx</t>
        </is>
      </c>
      <c r="M106" s="23" t="inlineStr">
        <is>
          <t>Dauermedikation:
MTX 10mg p.o/ Woche
Folsäure 5mg am Folgetag</t>
        </is>
      </c>
      <c r="N106" s="23" t="inlineStr">
        <is>
          <t>Wöchentliches Intervall durch Einnahme am Folgetag der wöchentlichen Methotrexatgabe.</t>
        </is>
      </c>
    </row>
  </sheetData>
  <autoFilter ref="A1:N10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2026-10-20T17:47:41Z</dcterms:created>
  <dcterms:modified xmlns:dcterms="http://purl.org/dc/terms/" xmlns:xsi="http://www.w3.org/2001/XMLSchema-instance" xsi:type="dcterms:W3CDTF">2026-10-20T17:47:41Z</dcterms:modified>
</cp:coreProperties>
</file>