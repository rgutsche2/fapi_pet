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robin/PycharmProjects/fapi_pet/output/RA/"/>
    </mc:Choice>
  </mc:AlternateContent>
  <xr:revisionPtr revIDLastSave="0" documentId="13_ncr:1_{74B0AED6-8EC6-6349-ACDF-642EF2597EF7}" xr6:coauthVersionLast="47" xr6:coauthVersionMax="47" xr10:uidLastSave="{00000000-0000-0000-0000-000000000000}"/>
  <bookViews>
    <workbookView xWindow="0" yWindow="600" windowWidth="28800" windowHeight="16180" xr2:uid="{00000000-000D-0000-FFFF-FFFF00000000}"/>
  </bookViews>
  <sheets>
    <sheet name="RA" sheetId="1" r:id="rId1"/>
  </sheets>
  <definedNames>
    <definedName name="_xlnm._FilterDatabase" localSheetId="0" hidden="1">RA!$A$2:$X$32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2" i="1" l="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alcChain>
</file>

<file path=xl/sharedStrings.xml><?xml version="1.0" encoding="utf-8"?>
<sst xmlns="http://schemas.openxmlformats.org/spreadsheetml/2006/main" count="335" uniqueCount="200">
  <si>
    <t>Identifikation</t>
  </si>
  <si>
    <t>Scores</t>
  </si>
  <si>
    <t>Labor</t>
  </si>
  <si>
    <t>Therapie</t>
  </si>
  <si>
    <t>Klinische Befunde</t>
  </si>
  <si>
    <t>Patient</t>
  </si>
  <si>
    <t>Erkrankung</t>
  </si>
  <si>
    <t>Zeitpunkt</t>
  </si>
  <si>
    <t>Scan-Datum</t>
  </si>
  <si>
    <t>Klinisches Datum</t>
  </si>
  <si>
    <t>Abstand zum Scan (Tage)</t>
  </si>
  <si>
    <t>DAS28</t>
  </si>
  <si>
    <t>DAS28-Variante</t>
  </si>
  <si>
    <t>TJC</t>
  </si>
  <si>
    <t>SJC</t>
  </si>
  <si>
    <t>SDAI</t>
  </si>
  <si>
    <t>CDAI</t>
  </si>
  <si>
    <t>HAQ</t>
  </si>
  <si>
    <t>CRP-Wert</t>
  </si>
  <si>
    <t>CRP-Vergleichszeichen</t>
  </si>
  <si>
    <t>CRP-Einheit</t>
  </si>
  <si>
    <t>BSG (mm nach 1 h)</t>
  </si>
  <si>
    <t>Aktuelle Therapie</t>
  </si>
  <si>
    <t>Klinische Hauptmanifestation</t>
  </si>
  <si>
    <t>Gelenkbefund</t>
  </si>
  <si>
    <t>Weitere Gelenke</t>
  </si>
  <si>
    <t>Verlauf</t>
  </si>
  <si>
    <t>Ansprechen (Ja/Nein)</t>
  </si>
  <si>
    <t>Hinweise</t>
  </si>
  <si>
    <t>RA</t>
  </si>
  <si>
    <t>Baseline</t>
  </si>
  <si>
    <t>=</t>
  </si>
  <si>
    <t>mg/l</t>
  </si>
  <si>
    <t>Methotrexat 22,5 mg; Einnahmeintervall nicht angegeben.</t>
  </si>
  <si>
    <t>Schmerzen der rechten Schulter und des linken Hüftgelenks. Morgensteifigkeit etwa 4 Minuten.</t>
  </si>
  <si>
    <t>PIP II rechts leicht druckschmerzhaft und geschwollen; ansonsten keine weiteren druckschmerzhaften oder geschwollenen Gelenke oder Enthesen. Im weiteren Episodenverlauf multiple druckdolente Gelenke.</t>
  </si>
  <si>
    <t>Früher ausgeprägte Schmerzen und Schwellungen beider Hände im Juni und Juli.</t>
  </si>
  <si>
    <t>Frühere Schmerz- und Schwellungsschübe durch selbstständig eingenommenes Prednisolon deutlich gelindert. Im weiteren Verlauf erneuter Schub mit multiplen druckdolenten Gelenken und unzureichender Krankheitskontrolle unter Methotrexat; Einleitung von Adalimumab 40 mg s.c. alle 14 Tage empfohlen.</t>
  </si>
  <si>
    <t>CRP vom 10.09.2025; abweichend vom klinischen Referenztermin 11.11.2025.
Anamnese, Gelenkbefund und TJ/SJ sind innerhalb des zusammenfassenden Briefes keinem einzelnen Besuch eindeutig zugeordnet. Der spätere Schub ist ebenfalls nicht einzeln datiert.
Zählbereich von TJ/SJ nicht angegeben.
Adalimumab ist in der Baseline-Gruppe nur als Therapieempfehlung dokumentiert; Prednisolon wurde bei früheren Schüben eingenommen.</t>
  </si>
  <si>
    <t>Follow-up</t>
  </si>
  <si>
    <t>CRP</t>
  </si>
  <si>
    <t>Adalimumab 40 mg s.c. alle 14 Tage und Methotrexat; aktuelle Methotrexat-Dosis nicht eindeutig angegeben.</t>
  </si>
  <si>
    <t>Gute Kontrolle der Beschwerden an Händen und Zehen; Gelenkschwellungen und Morgensteifigkeit werden verneint. Seit dem Vortag Fersenschmerzen sowie ausgeprägte Müdigkeit und Erschöpfung.</t>
  </si>
  <si>
    <t>TJ 0 und SJ 0; Druckdolenz der rechten Ferse.</t>
  </si>
  <si>
    <t>Gute klinische Kontrolle der Grunderkrankung unter Adalimumab und Methotrexat. Neu aufgetretene Fersenschmerzen bei bekannten rezidivierenden Fersenspornbeschwerden sowie Müdigkeit und Erschöpfung bestehen daneben; Fortführung der Therapie empfohlen, bei Beschwerdefreiheit versuchsweise Methotrexat-Reduktion.</t>
  </si>
  <si>
    <t>Ja</t>
  </si>
  <si>
    <t>Labordatum nicht angegeben.
Zählbereich von TJ/SJ nicht angegeben.
Methotrexat 22,5 mg wird unter bisheriger Therapie geführt; die aktuelle Anamnese bestätigt die laufende Einnahme ohne eindeutige Dosis. Die Reduktion auf 20 mg s.c. einmal wöchentlich ist nur bei Beschwerdefreiheit empfohlen.
Die Ursache der aktuellen Fersenschmerzen ist nicht abschließend geklärt; rezidivierende Fersenspornbeschwerden sind anamnestisch bekannt.</t>
  </si>
  <si>
    <t>nicht angegeben</t>
  </si>
  <si>
    <t>Bei Aufnahme keine rheumatologische Therapie seit 10/2023.</t>
  </si>
  <si>
    <t>Zunehmende Arthralgien und Schwellungen mit ausgeprägter Morgensteifigkeit; klinische Gelenkregionen nicht näher angegeben.</t>
  </si>
  <si>
    <t>Multiple druckschmerzhafte und geschwollene Gelenke; TJC 6, SJC 4.</t>
  </si>
  <si>
    <t>Nach vorübergehender Beschwerdebesserung unter Doxycyclin erneute Zunahme der Arthralgien und Schwellungen. Bei unkontrollierter Erkrankung stationär individueller Heilversuch mit Blinatumomab; bei Entlassung gebesserte Beschwerden.</t>
  </si>
  <si>
    <t>DAS28 nur näherungsweise angegeben; das mit „heute“ bezeichnete Erhebungsdatum ist nicht eindeutig. Variante nicht angegeben.
TJC und SJC im Untersuchungsbefund vom 30.01.2024; Zählbereich nicht angegeben.
CRP zeitlich nicht eindeutig zuordenbar: erster Wert 13,0 mg/l, letzter Wert 6,1 mg/l während des Aufenthalts 30.01.–05.02.2024; keine einzelnen Messdaten oder eindeutige Zuordnung zum Referenztermin. Originalbeleg aus 18_Baseline.docx: „C-Reaktives Protein 13,0 mg/l;  6,1 mg/l (&lt;5 mg/l) [Min: 6,1 mg/l; Max: 13,0 mg/l]“.
Blinatumomab wurde erst im stationären Verlauf verabreicht; der genaue Therapiebeginn ist nicht angegeben. Die Entlassungsbesserung vom 05.02.2024 ist kein Befund des Referenztermins.</t>
  </si>
  <si>
    <t>&lt;</t>
  </si>
  <si>
    <t>Gebesserte Schmerzen, noch leichte Schmerzen am linken Knie (3 auf einer Schmerzskala). Morgensteifigkeit unter 30 Minuten; im Intervall keine Schwellungen.</t>
  </si>
  <si>
    <t>Keine druckschmerzhaften oder geschwollenen Gelenke im dokumentierten Gelenkstatus; TJC 0, SJC 0.</t>
  </si>
  <si>
    <t>Einmalige Schmerzen am Sakrum seit der Infusion mit Einnahme von Ibuprofen.</t>
  </si>
  <si>
    <t>Nach Blinatumomab gebesserte Schmerzen und keine Schwellungen im Intervall; klinisch als Remission beurteilt. Verbleibende linke Knieschmerzen und Morgensteifigkeit unter 30 Minuten; nach der Infusion Müdigkeit.</t>
  </si>
  <si>
    <t>Labordatum nicht angegeben.
Zählbereich von TJC und SJC nicht angegeben.
Blinatumomab wurde als abgeschlossene Behandlung beurteilt, nicht als laufende Medikation am 04.04.2024. Originalbeleg aus 18_FollowUp.docx: „02/2024: Blinatumomab, 2/2 Zyklen erfolgt“.
Ursache der verbliebenen Knie- und Sakrumschmerzen nicht näher eingeordnet.</t>
  </si>
  <si>
    <t>Baricitinib, bei Vorstellung Reduktion auf 2 mg täglich; Rituximab 1000 mg i.v., laut Diagnoseliste letzte Gabe Mai 2023, vorerst keine weiteren Gaben. Ibuprofen 600 mg und Novaminsulfon bei Bedarf.</t>
  </si>
  <si>
    <t>Schmerzen im Nacken, an den Sternoklavikulargelenken und PIP-Gelenken. Morgensteifigkeit etwa 30–60 Minuten.</t>
  </si>
  <si>
    <t>8 druckschmerzhafte und 1 geschwollenes Gelenk; ausgeprägte postarthritische Gelenkdestruktion.</t>
  </si>
  <si>
    <t>Weitestgehend akzeptable Krankheitskontrolle unter Baricitinib und Rituximab bei fortbestehenden Gelenkschmerzen. Wegen Gewichtszunahme und ausgeprägter Abgeschlagenheit Reduktion von Baricitinib; Rituximab laut Patientin ohne Wirksamkeit, lediglich dreitägige Verbesserung nach Infusion, von ihr der Steroidgabe zugeschrieben. Vorerst keine weiteren Rituximabgaben bei rezidivierenden Infekten und zunehmendem IgG-Mangel.</t>
  </si>
  <si>
    <t>Labordatum nicht angegeben; auch DAS28, BSG und Gelenkzählung ohne gesondertes Erhebungsdatum.
Zählbereich von TJC und SJC nicht angegeben; DAS28-Variante nicht angegeben.
Baricitinib in der Dauermedikation mit 4 mg täglich aufgeführt; bei Vorstellung ausdrücklich Reduktion auf 2 mg täglich beschlossen.
Letzte Rituximabgabe widersprüchlich: Diagnoseliste nennt Mai 2023, Anamnese November 2022.</t>
  </si>
  <si>
    <t>Baricitinib 2 mg täglich, wegen Atemwegsinfekt kurzfristig pausiert; Fortsetzung besprochen. Ibuprofen 600 mg und Novaminsulfon 40 Tropfen bei Bedarf.</t>
  </si>
  <si>
    <t>Zunehmende Polyarthralgien vor allem der MCP- und PIP-Gelenke beidseits während kurzfristiger Baricitinibpause bei Atemwegsinfekt. Morgensteifigkeit etwa 20 Minuten.</t>
  </si>
  <si>
    <t>Schwellungen MCP II beidseits und MCP IV–V rechts; Druckschmerz MCP II–V und PIP II–V beidseits sowie rechter Ellenbogen.</t>
  </si>
  <si>
    <t>Rechter Ellenbogen druckschmerzhaft.</t>
  </si>
  <si>
    <t>Zunehmende Polyarthralgien bei kurzfristiger Baricitinibpause wegen Atemwegsinfekt; aktuell residuelle Arthritis. Fortsetzung von Baricitinib besprochen. Ein klinischer Nutzen der laufenden Therapie wird nicht eindeutig beurteilt.</t>
  </si>
  <si>
    <t>Labordatum nicht angegeben.
Keine ausdrücklichen numerischen TJC- oder SJC-Gesamtwerte; keine Zählung aus den genannten Gelenken vorgenommen.
Ansprechen nicht beurteilbar: Beschwerden nehmen während einer Therapiepause zu; eine ausdrückliche klinische Nutzenbewertung unter laufender Therapie fehlt.</t>
  </si>
  <si>
    <t>Lodotra 2 mg täglich und Ibuprofen 600 mg zweimal täglich bei Aufnahme.</t>
  </si>
  <si>
    <t>Belastungsabhängige Schmerzen an Schultern, Handgelenken, Knien, Sprunggelenken und kleinen Zehen beidseits sowie am rechten Daumen; aktuell mild bis moderat. Morgensteifigkeit 1–2 Stunden, gelegentlich länger anhaltende Knie- und Sprunggelenkschwellungen.</t>
  </si>
  <si>
    <t>Druckschmerz an Schultern und Handgelenken beidseits, rechtem Daumengrund- und Daumensattelgelenk sowie kleinen Zehen beidseits; zwei geschwollene Gelenke an den kleinen Zehen, links stärker als rechts.</t>
  </si>
  <si>
    <t>Zusätzlich Knie und Sprunggelenke beidseits mit Schmerzen und gelegentlichen Schwellungen.</t>
  </si>
  <si>
    <t>Bei Aufnahme mildere Schmerzen als in den letzten Wochen; Ibuprofen hilft geringfügig, Cortison sehr gut. Bei therapierefraktärer RA während des Aufenthalts Blinatumomab über 96 Stunden eingeleitet.</t>
  </si>
  <si>
    <t>SJC: ausdrücklich zwei geschwollene Gelenke dokumentiert; Zählbereich nicht angegeben, kein ausgewiesener SJC28. Die zusammenfassende Beurteilung nennt zusätzlich multiple geschwollene und druckdolente Gelenke, vor allem an den Händen.
CRP-Wert zeitlich nicht eindeutig auswählbar: Aufenthaltslabor ohne einzelne Labordaten. Original: „C-Reaktives Protein 0,5 mg/l;  1,5 mg/l (&lt;5 mg/l) [Min: 0,5 mg/l; Max: 76,3 mg/l]“ (20_Baseline.docx); erster Wert 0,5, letzter Wert 1,5, Maximum 76,3 mg/l. Keine eindeutige Zuordnung zum Referenztermin.
Jyseleca zuletzt am 03.09.2023 gegeben; nicht als laufende Therapie am Referenztermin übernommen. Blinatumomab erst im Aufenthaltsverlauf eingeleitet; Lodotra bei Entlassung auf 1 mg täglich reduziert.
Diagnoseliste bezeichnet die RA als seropositiv, die Verlaufsbeurteilung abweichend als seronegativ.</t>
  </si>
  <si>
    <t>Abatacept 125 mg subkutan wöchentlich und Prednisolon 12,5 mg täglich.</t>
  </si>
  <si>
    <t>Gelenkschmerzen an Schultern, Handgelenken und Fußgelenken; Morgensteifigkeit zwei Stunden.</t>
  </si>
  <si>
    <t>Arthritis beider Handgelenke und schmerzhafte Schulterbewegungen beidseits. Gleichzeitig dokumentiert: TJC 3, SJC 0 und Arthritis verneint; Enthesitis und Daktylitis verneint.</t>
  </si>
  <si>
    <t>Zusätzlich Schmerzen an den Fußgelenken, Seite nicht angegeben.</t>
  </si>
  <si>
    <t>Unter Abatacept und Prednisolon weiterhin klinisch aktive RA mit Gelenkschmerzen und zweistündiger Morgensteifigkeit; klinischer Nutzen dieser laufenden Therapie nicht eindeutig beurteilt. Vom früheren Blinatumomab habe der Patient nicht profitiert. Additive Einleitung von Leflunomid 20 mg täglich und Prednisolonreduktion auf 7,5 mg täglich empfohlen.</t>
  </si>
  <si>
    <t>Labordatum für CRP und BSG nicht angegeben.
Zählbereich von TJC und SJC nicht angegeben. Widerspruch zwischen dokumentierter Arthritis beider Handgelenke und „Arthritis (-)“ bleibt erhalten.
Leflunomid widersprüchlich dokumentiert: Diagnoseliste „Leflunomide 20 mg 1-0-0 ab 02/2024“, aktuelle Beurteilung „Es wurde der Beginn einer additiven Therapie mit Leflunomid 20 mg besprochen.“ (20_FollowUp.docx). Daher als empfohlene Einleitung, nicht als sicher laufende Therapie erfasst.
Ansprechen unter aktuell beurteiltem Abatacept/Prednisolon nicht eindeutig belegt; fortbestehende Aktivität allein ergibt kein Nein. Das ausdrücklich fehlende Profitieren bezieht sich auf die frühere Blinatumomab-Therapie.</t>
  </si>
  <si>
    <t>Prednisolon 10 mg täglich; Diclofenac 75 mg bis zweimal täglich bei Bedarf.</t>
  </si>
  <si>
    <t>Seit Januar 2023 Schmerzen und Schwellungen beider Handgelenke sowie Schmerzen beider Schultern. Morgensteifigkeit etwa 2–3 Stunden.</t>
  </si>
  <si>
    <t>Druckschmerz beider Handgelenke ohne Schwellung; Druckschmerz beider Schultern.</t>
  </si>
  <si>
    <t>Beide Schultern zusätzlich zu den Handgelenken betroffen.</t>
  </si>
  <si>
    <t>Deutliche Beschwerdebesserung unter Prednisolon und Linderung unter NSAR; weiterhin Druckschmerz an Handgelenken und Schultern. Einleitung von Methotrexat 15 mg wöchentlich mit Folsäure empfohlen.</t>
  </si>
  <si>
    <t>Der 23.08.2023 ist der belegte Besuch mit dem geringsten Abstand zum Baseline-Scan.
Anamnese, klinischer Gelenkbefund und laufende Medikation sind im zusammenfassenden Brief keinem der beiden Besuche eindeutig zugeordnet.
Labordatum für CRP und BKS nicht angegeben; BKS gemäß Studienkonvention als BSG nach einer Stunde in mm erfasst.
Methotrexat und Folsäure sind in dieser Briefgruppe nur als Therapieempfehlung dokumentiert.</t>
  </si>
  <si>
    <t>Naproxen 500 mg bei Bedarf.</t>
  </si>
  <si>
    <t>Weiterhin Arthralgien und Schwellungen mehrerer Gelenke, aktuell Schmerzen der Finger- und Handgelenke. Morgensteifigkeit etwa 3 Stunden.</t>
  </si>
  <si>
    <t>Dokumentierter Gelenkstatus mit 12 druckschmerzhaften und einem geschwollenen Gelenk; Lokalisationen nicht angegeben.</t>
  </si>
  <si>
    <t>Klinisch unveränderte Beschwerden und weiterhin Krankheitsaktivität unter der seit März 2024 beurteilten Abatacept-Therapie; wegen Unwirksamkeit im Juni abgesetzt. Umstellung auf Tocilizumab 162 mg subkutan einmal wöchentlich empfohlen.</t>
  </si>
  <si>
    <t>Nein</t>
  </si>
  <si>
    <t>Labordatum für CRP nicht angegeben.
Zählbereich von TJC und SJC nicht angegeben.
Abatacept wird in der Anamnese als beurteilte Therapie genannt, in der Therapiehistorie jedoch im Juni 2024 wegen Unwirksamkeit als abgesetzt dokumentiert; der genaue Absetztag ist unklar.
Tocilizumab ist nur empfohlen; ein tatsächlicher Therapiebeginn ist nicht belegt. Die Ansprechenkategorie bezieht sich auf Abatacept.</t>
  </si>
  <si>
    <t>Bei Aufnahme Adalimumab 40 mg s.c. alle zwei Wochen, zuletzt 15.06.2023; MTX 10 mg oral wöchentlich, am 26.06. nicht eingenommen; Prednisolon 10 mg täglich, Folsäure 5 mg am Folgetag der MTX-Einnahme und Diclofenac retard 75 mg bei Bedarf.</t>
  </si>
  <si>
    <t>Schmerzen oder Schwellungen der Handgelenke sowie MCP- und PIP-Gelenke beider Hände und teilweise beider Füße. Morgensteifigkeit etwa 30–60 Minuten.</t>
  </si>
  <si>
    <t>Druckdolenz und Schwellung der Handgelenke sowie MCP- und PIP-Gelenke beider Hände mit Ulnardeviation; Schwellung der im Brief als MCP und PIP bezeichneten Gelenke beider Füße.</t>
  </si>
  <si>
    <t>Stark eingeschränkte HWS-Beweglichkeit nach operativer Versteifung.</t>
  </si>
  <si>
    <t>Therapierefraktärer Verlauf mit nur unzureichender Besserung unter zuletzt Adalimumab. Im stationären Verlauf erste intravenöse Blinatumomab-Gabe über fünf Tage; ein späterer pathologischer Befund verweist auf eine klinische Besserung.</t>
  </si>
  <si>
    <t>CRP zeitlich nicht eindeutig zuordenbar: erster Wert 24,7 mg/l, letzter Wert 8,1 mg/l während des Aufenthalts; einzelne Messtage fehlen. Originalbelege aus 22_Baseline.docx: „Laborwerte während des Aufenthalts: (1. Wert; letzter Wert [Minimum; Maximum])“ und „C-Reaktives Protein 24,7 mg/l;  8,1 mg/l (&lt;5 mg/l) [Min: 8,1 mg/l; Max: 24,7 mg/l]“. Daher kein einzelner CRP-Wert ausgewählt.
Aktuelle Therapie bezeichnet die Aufnahmemedikation am Referenztermin. Blinatumomab wurde anschließend während des Aufenthalts gegeben; das genaue Startdatum fehlt.
Der Hinweis auf klinische Besserung stammt aus dem Hauptbefund vom 06.07.2023; der zugrunde liegende klinische Untersuchungstag ist nicht angegeben.
Die Bezeichnung MCP für Fußgelenke wurde aus dem Original übernommen.</t>
  </si>
  <si>
    <t>Im zusammenfassenden Brief laufend Orencia seit elf Wochen und MTX 20 mg wöchentlich sowie Folsan; Zuordnung zum Referenztermin unklar.</t>
  </si>
  <si>
    <t>Sechs geschwollene und vier druckschmerzhafte Gelenke; Regionen und Seiten nicht angegeben.</t>
  </si>
  <si>
    <t>Mäßiggradige Krankheitsaktivität nach Blinatumomab unter derzeit MTX und Orencia; Fortführung empfohlen. Klinischer Nutzen der laufenden Therapie nicht ausdrücklich beurteilt.</t>
  </si>
  <si>
    <t>31.10.2023 ist der belegte Besuch mit dem geringsten Abstand zum Follow-up-Scan.
Der Brief fasst Vorstellungen vom 31.10.2023, 14.12.2023 und 22.01.2024 zusammen. Gelenkzahlen und laufende Therapie sind keinem einzelnen Besuch eindeutig zugeordnet.
TJC und SJC: Zählbereich nicht angegeben.
Labordatum nicht angegeben.
Orencia-Beginn und tatsächliche Einnahme am 31.10.2023 sind aus der Angabe „seit 11 Wochen“ ohne eindeutigen Bezugsbesuch nicht bestimmbar.</t>
  </si>
  <si>
    <t>Methotrexat 15 mg/Woche, Folsäure 5 mg am Folgetag und Ibuprofen 600 mg dreimal täglich bei Aufnahme.</t>
  </si>
  <si>
    <t>Schmerzen der PIP, Handgelenke, Schultern, Knie und Sprunggelenke beidseits, an den Knien linksbetont. Morgensteifigkeit 30–60 Minuten sowie Sensibilitätsstörungen beim Greifen.</t>
  </si>
  <si>
    <t>Druckschmerz und Schwellungen an Knien und Sprunggelenken beidseits sowie MCP-, PIP-, Hand- und Ellenbogengelenken; zusammenfassend auch Schultern und MCP II/III beidseits betroffen.</t>
  </si>
  <si>
    <t>Zusätzlich Ellenbogen klinisch betroffen.</t>
  </si>
  <si>
    <t>Wiederkehrende Beschwerden ohne durchschlagenden Effekt der bisherigen Therapie. Adalimumab seit drei Wochen pausiert; Blinatumomab im stationären Verlauf am 20.06.2023 eingeleitet.</t>
  </si>
  <si>
    <t>CRP während des Aufenthalts vom 19.06.–26.06.2023; Labordatum nicht angegeben.
Der zusammenfassende Gelenkbefund ist keinem einzelnen Untersuchungstag eindeutig zugeordnet.
Blinatumomab erst ab 20.06.2023, somit am klinischen Referenztermin noch keine laufende Therapie; Adalimumab bereits pausiert.</t>
  </si>
  <si>
    <t>Methotrexat 15 mg einmal wöchentlich.</t>
  </si>
  <si>
    <t>Am 18.01.2024 keine Schübe oder Gelenkbeschwerden. Morgensteifigkeit widersprüchlich als fehlend beziehungsweise 1–2 Minuten dokumentiert.</t>
  </si>
  <si>
    <t>Am 18.01.2024 keine druckschmerzhaften oder geschwollenen Gelenke dokumentiert, TJ 0 und SJ 0.</t>
  </si>
  <si>
    <t>Am 18.04.2024 vorübergehend Schmerzen der Hände beziehungsweise des rechten Handgelenks und einmalig des linken Knies, rasch wieder gebessert.</t>
  </si>
  <si>
    <t>Am 18.01.2024 anhaltend gute klinische Kontrolle ohne RA-Schübe unter weitergeführtem Methotrexat. Am 18.04.2024 kurzzeitige Hand-/Handgelenk- und linke Knieschmerzen mit rascher Besserung nach einmaliger Ibuprofeneinnahme; zusätzlich Taubheitsgefühl der Fingerspitzen.</t>
  </si>
  <si>
    <t>Der 18.01.2024 ist der scan-nächste eindeutig dokumentierte rheumatologische Vorstellungstag; der 14.07.2023 ist nur als Entlassungstag, der 15.08.2023 nur als geplanter Termin belegt.
TJC, SJC und CRP vom 18.01.2024; Zählbereich von TJ/SJ nicht angegeben.
Morgensteifigkeit am 18.01.2024 widersprüchlich: keine beziehungsweise 1–2 Minuten.
MTX-Dosis aus der Medikationsangabe der Vorgeschichte; am 18.01.2024 ist die wöchentliche Fortführung ausdrücklich bestätigt.
DAS28-ESR 2,54 gehört zur historischen stationären Zweitgabe von Blinatumomab im Juli 2023 und wurde nicht als aktueller Score übernommen.
Beschwerden vom 18.04.2024 sind als späterer Verlauf gekennzeichnet; dessen CRP 9,6 mg/l wird zugunsten des Referenzterminwertes nicht ausgewählt.</t>
  </si>
  <si>
    <t>Bei Aufnahme Filgotinib und MTX bereits abgesetzt; während des Aufenthalts Einleitung von Blinatumomab über fünf Tage.</t>
  </si>
  <si>
    <t>Zunehmende Schmerzen und druckdolente Schwellungen beider Hand- und Fingergelenke, Schultern und Knie. Tägliche Morgensteifigkeit der Hände für 3–4 Stunden.</t>
  </si>
  <si>
    <t>Druckdolenz und Schwellung beider Handgelenke, MCP II/III und Daumengrundgelenke beidseits, beider Schultern, Knie rechts stärker als links sowie beider OSG und Fußgelenke.</t>
  </si>
  <si>
    <t>Zusätzlich Schmerzen beider Fußgelenke und aller Zehen.</t>
  </si>
  <si>
    <t>Unter Filgotinib zunächst nur mäßiger Nutzen, seit Januar 2023 zunehmender Wirkverlust mit Schmerzen wie bei Erstdiagnose. Im Aufenthalt Beginn eines individuellen Heilversuchs mit Blinatumomab.</t>
  </si>
  <si>
    <t>CRP zeitlich nicht eindeutig auswählbar: erster Wert 3,6 mg/l, letzter Wert 18,9 mg/l, Minimum 3,6 mg/l, Maximum 67,2 mg/l; keine einzelnen Messtage angegeben. Originalbeleg: 24_Baseline.docx: „C-Reaktives Protein 3,6 mg/l;  18,9 mg/l (&lt;5 mg/l) [Min: 3,6 mg/l; Max: 67,2 mg/l]“.
Der Beginn der Blinatumomabgabe ist innerhalb des Aufenthalts nicht einzeln datiert; am Referenztermin waren Filgotinib und MTX bereits abgesetzt.</t>
  </si>
  <si>
    <t>Blinatumomab im individuellen Heilversuch, dritter Zyklus über fünf Tage; Dosis nicht angegeben.</t>
  </si>
  <si>
    <t>Leicht gebesserte Gelenkschmerzen, NRS 4/10, weiterhin an beiden Hand- und Fingergelenken mit ausgeprägter Morgensteifigkeit der Finger für 3–4 Stunden.</t>
  </si>
  <si>
    <t>Im Juli multiple geschwollene und druckdolente Gelenke, vor allem Hände und Finger. Der auf 09.05.2023 datierte Detailstatus nennt Schwellung und Druckdolenz beider Handgelenke, MCP III/IV links, MCP I/II/IV und PIP IV rechts sowie zusätzlich Druckdolenz beider Schultern.</t>
  </si>
  <si>
    <t>Weiterhin Schmerzen beider Schultern, des rechten Knies und beider Sprunggelenke; zusätzlich Myalgien im Arm- und Schulterbereich.</t>
  </si>
  <si>
    <t>Klinische Teilbesserung der Gelenkschmerzen unter der beurteilten Blinatumomabtherapie. Schmerzen, Schwellungen und ausgeprägte Morgensteifigkeit bestehen fort.</t>
  </si>
  <si>
    <t>Referenztermin 17.07.2023 durch die rheumatologische Arthrosonographie belegt. Der körperliche Detailstatus trägt ausdrücklich das Datum 09.05.2023; eine Übertragung dieses Detailstatus auf Juli ist nicht gesichert. Der Juli-Verlauf bestätigt unabhängig davon geschwollene und druckdolente Hand- und Fingergelenke.
Anamnese und klinische Besserungsangabe sind innerhalb des Juli-Briefes nicht einzeln datiert.
CRP zeitlich nicht eindeutig auswählbar: erster Wert 7,1 mg/l, letzter Wert 2,9 mg/l, Minimum 2,9 mg/l, Maximum 7,1 mg/l; keine einzelnen Messtage angegeben. Originalbeleg: 24_FollowUp.docx: „C-Reaktives Protein 7,1 mg/l;  2,9 mg/l (&lt;5 mg/l) [Min: 2,9 mg/l; Max: 7,1 mg/l]“.
Blinatumomabgabe im Juli-Aufenthalt dokumentiert, genauer Beginn nicht angegeben. Die Ansprechenkategorie beruht auf der klinisch berichteten Teilbesserung, nicht auf der Bildgebung.</t>
  </si>
  <si>
    <t>Methotrexat 15 mg/Woche und Prednisolon 5 mg; Steigerung von Methotrexat auf 25 mg/Woche empfohlen.</t>
  </si>
  <si>
    <t>Weiterhin Schmerzen der linken Schulter und anamnestisch Schwellungen einiger nicht näher bezeichneter Gelenke. Tennisspielen wieder möglich.</t>
  </si>
  <si>
    <t>Druckdolenz des linken Schultergelenks; weiterer Gelenkstatus im Brief nicht ausgeführt.</t>
  </si>
  <si>
    <t>Seit Beginn mit Methotrexat sukzessive deutliche Besserung ohne Schub, jedoch weiterhin aktive Erkrankung mit Gelenkschwellungen und Schmerzen der linken Schulter. Prednisolon auf 5 mg reduziert; Methotrexat-Steigerung empfohlen.</t>
  </si>
  <si>
    <t>CRP: Labordatum nicht angegeben. DAS28: Einzeldatum nicht ausdrücklich angegeben; vormals 7,67 ist ein historischer Wert.
Die Diagnoseliste nennt Methotrexat 25 mg/Woche und Prednisolon 7,5 mg. Für die laufende Therapie wurden die aktuelle Anamnese mit 15 mg/Woche beziehungsweise 5 mg und die erst empfohlene Methotrexat-Steigerung berücksichtigt.
Ibuprofen und Celecoxib sind unter Dauermedikation aufgeführt; die tatsächliche aktuelle Einnahme ist angesichts der Einordnung von Ibuprofen als bisherige Therapie unklar.</t>
  </si>
  <si>
    <t>BSG</t>
  </si>
  <si>
    <t>Methotrexat 25 mg/Woche, Folsäure 5 mg/Woche und Prednisolon 3,5 mg täglich.</t>
  </si>
  <si>
    <t>Wohlbefinden ohne aktuelle Gelenkbeschwerden; Morgensteifigkeit maximal 10 Minuten.</t>
  </si>
  <si>
    <t>Keine druckschmerzhaften oder geschwollenen Gelenke.</t>
  </si>
  <si>
    <t>Unter laufender Therapie sehr gute klinische Einstellung mit dokumentierter klinischer Remission und ohne Gelenkbeschwerden. Erhöhte Entzündungsparameter ohne klinisches Korrelat; Nachkontrolle und schrittweise Prednisolon-Reduktion empfohlen.</t>
  </si>
  <si>
    <t>CRP vom 11.11.2022. DAS28: Einzeldatum nicht ausdrücklich angegeben.</t>
  </si>
  <si>
    <t>Golimumab; Prednisolon 40 mg täglich als Stoßtherapie; Ibuprofen 800 mg morgens und abends. Umstellung auf Upadacitinib empfohlen.</t>
  </si>
  <si>
    <t>Handschmerzen mit erschwertem Greifen, außerdem Schulter- und Knieschmerzen. Morgensteifigkeit 30–60 Minuten, zunehmende Schmerzen zum Abend.</t>
  </si>
  <si>
    <t>10 druckschmerzhafte Gelenke ohne Schwellungen; betroffene Einzelgelenke nicht angegeben.</t>
  </si>
  <si>
    <t>Schultern und Knie schmerzhaft; Seiten nicht angegeben.</t>
  </si>
  <si>
    <t>Unter Golimumab subjektiv deutlich verschlechtert, weiterhin aktive Erkrankung trotz Prednisolon-Stoßtherapie. Umstellung auf Upadacitinib 15 mg täglich und schrittweise Prednisolonreduktion empfohlen.</t>
  </si>
  <si>
    <t>Labordatum nicht angegeben; auch DAS28 und TJC sind nicht eigenständig datiert.
Zählbereich des TJC nicht angegeben. Keine Schwellungen dokumentiert, aber kein ausdrücklicher numerischer SJC.
Upadacitinib steht bereits in der Dauermedikation; Anamnese und Beurteilung beschreiben jedoch die Kontrolle unter Golimumab und empfehlen erst die Umstellung. Beginn von Upadacitinib am Referenztermin nicht eindeutig belegt.</t>
  </si>
  <si>
    <t>Upadacitinib 15 mg täglich seit Juli 2021; Ibuprofen 800 mg morgens und abends.</t>
  </si>
  <si>
    <t>Belastungsabhängige Schmerzen der Finger- und Handgelenke bei der Arbeit als Hausmeister. Keine Morgensteifigkeit.</t>
  </si>
  <si>
    <t>Ein druckschmerzhaftes Gelenk, keine geschwollenen Gelenke; Lokalisation nicht angegeben.</t>
  </si>
  <si>
    <t>Unter Upadacitinib berichtete Besserung der Gelenkschwellungen und klinisch gute Krankheitskontrolle. Belastungsschmerzen der Finger- und Handgelenke bestehen fort; keine Morgensteifigkeit. Druckschmerzhafte Gelenke gegenüber Baseline von 10 auf 1 rückläufig.</t>
  </si>
  <si>
    <t>Labordatum nicht angegeben; auch BSG, DAS28 und TJC sind nicht eigenständig datiert.
Zählbereich des TJC nicht angegeben; Vergleich mit Baseline daher eingeschränkt. Keine geschwollenen Gelenke dokumentiert, aber kein ausdrücklicher numerischer SJC.
Berichtete Besserung der Gelenkschwellungen ohne datierten Ausgangsbefund; im Baseline-Brief waren keine Schwellungen dokumentiert.</t>
  </si>
  <si>
    <t>Rituximab, erste Gabe 1000 mg am 29.03.2021; Etoricoxib 60 mg abends.</t>
  </si>
  <si>
    <t>Mehrere schmerzhafte und geschwollene Gelenke ohne nähere Lokalisation. Aktuell keine Morgensteifigkeit bei abendlicher Einnahme von Etoricoxib.</t>
  </si>
  <si>
    <t>Unzureichende Krankheitskontrolle unter Sulfasalazin und Hydroxychloroquin; beide am 18.03.2021 wegen fehlenden Ansprechens abgesetzt. Rituximab im Studienrahmen am 29.03.2021 begonnen und komplikationslos verabreicht.</t>
  </si>
  <si>
    <t>29.03.2021 ist der belegte Besuch mit dem geringsten Abstand zum Baseline-Scan am 30.04.2021.
Labordatum nicht angegeben; DAS28 und Beschwerden keinem der beiden Besuche eindeutig zugeordnet.
Gelenkstatus enthält unausgefüllte Angaben zu Druckschmerz und Schwellung; keine verwertbaren Untersuchungsbefunde oder Gelenkzahlen.
Sulfasalazin und Hydroxychloroquin stehen noch unter Dauermedikation, sind laut Diagnoseangaben jedoch seit 18.03.2021 abgesetzt. Abatacept ist lediglich als mögliche spätere Studientherapie beschrieben.</t>
  </si>
  <si>
    <t>Rituximab, am Vorstellungstag erneut verabreicht; Prednisolon 5 mg täglich; Etoricoxib 60 mg bei Bedarf.</t>
  </si>
  <si>
    <t>Gelenkschmerzen an Händen und Füßen, teilweise mit Schwellungen; zusätzlich Knie, Ellenbogen und beide Schultern betroffen. Morgensteifigkeit etwa 60 Minuten.</t>
  </si>
  <si>
    <t>Sechs druckschmerzhafte und zwei geschwollene Gelenke mit Synovitis; postarthritische Veränderungen der MCP-Gelenke rechts.</t>
  </si>
  <si>
    <t>Zusätzlich Schmerzen an Knien, Ellenbogen und beiden Schultern.</t>
  </si>
  <si>
    <t>Unter Rituximab ausdrücklich sehr gute Krankheitskontrolle und gute Wirksamkeit beschrieben. Dennoch aktuell polyartikuläre Schmerzen, teilweise Schwellungen, Morgensteifigkeit und klinische Synovitis; die Grunderkrankung wird als aktiv beurteilt. Erneute Rituximabgabe und Fortführung empfohlen.</t>
  </si>
  <si>
    <t>Einziger belegter Besuch dieser Briefgruppe ist der 04.04.2022, nach dem Follow-up-Scan vom 13.09.2021; Labor ausdrücklich vom 04.04.2022.
Zählbereich von TJC und SJC nicht angegeben.
Rituximabdosis und aktuelles Intervall nicht angegeben.
Sehr gute Krankheitskontrolle und gute Wirksamkeit werden trotz fortbestehender klinisch aktiver Erkrankung dokumentiert; Ja bezeichnet den belegten klinischen Nutzen, keine Remission.
Zeitliche Abweichung beim Therapiebeginn: Follow-up nennt zwei Rituximabgaben im April 2021, Baseline dokumentiert die erste Gabe am 29.03.2021.</t>
  </si>
  <si>
    <t>Methotrexat seit Januar 2021, Dosis nicht angegeben; Prednisolon reduziert, aktuelle Dosis nicht angegeben; Schmerzmittel intermittierend.</t>
  </si>
  <si>
    <t>Noch schmerzhafte und geschwollene Gelenke, insgesamt bereits rückläufig. Linkes Sprunggelenk schmerzhaft und geschwollen.</t>
  </si>
  <si>
    <t>Schwellungen an MCP II/III und PIP II/III, Seite nicht angegeben; Druckschmerz der Daumensattelgelenke beidseits. Linkes Sprunggelenk geschwollen und schmerzhaft.</t>
  </si>
  <si>
    <t>Daumensattelgelenke beidseits druckschmerzhaft.</t>
  </si>
  <si>
    <t>Nach etwa sechs Wochen Methotrexat etwas geringere Schubhäufigkeit sowie weniger Gelenkschmerzen und Schwellungen; Prednisolon konnte reduziert werden. Klinisch teilweise gebessert, weiterhin auffälliger Gelenkbefund.</t>
  </si>
  <si>
    <t>Labordatum nicht angegeben.
Seitenzuordnung der MCP-/PIP-Schwellungen nicht angegeben.
Methotrexat- und aktuelle Prednisolondosis nicht angegeben.</t>
  </si>
  <si>
    <t>Methotrexat 15 mg/Woche.</t>
  </si>
  <si>
    <t>Morgensteifigkeit etwa 45 Minuten und weiterhin geschwollene Gelenke; Regionen und Seiten klinisch nicht angegeben.</t>
  </si>
  <si>
    <t>Fünf geschwollene und druckschmerzhafte Gelenke; Regionen und Seiten nicht angegeben.</t>
  </si>
  <si>
    <t>Unter Methotrexat weiterhin Morgensteifigkeit und Gelenkschwellungen; Erkrankung klinisch aktiv. Steigerung von Methotrexat auf 25 mg/Woche und Einleitung von Baricitinib 4 mg/Tag empfohlen. Klinischer Nutzen der bisherigen Therapie nicht eindeutig beurteilt.</t>
  </si>
  <si>
    <t>CRP vom 19.07.2021 gewählt; weiterer CRP-Wert vom 09.08.2021: 9,4 mg/l.
TJC und SJC jeweils aus der ausdrücklich dokumentierten Zahl von fünf geschwollenen und druckschmerzhaften Gelenken übernommen; Zählbereich nicht angegeben.
Baricitinib laut Diagnoseeintrag erst seit August 2021; am Referenztermin nur empfohlen. Methotrexat 25 mg/Woche ebenfalls erst als Steigerung empfohlen.
Fortbestehende Beschwerden und klinische Aktivität belegen allein kein fehlendes Ansprechen; eine eindeutige Aussage zum klinischen Nutzen fehlt.</t>
  </si>
  <si>
    <t>Methotrexat 20 mg s. c. einmal wöchentlich, Folsäure 5 mg am Folgetag; Sulfasalazin laut Anamnese, Dosis nicht angegeben; Diclofenac bei Bedarf.</t>
  </si>
  <si>
    <t>Ganzkörperschmerzen mit eingeschränkter Beweglichkeit, zunehmend schmerzhaftem Liegen im Bett und ausgeprägter Fatigue. Persistierende Beschwerden am rechten Ellenbogen und an der linken Plantarfaszie.</t>
  </si>
  <si>
    <t>Schmerzen an PIP III beidseits, MCP I/II rechts und am linken Handgelenk; enthesialer Druckschmerz am rechten Ellenbogen und an der linken Plantarfaszie.</t>
  </si>
  <si>
    <t>Unter MTX und Sulfasalazin weiterhin klinisch aktiv mit persistierenden Schmerzen und zunehmender funktioneller Beeinträchtigung. Erweiterung um Adalimumab 40 mg alle zwei Wochen empfohlen.</t>
  </si>
  <si>
    <t>Labordatum nicht angegeben.
Sulfasalazin wird nur in der aktuellen Anamnese genannt; Dosis fehlt in der Dauermedikation.
Der Diagnoseeintrag „aktuelle Therapie: MTX + Erweiterung mit Adalimumab 11/20“ liegt nach dem Referenzbesuch; Adalimumab war damals nur empfohlen.</t>
  </si>
  <si>
    <t>Methotrexat 20 mg s. c. einmal wöchentlich und Adalimumab seit Januar 2021, laut Fortführungsempfehlung 40 mg alle 14 Tage; Folsäure 5 mg am Folgetag und Diclofenac bei Bedarf.</t>
  </si>
  <si>
    <t>Unveränderte Schmerzen am linken Fuß und an beiden Händen in Ruhe und bei Bewegung, ohne Linderung durch Bewegung. Schwellungen am linken oberen Sprunggelenk und an kleinen Gelenken der rechten Hand; Morgensteifigkeit unter 30 Minuten.</t>
  </si>
  <si>
    <t>Druckschmerz und Schwellung am linken oberen Sprunggelenk; Schwellungen an PIP-Gelenken der rechten Hand, im Original „3-4 PIP“.</t>
  </si>
  <si>
    <t>Unter MTX und seit etwa drei Monaten Adalimumab unveränderte Schmerzen und persistierende klinische Krankheitsaktivität; ein klinischer Nutzen ist nicht eindeutig beurteilt. Fortführung von Adalimumab und ergänzender Prednisolonstoß empfohlen; weitere Abklärung der Beschwerden am linken Fuß und oberen Sprunggelenk vorgesehen.</t>
  </si>
  <si>
    <t>Labordatum für CRP und BSG nicht angegeben.
„3-4 PIP Hand re.“ lässt offen, ob die Gelenke III/IV oder eine Anzahl gemeint sind; kein standardisierter SJC dokumentiert.
Folsäure laut Dauermedikation 5 mg, in der Therapieempfehlung 10 mg am Folgetag nach MTX.
Prednisolonstoß neu empfohlen; vorherige Einnahme nicht belegt.
Ansprechen nicht eindeutig beurteilbar: persistierende Beschwerden, jedoch keine ausdrückliche Feststellung fehlenden klinischen Ansprechens; Wirkung soll weiter abgewartet werden.</t>
  </si>
  <si>
    <t>Arcoxia 60 mg bei Bedarf; Abatacept und Methotrexat seit 06/2020 wegen Leberwerterhöhung pausiert.</t>
  </si>
  <si>
    <t>Seit mehreren Wochen zunehmende Gelenkschmerzen und Schwellungen, insbesondere an Handgelenken, rechtem Knie und MCP IV.</t>
  </si>
  <si>
    <t>Polyarthritis mit Arthritiden mehrerer Gelenke; kein detaillierter klinischer Gelenkstatus dokumentiert.</t>
  </si>
  <si>
    <t>Akute Schubsymptomatik nach Pausieren der Basistherapie. Therapieumstellung und Studienteilnahme empfohlen.</t>
  </si>
  <si>
    <t>Einziger eindeutig belegter Besuchstag ist der 04.06.2020. Der Brief enthält zugleich Angaben aus August 2020; Beschwerden und Gelenkbefunde sind dem Referenztermin nicht eindeutig zuzuordnen. Der 28.08. ist nur als geplanter Besuch genannt.
Zwei zeitlich nicht zuordenbare CRP-Werte; deshalb keine eindeutige Auswahl: 30_Baseline.docx: „C-reaktives Protein 36,2 mg/l (-&lt;5,2 mg/l)“ und „C-Reaktives Protein 25,4 mg/l (-&lt;5 mg/l)“. Labordaten nicht angegeben.
Späterer MTX-Wiederbeginn ist dokumentiert, jedoch keine laufende Therapie am Referenztermin belegt: 30_Baseline.docx: „MTX 12,5 mg 1x Wo (Pause seir 06/2020, Wiederbeginn 12.08.2020 bisher 2 Spritzen)“.
Die Diagnosenergänzung für August nennt weitere Präzisierung und eine Therapieumstellung, deren Durchführung im Baseline-Brief nicht eindeutig belegt ist: 30_Baseline.docx: „08/2020: Schubsymptomatik mit Arthritis Knie rechts, Handg. bds., MCP 3&amp;4 -&gt; Therapieumstellung auf JAK-Inhibitor und Einschluss in Bare-Bone“.</t>
  </si>
  <si>
    <t>Baricitinib 4 mg täglich und Methotrexat 12,5 mg pro Woche; Folsäure 5 mg pro Woche.</t>
  </si>
  <si>
    <t>Keine Gelenkschmerzen, Schwellungen oder Morgensteifigkeit. Regelmäßiger Sport möglich; sehr zufrieden mit Zustand und Therapie.</t>
  </si>
  <si>
    <t>Im 28-Gelenkstatus keine druckschmerzhaften oder geschwollenen Gelenke. Beide Handgelenke nach Operation partiell versteift.</t>
  </si>
  <si>
    <t>Unter Baricitinib und Methotrexat klinisch beschwerdefrei und ärztlich als in Remission beurteilt. Partielle Versteifung beider Handgelenke nach Operation besteht fort; Fortführung der Therapie empfohlen.</t>
  </si>
  <si>
    <t>Labordatum nicht angegeben; auch BSG und DAS28 sind nicht eigenständig datiert.
28-Gelenkstatus dokumentiert, jedoch keine ausdrücklichen numerischen TJC-/SJC-Werte; deshalb beide null.</t>
  </si>
  <si>
    <t>Seit Anfang 2017 wechselnd starke Schmerzen an linker Schulter, rechtem Knie, beiden Handgelenken und linkem Vorfuß.</t>
  </si>
  <si>
    <t>Anhaltende wechselnde Gelenkschmerzen nach wiederholten NSAR- und Steroidbehandlungen. Im Verlauf der Baseline-Episode Einleitung von Methotrexat 15 mg wöchentlich mit Folsäure empfohlen; selbständiger erneuter Steroidbeginn mit 20 mg am 07.10.2018 dokumentiert.</t>
  </si>
  <si>
    <t>CRP: Labordatum nicht angegeben; Zuordnung zu einem einzelnen Besuch unklar.
Anamnese im zusammenfassenden Brief keinem einzelnen Besuch eindeutig zugeordnet.
Am Referenztermin 01.10.2018 ist keine laufende rheumatologische Medikation eindeutig belegt. Der erneute Steroidbeginn am 07.10.2018 liegt danach; der genaue MTX-Beginn innerhalb Oktober 2018 bleibt unklar.
Seitenwiderspruch zur früheren Vorfußbestrahlung: Diagnoseliste links, Anamnese rechts.</t>
  </si>
  <si>
    <t>Methotrexat 10 mg oral wöchentlich und Folsäure 5 mg am Folgetag.</t>
  </si>
  <si>
    <t>Keine Arthralgien und keine Morgensteifigkeit.</t>
  </si>
  <si>
    <t>Keine druckschmerzhaften oder geschwollenen Gelenke; keine Enthesitis und keine Daktylitis.</t>
  </si>
  <si>
    <t>Unter seit etwa fünf Monaten auf 10 mg wöchentlich reduziertem Methotrexat keine Beschwerdeverschlechterung, keine Arthralgien und keine Morgensteifigkeit. Klinisch unauffälliger Gelenkstatus; im Brief wird die Grunderkrankung als in Remission beurteilt.</t>
  </si>
  <si>
    <t>CRP: Labordatum nicht angegeben.
Zählbereich für TJC und SJC nicht angegeben.</t>
  </si>
  <si>
    <t>unklar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</si>
</sst>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
  </numFmts>
  <fonts count="4" x14ac:knownFonts="1">
    <font>
      <sz val="11"/>
      <color theme="1"/>
      <name val="Calibri"/>
      <family val="2"/>
      <scheme val="minor"/>
    </font>
    <font>
      <b/>
      <sz val="11"/>
      <name val="Calibri"/>
      <family val="2"/>
    </font>
    <font>
      <b/>
      <sz val="12"/>
      <name val="Calibri"/>
      <family val="2"/>
    </font>
    <font>
      <sz val="11"/>
      <name val="Calibri"/>
      <family val="2"/>
    </font>
  </fonts>
  <fills count="9">
    <fill>
      <patternFill patternType="none"/>
    </fill>
    <fill>
      <patternFill patternType="gray125"/>
    </fill>
    <fill>
      <patternFill patternType="solid">
        <fgColor rgb="FFD9EAF7"/>
      </patternFill>
    </fill>
    <fill>
      <patternFill patternType="solid">
        <fgColor rgb="FFE2EFDA"/>
      </patternFill>
    </fill>
    <fill>
      <patternFill patternType="solid">
        <fgColor rgb="FFFFF2CC"/>
      </patternFill>
    </fill>
    <fill>
      <patternFill patternType="solid">
        <fgColor rgb="FFFCE4D6"/>
      </patternFill>
    </fill>
    <fill>
      <patternFill patternType="solid">
        <fgColor rgb="FFCBEAF5"/>
      </patternFill>
    </fill>
    <fill>
      <patternFill patternType="solid">
        <fgColor rgb="FFF2F6FA"/>
      </patternFill>
    </fill>
    <fill>
      <patternFill patternType="solid">
        <fgColor rgb="FFFFFFFF"/>
      </patternFill>
    </fill>
  </fills>
  <borders count="2">
    <border>
      <left/>
      <right/>
      <top/>
      <bottom/>
      <diagonal/>
    </border>
    <border>
      <left/>
      <right/>
      <top/>
      <bottom style="thin">
        <color rgb="FFD9E2F3"/>
      </bottom>
      <diagonal/>
    </border>
  </borders>
  <cellStyleXfs count="1">
    <xf numFmtId="0" fontId="0" fillId="0" borderId="0"/>
  </cellStyleXfs>
  <cellXfs count="20">
    <xf numFmtId="0" fontId="0" fillId="0" borderId="0" xfId="0"/>
    <xf numFmtId="0" fontId="2" fillId="5" borderId="0" xfId="0" applyFont="1" applyFill="1" applyAlignment="1">
      <alignment vertical="center"/>
    </xf>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1" fontId="3" fillId="7" borderId="1" xfId="0" applyNumberFormat="1" applyFont="1" applyFill="1" applyBorder="1" applyAlignment="1">
      <alignment vertical="top" wrapText="1"/>
    </xf>
    <xf numFmtId="0" fontId="3" fillId="7" borderId="1" xfId="0" applyFont="1" applyFill="1" applyBorder="1" applyAlignment="1">
      <alignment vertical="top" wrapText="1"/>
    </xf>
    <xf numFmtId="164" fontId="3" fillId="7" borderId="1" xfId="0" applyNumberFormat="1" applyFont="1" applyFill="1" applyBorder="1" applyAlignment="1">
      <alignment vertical="top" wrapText="1"/>
    </xf>
    <xf numFmtId="165" fontId="3" fillId="7" borderId="1" xfId="0" applyNumberFormat="1" applyFont="1" applyFill="1" applyBorder="1" applyAlignment="1">
      <alignment vertical="top" wrapText="1"/>
    </xf>
    <xf numFmtId="1" fontId="3" fillId="8" borderId="1" xfId="0" applyNumberFormat="1" applyFont="1" applyFill="1" applyBorder="1" applyAlignment="1">
      <alignment vertical="top" wrapText="1"/>
    </xf>
    <xf numFmtId="0" fontId="3" fillId="8" borderId="1" xfId="0" applyFont="1" applyFill="1" applyBorder="1" applyAlignment="1">
      <alignment vertical="top" wrapText="1"/>
    </xf>
    <xf numFmtId="164" fontId="3" fillId="8" borderId="1" xfId="0" applyNumberFormat="1" applyFont="1" applyFill="1" applyBorder="1" applyAlignment="1">
      <alignment vertical="top" wrapText="1"/>
    </xf>
    <xf numFmtId="165" fontId="3" fillId="8" borderId="1" xfId="0" applyNumberFormat="1" applyFont="1" applyFill="1" applyBorder="1" applyAlignment="1">
      <alignment vertical="top" wrapText="1"/>
    </xf>
    <xf numFmtId="0" fontId="2" fillId="6" borderId="0" xfId="0" applyFont="1" applyFill="1" applyAlignment="1">
      <alignment vertical="center"/>
    </xf>
    <xf numFmtId="0" fontId="0" fillId="0" borderId="0" xfId="0"/>
    <xf numFmtId="0" fontId="2" fillId="3" borderId="0" xfId="0" applyFont="1" applyFill="1" applyAlignment="1">
      <alignment vertical="center"/>
    </xf>
    <xf numFmtId="0" fontId="2" fillId="2" borderId="0" xfId="0" applyFont="1" applyFill="1" applyAlignment="1">
      <alignment vertical="center"/>
    </xf>
    <xf numFmtId="0" fontId="2" fillId="4" borderId="0" xfId="0" applyFont="1" applyFill="1" applyAlignment="1">
      <alignment vertical="center"/>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2"/>
  <sheetViews>
    <sheetView tabSelected="1" zoomScale="115" workbookViewId="0">
      <pane xSplit="3" ySplit="2" topLeftCell="V29" activePane="bottomRight" state="frozen"/>
      <selection pane="topRight"/>
      <selection pane="bottomLeft"/>
      <selection pane="bottomRight" activeCell="W32" sqref="W32"/>
    </sheetView>
  </sheetViews>
  <sheetFormatPr baseColWidth="10" defaultColWidth="8.83203125" defaultRowHeight="15" x14ac:dyDescent="0.2"/>
  <cols>
    <col min="1" max="1" width="10" customWidth="1"/>
    <col min="2" max="2" width="12" customWidth="1"/>
    <col min="3" max="3" width="15" customWidth="1"/>
    <col min="4" max="4" width="14" customWidth="1"/>
    <col min="5" max="5" width="16" customWidth="1"/>
    <col min="6" max="6" width="18" customWidth="1"/>
    <col min="7" max="7" width="12" customWidth="1"/>
    <col min="8" max="8" width="18" customWidth="1"/>
    <col min="9" max="13" width="12" customWidth="1"/>
    <col min="14" max="14" width="13" customWidth="1"/>
    <col min="15" max="15" width="18" customWidth="1"/>
    <col min="16" max="16" width="14" customWidth="1"/>
    <col min="17" max="17" width="18" customWidth="1"/>
    <col min="18" max="21" width="55" customWidth="1"/>
    <col min="22" max="22" width="65" customWidth="1"/>
    <col min="23" max="23" width="22" customWidth="1"/>
    <col min="24" max="24" width="65" customWidth="1"/>
  </cols>
  <sheetData>
    <row r="1" spans="1:24" ht="24" customHeight="1" x14ac:dyDescent="0.2">
      <c r="A1" s="18" t="s">
        <v>0</v>
      </c>
      <c r="B1" s="16"/>
      <c r="C1" s="16"/>
      <c r="D1" s="16"/>
      <c r="E1" s="16"/>
      <c r="F1" s="16"/>
      <c r="G1" s="17" t="s">
        <v>1</v>
      </c>
      <c r="H1" s="16"/>
      <c r="I1" s="16"/>
      <c r="J1" s="16"/>
      <c r="K1" s="16"/>
      <c r="L1" s="16"/>
      <c r="M1" s="16"/>
      <c r="N1" s="19" t="s">
        <v>2</v>
      </c>
      <c r="O1" s="16"/>
      <c r="P1" s="16"/>
      <c r="Q1" s="16"/>
      <c r="R1" s="1" t="s">
        <v>3</v>
      </c>
      <c r="S1" s="15" t="s">
        <v>4</v>
      </c>
      <c r="T1" s="16"/>
      <c r="U1" s="16"/>
      <c r="V1" s="16"/>
      <c r="W1" s="16"/>
      <c r="X1" s="16"/>
    </row>
    <row r="2" spans="1:24" ht="46" customHeight="1" x14ac:dyDescent="0.2">
      <c r="A2" s="2" t="s">
        <v>5</v>
      </c>
      <c r="B2" s="2" t="s">
        <v>6</v>
      </c>
      <c r="C2" s="2" t="s">
        <v>7</v>
      </c>
      <c r="D2" s="2" t="s">
        <v>8</v>
      </c>
      <c r="E2" s="2" t="s">
        <v>9</v>
      </c>
      <c r="F2" s="2" t="s">
        <v>10</v>
      </c>
      <c r="G2" s="3" t="s">
        <v>11</v>
      </c>
      <c r="H2" s="3" t="s">
        <v>12</v>
      </c>
      <c r="I2" s="3" t="s">
        <v>13</v>
      </c>
      <c r="J2" s="3" t="s">
        <v>14</v>
      </c>
      <c r="K2" s="3" t="s">
        <v>15</v>
      </c>
      <c r="L2" s="3" t="s">
        <v>16</v>
      </c>
      <c r="M2" s="3" t="s">
        <v>17</v>
      </c>
      <c r="N2" s="4" t="s">
        <v>18</v>
      </c>
      <c r="O2" s="4" t="s">
        <v>19</v>
      </c>
      <c r="P2" s="4" t="s">
        <v>20</v>
      </c>
      <c r="Q2" s="4" t="s">
        <v>21</v>
      </c>
      <c r="R2" s="5" t="s">
        <v>22</v>
      </c>
      <c r="S2" s="6" t="s">
        <v>23</v>
      </c>
      <c r="T2" s="6" t="s">
        <v>24</v>
      </c>
      <c r="U2" s="6" t="s">
        <v>25</v>
      </c>
      <c r="V2" s="6" t="s">
        <v>26</v>
      </c>
      <c r="W2" s="6" t="s">
        <v>27</v>
      </c>
      <c r="X2" s="6" t="s">
        <v>28</v>
      </c>
    </row>
    <row r="3" spans="1:24" ht="135" customHeight="1" x14ac:dyDescent="0.2">
      <c r="A3" s="7">
        <v>17</v>
      </c>
      <c r="B3" s="8" t="s">
        <v>29</v>
      </c>
      <c r="C3" s="8" t="s">
        <v>30</v>
      </c>
      <c r="D3" s="9">
        <v>45957</v>
      </c>
      <c r="E3" s="9">
        <v>45972</v>
      </c>
      <c r="F3" s="7">
        <f t="shared" ref="F3:F32" si="0">IF(E3="","",E3-D3)</f>
        <v>15</v>
      </c>
      <c r="G3" s="10"/>
      <c r="H3" s="8"/>
      <c r="I3" s="10">
        <v>1</v>
      </c>
      <c r="J3" s="10">
        <v>1</v>
      </c>
      <c r="K3" s="10"/>
      <c r="L3" s="10"/>
      <c r="M3" s="10"/>
      <c r="N3" s="10">
        <v>5.9</v>
      </c>
      <c r="O3" s="8" t="s">
        <v>31</v>
      </c>
      <c r="P3" s="8" t="s">
        <v>32</v>
      </c>
      <c r="Q3" s="10"/>
      <c r="R3" s="8" t="s">
        <v>33</v>
      </c>
      <c r="S3" s="8" t="s">
        <v>34</v>
      </c>
      <c r="T3" s="8" t="s">
        <v>35</v>
      </c>
      <c r="U3" s="8" t="s">
        <v>36</v>
      </c>
      <c r="V3" s="8" t="s">
        <v>37</v>
      </c>
      <c r="W3" s="8"/>
      <c r="X3" s="8" t="s">
        <v>38</v>
      </c>
    </row>
    <row r="4" spans="1:24" ht="135" customHeight="1" x14ac:dyDescent="0.2">
      <c r="A4" s="11">
        <v>17</v>
      </c>
      <c r="B4" s="12" t="s">
        <v>29</v>
      </c>
      <c r="C4" s="12" t="s">
        <v>39</v>
      </c>
      <c r="D4" s="13">
        <v>46138</v>
      </c>
      <c r="E4" s="13">
        <v>46182</v>
      </c>
      <c r="F4" s="11">
        <f t="shared" si="0"/>
        <v>44</v>
      </c>
      <c r="G4" s="14">
        <v>2.09</v>
      </c>
      <c r="H4" s="12" t="s">
        <v>40</v>
      </c>
      <c r="I4" s="14">
        <v>0</v>
      </c>
      <c r="J4" s="14">
        <v>0</v>
      </c>
      <c r="K4" s="14"/>
      <c r="L4" s="14"/>
      <c r="M4" s="14"/>
      <c r="N4" s="14">
        <v>8.3000000000000007</v>
      </c>
      <c r="O4" s="12" t="s">
        <v>31</v>
      </c>
      <c r="P4" s="12" t="s">
        <v>32</v>
      </c>
      <c r="Q4" s="14"/>
      <c r="R4" s="12" t="s">
        <v>41</v>
      </c>
      <c r="S4" s="12" t="s">
        <v>42</v>
      </c>
      <c r="T4" s="12" t="s">
        <v>43</v>
      </c>
      <c r="U4" s="12"/>
      <c r="V4" s="12" t="s">
        <v>44</v>
      </c>
      <c r="W4" s="12" t="s">
        <v>45</v>
      </c>
      <c r="X4" s="12" t="s">
        <v>46</v>
      </c>
    </row>
    <row r="5" spans="1:24" ht="210" customHeight="1" x14ac:dyDescent="0.2">
      <c r="A5" s="7">
        <v>18</v>
      </c>
      <c r="B5" s="8" t="s">
        <v>29</v>
      </c>
      <c r="C5" s="8" t="s">
        <v>30</v>
      </c>
      <c r="D5" s="9">
        <v>45313</v>
      </c>
      <c r="E5" s="9">
        <v>45321</v>
      </c>
      <c r="F5" s="7">
        <f t="shared" si="0"/>
        <v>8</v>
      </c>
      <c r="G5" s="10">
        <v>4.4000000000000004</v>
      </c>
      <c r="H5" s="8" t="s">
        <v>47</v>
      </c>
      <c r="I5" s="10">
        <v>6</v>
      </c>
      <c r="J5" s="10">
        <v>4</v>
      </c>
      <c r="K5" s="10"/>
      <c r="L5" s="10"/>
      <c r="M5" s="10"/>
      <c r="N5" s="10">
        <v>13</v>
      </c>
      <c r="O5" s="8" t="s">
        <v>31</v>
      </c>
      <c r="P5" s="8" t="s">
        <v>32</v>
      </c>
      <c r="Q5" s="10"/>
      <c r="R5" s="8" t="s">
        <v>48</v>
      </c>
      <c r="S5" s="8" t="s">
        <v>49</v>
      </c>
      <c r="T5" s="8" t="s">
        <v>50</v>
      </c>
      <c r="U5" s="8"/>
      <c r="V5" s="8" t="s">
        <v>51</v>
      </c>
      <c r="W5" s="8"/>
      <c r="X5" s="8" t="s">
        <v>52</v>
      </c>
    </row>
    <row r="6" spans="1:24" ht="105" customHeight="1" x14ac:dyDescent="0.2">
      <c r="A6" s="11">
        <v>18</v>
      </c>
      <c r="B6" s="12" t="s">
        <v>29</v>
      </c>
      <c r="C6" s="12" t="s">
        <v>39</v>
      </c>
      <c r="D6" s="13">
        <v>45429</v>
      </c>
      <c r="E6" s="13">
        <v>45386</v>
      </c>
      <c r="F6" s="11">
        <f t="shared" si="0"/>
        <v>-43</v>
      </c>
      <c r="G6" s="14">
        <v>2.84</v>
      </c>
      <c r="H6" s="12" t="s">
        <v>40</v>
      </c>
      <c r="I6" s="14">
        <v>0</v>
      </c>
      <c r="J6" s="14">
        <v>0</v>
      </c>
      <c r="K6" s="14"/>
      <c r="L6" s="14"/>
      <c r="M6" s="14"/>
      <c r="N6" s="14">
        <v>5.4</v>
      </c>
      <c r="O6" s="12" t="s">
        <v>53</v>
      </c>
      <c r="P6" s="12" t="s">
        <v>32</v>
      </c>
      <c r="Q6" s="14"/>
      <c r="R6" s="12"/>
      <c r="S6" s="12" t="s">
        <v>54</v>
      </c>
      <c r="T6" s="12" t="s">
        <v>55</v>
      </c>
      <c r="U6" s="12" t="s">
        <v>56</v>
      </c>
      <c r="V6" s="12" t="s">
        <v>57</v>
      </c>
      <c r="W6" s="12" t="s">
        <v>45</v>
      </c>
      <c r="X6" s="12" t="s">
        <v>58</v>
      </c>
    </row>
    <row r="7" spans="1:24" ht="135" customHeight="1" x14ac:dyDescent="0.2">
      <c r="A7" s="7">
        <v>19</v>
      </c>
      <c r="B7" s="8" t="s">
        <v>29</v>
      </c>
      <c r="C7" s="8" t="s">
        <v>30</v>
      </c>
      <c r="D7" s="9">
        <v>45212</v>
      </c>
      <c r="E7" s="9">
        <v>45139</v>
      </c>
      <c r="F7" s="7">
        <f t="shared" si="0"/>
        <v>-73</v>
      </c>
      <c r="G7" s="10">
        <v>3.7</v>
      </c>
      <c r="H7" s="8" t="s">
        <v>47</v>
      </c>
      <c r="I7" s="10">
        <v>8</v>
      </c>
      <c r="J7" s="10">
        <v>1</v>
      </c>
      <c r="K7" s="10"/>
      <c r="L7" s="10"/>
      <c r="M7" s="10"/>
      <c r="N7" s="10">
        <v>7.9</v>
      </c>
      <c r="O7" s="8" t="s">
        <v>31</v>
      </c>
      <c r="P7" s="8" t="s">
        <v>32</v>
      </c>
      <c r="Q7" s="10">
        <v>8</v>
      </c>
      <c r="R7" s="8" t="s">
        <v>59</v>
      </c>
      <c r="S7" s="8" t="s">
        <v>60</v>
      </c>
      <c r="T7" s="8" t="s">
        <v>61</v>
      </c>
      <c r="U7" s="8"/>
      <c r="V7" s="8" t="s">
        <v>62</v>
      </c>
      <c r="W7" s="8"/>
      <c r="X7" s="8" t="s">
        <v>63</v>
      </c>
    </row>
    <row r="8" spans="1:24" ht="90" customHeight="1" x14ac:dyDescent="0.2">
      <c r="A8" s="11">
        <v>19</v>
      </c>
      <c r="B8" s="12" t="s">
        <v>29</v>
      </c>
      <c r="C8" s="12" t="s">
        <v>39</v>
      </c>
      <c r="D8" s="13">
        <v>45600</v>
      </c>
      <c r="E8" s="13">
        <v>45713</v>
      </c>
      <c r="F8" s="11">
        <f t="shared" si="0"/>
        <v>113</v>
      </c>
      <c r="G8" s="14"/>
      <c r="H8" s="12"/>
      <c r="I8" s="14"/>
      <c r="J8" s="14"/>
      <c r="K8" s="14"/>
      <c r="L8" s="14"/>
      <c r="M8" s="14"/>
      <c r="N8" s="14">
        <v>12.4</v>
      </c>
      <c r="O8" s="12" t="s">
        <v>31</v>
      </c>
      <c r="P8" s="12" t="s">
        <v>32</v>
      </c>
      <c r="Q8" s="14"/>
      <c r="R8" s="12" t="s">
        <v>64</v>
      </c>
      <c r="S8" s="12" t="s">
        <v>65</v>
      </c>
      <c r="T8" s="12" t="s">
        <v>66</v>
      </c>
      <c r="U8" s="12" t="s">
        <v>67</v>
      </c>
      <c r="V8" s="12" t="s">
        <v>68</v>
      </c>
      <c r="W8" s="12" t="s">
        <v>199</v>
      </c>
      <c r="X8" s="12" t="s">
        <v>69</v>
      </c>
    </row>
    <row r="9" spans="1:24" ht="225" customHeight="1" x14ac:dyDescent="0.2">
      <c r="A9" s="7">
        <v>20</v>
      </c>
      <c r="B9" s="8" t="s">
        <v>29</v>
      </c>
      <c r="C9" s="8" t="s">
        <v>30</v>
      </c>
      <c r="D9" s="9">
        <v>45173</v>
      </c>
      <c r="E9" s="9">
        <v>45173</v>
      </c>
      <c r="F9" s="7">
        <f t="shared" si="0"/>
        <v>0</v>
      </c>
      <c r="G9" s="10"/>
      <c r="H9" s="8"/>
      <c r="I9" s="10"/>
      <c r="J9" s="10">
        <v>2</v>
      </c>
      <c r="K9" s="10"/>
      <c r="L9" s="10"/>
      <c r="M9" s="10"/>
      <c r="N9" s="10">
        <v>0.5</v>
      </c>
      <c r="O9" s="8" t="s">
        <v>31</v>
      </c>
      <c r="P9" s="8" t="s">
        <v>32</v>
      </c>
      <c r="Q9" s="10"/>
      <c r="R9" s="8" t="s">
        <v>70</v>
      </c>
      <c r="S9" s="8" t="s">
        <v>71</v>
      </c>
      <c r="T9" s="8" t="s">
        <v>72</v>
      </c>
      <c r="U9" s="8" t="s">
        <v>73</v>
      </c>
      <c r="V9" s="8" t="s">
        <v>74</v>
      </c>
      <c r="W9" s="8"/>
      <c r="X9" s="8" t="s">
        <v>75</v>
      </c>
    </row>
    <row r="10" spans="1:24" ht="195" customHeight="1" x14ac:dyDescent="0.2">
      <c r="A10" s="11">
        <v>20</v>
      </c>
      <c r="B10" s="12" t="s">
        <v>29</v>
      </c>
      <c r="C10" s="12" t="s">
        <v>39</v>
      </c>
      <c r="D10" s="13">
        <v>45341</v>
      </c>
      <c r="E10" s="13">
        <v>45365</v>
      </c>
      <c r="F10" s="11">
        <f t="shared" si="0"/>
        <v>24</v>
      </c>
      <c r="G10" s="14"/>
      <c r="H10" s="12"/>
      <c r="I10" s="14">
        <v>3</v>
      </c>
      <c r="J10" s="14">
        <v>0</v>
      </c>
      <c r="K10" s="14"/>
      <c r="L10" s="14"/>
      <c r="M10" s="14"/>
      <c r="N10" s="14">
        <v>6</v>
      </c>
      <c r="O10" s="12" t="s">
        <v>31</v>
      </c>
      <c r="P10" s="12" t="s">
        <v>32</v>
      </c>
      <c r="Q10" s="14">
        <v>16</v>
      </c>
      <c r="R10" s="12" t="s">
        <v>76</v>
      </c>
      <c r="S10" s="12" t="s">
        <v>77</v>
      </c>
      <c r="T10" s="12" t="s">
        <v>78</v>
      </c>
      <c r="U10" s="12" t="s">
        <v>79</v>
      </c>
      <c r="V10" s="12" t="s">
        <v>80</v>
      </c>
      <c r="W10" s="12" t="s">
        <v>92</v>
      </c>
      <c r="X10" s="12" t="s">
        <v>81</v>
      </c>
    </row>
    <row r="11" spans="1:24" ht="135" customHeight="1" x14ac:dyDescent="0.2">
      <c r="A11" s="7">
        <v>21</v>
      </c>
      <c r="B11" s="8" t="s">
        <v>29</v>
      </c>
      <c r="C11" s="8" t="s">
        <v>30</v>
      </c>
      <c r="D11" s="9">
        <v>45149</v>
      </c>
      <c r="E11" s="9">
        <v>45161</v>
      </c>
      <c r="F11" s="7">
        <f t="shared" si="0"/>
        <v>12</v>
      </c>
      <c r="G11" s="10"/>
      <c r="H11" s="8"/>
      <c r="I11" s="10"/>
      <c r="J11" s="10"/>
      <c r="K11" s="10"/>
      <c r="L11" s="10"/>
      <c r="M11" s="10"/>
      <c r="N11" s="10">
        <v>5.2</v>
      </c>
      <c r="O11" s="8" t="s">
        <v>53</v>
      </c>
      <c r="P11" s="8" t="s">
        <v>32</v>
      </c>
      <c r="Q11" s="10">
        <v>1</v>
      </c>
      <c r="R11" s="8" t="s">
        <v>82</v>
      </c>
      <c r="S11" s="8" t="s">
        <v>83</v>
      </c>
      <c r="T11" s="8" t="s">
        <v>84</v>
      </c>
      <c r="U11" s="8" t="s">
        <v>85</v>
      </c>
      <c r="V11" s="8" t="s">
        <v>86</v>
      </c>
      <c r="W11" s="8"/>
      <c r="X11" s="8" t="s">
        <v>87</v>
      </c>
    </row>
    <row r="12" spans="1:24" ht="135" customHeight="1" x14ac:dyDescent="0.2">
      <c r="A12" s="11">
        <v>21</v>
      </c>
      <c r="B12" s="12" t="s">
        <v>29</v>
      </c>
      <c r="C12" s="12" t="s">
        <v>39</v>
      </c>
      <c r="D12" s="13">
        <v>45457</v>
      </c>
      <c r="E12" s="13">
        <v>45470</v>
      </c>
      <c r="F12" s="11">
        <f t="shared" si="0"/>
        <v>13</v>
      </c>
      <c r="G12" s="14"/>
      <c r="H12" s="12"/>
      <c r="I12" s="14">
        <v>12</v>
      </c>
      <c r="J12" s="14">
        <v>1</v>
      </c>
      <c r="K12" s="14"/>
      <c r="L12" s="14"/>
      <c r="M12" s="14"/>
      <c r="N12" s="14">
        <v>5.4</v>
      </c>
      <c r="O12" s="12" t="s">
        <v>53</v>
      </c>
      <c r="P12" s="12" t="s">
        <v>32</v>
      </c>
      <c r="Q12" s="14"/>
      <c r="R12" s="12" t="s">
        <v>88</v>
      </c>
      <c r="S12" s="12" t="s">
        <v>89</v>
      </c>
      <c r="T12" s="12" t="s">
        <v>90</v>
      </c>
      <c r="U12" s="12"/>
      <c r="V12" s="12" t="s">
        <v>91</v>
      </c>
      <c r="W12" s="12" t="s">
        <v>92</v>
      </c>
      <c r="X12" s="12" t="s">
        <v>93</v>
      </c>
    </row>
    <row r="13" spans="1:24" ht="225" customHeight="1" x14ac:dyDescent="0.2">
      <c r="A13" s="7">
        <v>22</v>
      </c>
      <c r="B13" s="8" t="s">
        <v>29</v>
      </c>
      <c r="C13" s="8" t="s">
        <v>30</v>
      </c>
      <c r="D13" s="9">
        <v>45103</v>
      </c>
      <c r="E13" s="9">
        <v>45103</v>
      </c>
      <c r="F13" s="7">
        <f t="shared" si="0"/>
        <v>0</v>
      </c>
      <c r="G13" s="10"/>
      <c r="H13" s="8"/>
      <c r="I13" s="10"/>
      <c r="J13" s="10"/>
      <c r="K13" s="10"/>
      <c r="L13" s="10"/>
      <c r="M13" s="10"/>
      <c r="N13" s="10">
        <v>24.7</v>
      </c>
      <c r="O13" s="8" t="s">
        <v>31</v>
      </c>
      <c r="P13" s="8" t="s">
        <v>32</v>
      </c>
      <c r="Q13" s="10"/>
      <c r="R13" s="8" t="s">
        <v>94</v>
      </c>
      <c r="S13" s="8" t="s">
        <v>95</v>
      </c>
      <c r="T13" s="8" t="s">
        <v>96</v>
      </c>
      <c r="U13" s="8" t="s">
        <v>97</v>
      </c>
      <c r="V13" s="8" t="s">
        <v>98</v>
      </c>
      <c r="W13" s="8"/>
      <c r="X13" s="8" t="s">
        <v>99</v>
      </c>
    </row>
    <row r="14" spans="1:24" ht="150" customHeight="1" x14ac:dyDescent="0.2">
      <c r="A14" s="11">
        <v>22</v>
      </c>
      <c r="B14" s="12" t="s">
        <v>29</v>
      </c>
      <c r="C14" s="12" t="s">
        <v>39</v>
      </c>
      <c r="D14" s="13">
        <v>45215</v>
      </c>
      <c r="E14" s="13">
        <v>45230</v>
      </c>
      <c r="F14" s="11">
        <f t="shared" si="0"/>
        <v>15</v>
      </c>
      <c r="G14" s="14"/>
      <c r="H14" s="12"/>
      <c r="I14" s="14">
        <v>4</v>
      </c>
      <c r="J14" s="14">
        <v>6</v>
      </c>
      <c r="K14" s="14"/>
      <c r="L14" s="14"/>
      <c r="M14" s="14"/>
      <c r="N14" s="14">
        <v>11.5</v>
      </c>
      <c r="O14" s="12" t="s">
        <v>31</v>
      </c>
      <c r="P14" s="12" t="s">
        <v>32</v>
      </c>
      <c r="Q14" s="14"/>
      <c r="R14" s="12" t="s">
        <v>100</v>
      </c>
      <c r="S14" s="12"/>
      <c r="T14" s="12" t="s">
        <v>101</v>
      </c>
      <c r="U14" s="12"/>
      <c r="V14" s="12" t="s">
        <v>102</v>
      </c>
      <c r="W14" s="12" t="s">
        <v>92</v>
      </c>
      <c r="X14" s="12" t="s">
        <v>103</v>
      </c>
    </row>
    <row r="15" spans="1:24" ht="105" customHeight="1" x14ac:dyDescent="0.2">
      <c r="A15" s="7">
        <v>23</v>
      </c>
      <c r="B15" s="8" t="s">
        <v>29</v>
      </c>
      <c r="C15" s="8" t="s">
        <v>30</v>
      </c>
      <c r="D15" s="9">
        <v>45096</v>
      </c>
      <c r="E15" s="9">
        <v>45096</v>
      </c>
      <c r="F15" s="7">
        <f t="shared" si="0"/>
        <v>0</v>
      </c>
      <c r="G15" s="10"/>
      <c r="H15" s="8"/>
      <c r="I15" s="10"/>
      <c r="J15" s="10"/>
      <c r="K15" s="10"/>
      <c r="L15" s="10"/>
      <c r="M15" s="10"/>
      <c r="N15" s="10">
        <v>13.2</v>
      </c>
      <c r="O15" s="8" t="s">
        <v>31</v>
      </c>
      <c r="P15" s="8" t="s">
        <v>32</v>
      </c>
      <c r="Q15" s="10"/>
      <c r="R15" s="8" t="s">
        <v>104</v>
      </c>
      <c r="S15" s="8" t="s">
        <v>105</v>
      </c>
      <c r="T15" s="8" t="s">
        <v>106</v>
      </c>
      <c r="U15" s="8" t="s">
        <v>107</v>
      </c>
      <c r="V15" s="8" t="s">
        <v>108</v>
      </c>
      <c r="W15" s="8"/>
      <c r="X15" s="8" t="s">
        <v>109</v>
      </c>
    </row>
    <row r="16" spans="1:24" ht="240" customHeight="1" x14ac:dyDescent="0.2">
      <c r="A16" s="11">
        <v>23</v>
      </c>
      <c r="B16" s="12" t="s">
        <v>29</v>
      </c>
      <c r="C16" s="12" t="s">
        <v>39</v>
      </c>
      <c r="D16" s="13">
        <v>45201</v>
      </c>
      <c r="E16" s="13">
        <v>45309</v>
      </c>
      <c r="F16" s="11">
        <f t="shared" si="0"/>
        <v>108</v>
      </c>
      <c r="G16" s="14"/>
      <c r="H16" s="12"/>
      <c r="I16" s="14">
        <v>0</v>
      </c>
      <c r="J16" s="14">
        <v>0</v>
      </c>
      <c r="K16" s="14"/>
      <c r="L16" s="14"/>
      <c r="M16" s="14"/>
      <c r="N16" s="14">
        <v>5.9</v>
      </c>
      <c r="O16" s="12" t="s">
        <v>31</v>
      </c>
      <c r="P16" s="12" t="s">
        <v>32</v>
      </c>
      <c r="Q16" s="14"/>
      <c r="R16" s="12" t="s">
        <v>110</v>
      </c>
      <c r="S16" s="12" t="s">
        <v>111</v>
      </c>
      <c r="T16" s="12" t="s">
        <v>112</v>
      </c>
      <c r="U16" s="12" t="s">
        <v>113</v>
      </c>
      <c r="V16" s="12" t="s">
        <v>114</v>
      </c>
      <c r="W16" s="12" t="s">
        <v>45</v>
      </c>
      <c r="X16" s="12" t="s">
        <v>115</v>
      </c>
    </row>
    <row r="17" spans="1:24" ht="120" customHeight="1" x14ac:dyDescent="0.2">
      <c r="A17" s="7">
        <v>24</v>
      </c>
      <c r="B17" s="8" t="s">
        <v>29</v>
      </c>
      <c r="C17" s="8" t="s">
        <v>30</v>
      </c>
      <c r="D17" s="9">
        <v>45033</v>
      </c>
      <c r="E17" s="9">
        <v>45040</v>
      </c>
      <c r="F17" s="7">
        <f t="shared" si="0"/>
        <v>7</v>
      </c>
      <c r="G17" s="10"/>
      <c r="H17" s="8"/>
      <c r="I17" s="10"/>
      <c r="J17" s="10"/>
      <c r="K17" s="10"/>
      <c r="L17" s="10"/>
      <c r="M17" s="10"/>
      <c r="N17" s="10">
        <v>3.6</v>
      </c>
      <c r="O17" s="8" t="s">
        <v>31</v>
      </c>
      <c r="P17" s="8" t="s">
        <v>32</v>
      </c>
      <c r="Q17" s="10"/>
      <c r="R17" s="8" t="s">
        <v>116</v>
      </c>
      <c r="S17" s="8" t="s">
        <v>117</v>
      </c>
      <c r="T17" s="8" t="s">
        <v>118</v>
      </c>
      <c r="U17" s="8" t="s">
        <v>119</v>
      </c>
      <c r="V17" s="8" t="s">
        <v>120</v>
      </c>
      <c r="W17" s="8"/>
      <c r="X17" s="8" t="s">
        <v>121</v>
      </c>
    </row>
    <row r="18" spans="1:24" ht="240" customHeight="1" x14ac:dyDescent="0.2">
      <c r="A18" s="11">
        <v>24</v>
      </c>
      <c r="B18" s="12" t="s">
        <v>29</v>
      </c>
      <c r="C18" s="12" t="s">
        <v>39</v>
      </c>
      <c r="D18" s="13">
        <v>45114</v>
      </c>
      <c r="E18" s="13">
        <v>45124</v>
      </c>
      <c r="F18" s="11">
        <f t="shared" si="0"/>
        <v>10</v>
      </c>
      <c r="G18" s="14"/>
      <c r="H18" s="12"/>
      <c r="I18" s="14"/>
      <c r="J18" s="14"/>
      <c r="K18" s="14"/>
      <c r="L18" s="14"/>
      <c r="M18" s="14"/>
      <c r="N18" s="14">
        <v>7.1</v>
      </c>
      <c r="O18" s="12" t="s">
        <v>31</v>
      </c>
      <c r="P18" s="12" t="s">
        <v>32</v>
      </c>
      <c r="Q18" s="14"/>
      <c r="R18" s="12" t="s">
        <v>122</v>
      </c>
      <c r="S18" s="12" t="s">
        <v>123</v>
      </c>
      <c r="T18" s="12" t="s">
        <v>124</v>
      </c>
      <c r="U18" s="12" t="s">
        <v>125</v>
      </c>
      <c r="V18" s="12" t="s">
        <v>126</v>
      </c>
      <c r="W18" s="12" t="s">
        <v>45</v>
      </c>
      <c r="X18" s="12" t="s">
        <v>127</v>
      </c>
    </row>
    <row r="19" spans="1:24" ht="135" customHeight="1" x14ac:dyDescent="0.2">
      <c r="A19" s="7">
        <v>25</v>
      </c>
      <c r="B19" s="8" t="s">
        <v>29</v>
      </c>
      <c r="C19" s="8" t="s">
        <v>30</v>
      </c>
      <c r="D19" s="9">
        <v>44711</v>
      </c>
      <c r="E19" s="9">
        <v>44739</v>
      </c>
      <c r="F19" s="7">
        <f t="shared" si="0"/>
        <v>28</v>
      </c>
      <c r="G19" s="10">
        <v>3.26</v>
      </c>
      <c r="H19" s="8" t="s">
        <v>40</v>
      </c>
      <c r="I19" s="10"/>
      <c r="J19" s="10"/>
      <c r="K19" s="10"/>
      <c r="L19" s="10"/>
      <c r="M19" s="10"/>
      <c r="N19" s="10">
        <v>5.2</v>
      </c>
      <c r="O19" s="8" t="s">
        <v>53</v>
      </c>
      <c r="P19" s="8" t="s">
        <v>32</v>
      </c>
      <c r="Q19" s="10"/>
      <c r="R19" s="8" t="s">
        <v>128</v>
      </c>
      <c r="S19" s="8" t="s">
        <v>129</v>
      </c>
      <c r="T19" s="8" t="s">
        <v>130</v>
      </c>
      <c r="U19" s="8"/>
      <c r="V19" s="8" t="s">
        <v>131</v>
      </c>
      <c r="W19" s="8"/>
      <c r="X19" s="8" t="s">
        <v>132</v>
      </c>
    </row>
    <row r="20" spans="1:24" ht="60" customHeight="1" x14ac:dyDescent="0.2">
      <c r="A20" s="11">
        <v>25</v>
      </c>
      <c r="B20" s="12" t="s">
        <v>29</v>
      </c>
      <c r="C20" s="12" t="s">
        <v>39</v>
      </c>
      <c r="D20" s="13">
        <v>44876</v>
      </c>
      <c r="E20" s="13">
        <v>44876</v>
      </c>
      <c r="F20" s="11">
        <f t="shared" si="0"/>
        <v>0</v>
      </c>
      <c r="G20" s="14">
        <v>0.49</v>
      </c>
      <c r="H20" s="12" t="s">
        <v>133</v>
      </c>
      <c r="I20" s="14"/>
      <c r="J20" s="14"/>
      <c r="K20" s="14"/>
      <c r="L20" s="14"/>
      <c r="M20" s="14"/>
      <c r="N20" s="14">
        <v>13.9</v>
      </c>
      <c r="O20" s="12" t="s">
        <v>31</v>
      </c>
      <c r="P20" s="12" t="s">
        <v>32</v>
      </c>
      <c r="Q20" s="14"/>
      <c r="R20" s="12" t="s">
        <v>134</v>
      </c>
      <c r="S20" s="12" t="s">
        <v>135</v>
      </c>
      <c r="T20" s="12" t="s">
        <v>136</v>
      </c>
      <c r="U20" s="12"/>
      <c r="V20" s="12" t="s">
        <v>137</v>
      </c>
      <c r="W20" s="12" t="s">
        <v>45</v>
      </c>
      <c r="X20" s="12" t="s">
        <v>138</v>
      </c>
    </row>
    <row r="21" spans="1:24" ht="120" customHeight="1" x14ac:dyDescent="0.2">
      <c r="A21" s="7">
        <v>26</v>
      </c>
      <c r="B21" s="8" t="s">
        <v>29</v>
      </c>
      <c r="C21" s="8" t="s">
        <v>30</v>
      </c>
      <c r="D21" s="9">
        <v>44393</v>
      </c>
      <c r="E21" s="9">
        <v>44399</v>
      </c>
      <c r="F21" s="7">
        <f t="shared" si="0"/>
        <v>6</v>
      </c>
      <c r="G21" s="10">
        <v>3.58</v>
      </c>
      <c r="H21" s="8" t="s">
        <v>40</v>
      </c>
      <c r="I21" s="10">
        <v>10</v>
      </c>
      <c r="J21" s="10"/>
      <c r="K21" s="10"/>
      <c r="L21" s="10"/>
      <c r="M21" s="10"/>
      <c r="N21" s="10">
        <v>9.6999999999999993</v>
      </c>
      <c r="O21" s="8" t="s">
        <v>31</v>
      </c>
      <c r="P21" s="8" t="s">
        <v>32</v>
      </c>
      <c r="Q21" s="10"/>
      <c r="R21" s="8" t="s">
        <v>139</v>
      </c>
      <c r="S21" s="8" t="s">
        <v>140</v>
      </c>
      <c r="T21" s="8" t="s">
        <v>141</v>
      </c>
      <c r="U21" s="8" t="s">
        <v>142</v>
      </c>
      <c r="V21" s="8" t="s">
        <v>143</v>
      </c>
      <c r="W21" s="8"/>
      <c r="X21" s="8" t="s">
        <v>144</v>
      </c>
    </row>
    <row r="22" spans="1:24" ht="120" customHeight="1" x14ac:dyDescent="0.2">
      <c r="A22" s="11">
        <v>26</v>
      </c>
      <c r="B22" s="12" t="s">
        <v>29</v>
      </c>
      <c r="C22" s="12" t="s">
        <v>39</v>
      </c>
      <c r="D22" s="13">
        <v>44494</v>
      </c>
      <c r="E22" s="13">
        <v>44502</v>
      </c>
      <c r="F22" s="11">
        <f t="shared" si="0"/>
        <v>8</v>
      </c>
      <c r="G22" s="14">
        <v>2.4</v>
      </c>
      <c r="H22" s="12" t="s">
        <v>47</v>
      </c>
      <c r="I22" s="14">
        <v>1</v>
      </c>
      <c r="J22" s="14"/>
      <c r="K22" s="14"/>
      <c r="L22" s="14"/>
      <c r="M22" s="14"/>
      <c r="N22" s="14">
        <v>5.0999999999999996</v>
      </c>
      <c r="O22" s="12" t="s">
        <v>53</v>
      </c>
      <c r="P22" s="12" t="s">
        <v>32</v>
      </c>
      <c r="Q22" s="14">
        <v>7</v>
      </c>
      <c r="R22" s="12" t="s">
        <v>145</v>
      </c>
      <c r="S22" s="12" t="s">
        <v>146</v>
      </c>
      <c r="T22" s="12" t="s">
        <v>147</v>
      </c>
      <c r="U22" s="12"/>
      <c r="V22" s="12" t="s">
        <v>148</v>
      </c>
      <c r="W22" s="12" t="s">
        <v>45</v>
      </c>
      <c r="X22" s="12" t="s">
        <v>149</v>
      </c>
    </row>
    <row r="23" spans="1:24" ht="165" customHeight="1" x14ac:dyDescent="0.2">
      <c r="A23" s="7">
        <v>27</v>
      </c>
      <c r="B23" s="8" t="s">
        <v>29</v>
      </c>
      <c r="C23" s="8" t="s">
        <v>30</v>
      </c>
      <c r="D23" s="9">
        <v>44316</v>
      </c>
      <c r="E23" s="9">
        <v>44284</v>
      </c>
      <c r="F23" s="7">
        <f t="shared" si="0"/>
        <v>-32</v>
      </c>
      <c r="G23" s="10">
        <v>3.07</v>
      </c>
      <c r="H23" s="8" t="s">
        <v>47</v>
      </c>
      <c r="I23" s="10"/>
      <c r="J23" s="10"/>
      <c r="K23" s="10"/>
      <c r="L23" s="10"/>
      <c r="M23" s="10"/>
      <c r="N23" s="10">
        <v>6.2</v>
      </c>
      <c r="O23" s="8" t="s">
        <v>31</v>
      </c>
      <c r="P23" s="8" t="s">
        <v>32</v>
      </c>
      <c r="Q23" s="10"/>
      <c r="R23" s="8" t="s">
        <v>150</v>
      </c>
      <c r="S23" s="8" t="s">
        <v>151</v>
      </c>
      <c r="T23" s="8"/>
      <c r="U23" s="8"/>
      <c r="V23" s="8" t="s">
        <v>152</v>
      </c>
      <c r="W23" s="8"/>
      <c r="X23" s="8" t="s">
        <v>153</v>
      </c>
    </row>
    <row r="24" spans="1:24" ht="165" customHeight="1" x14ac:dyDescent="0.2">
      <c r="A24" s="11">
        <v>27</v>
      </c>
      <c r="B24" s="12" t="s">
        <v>29</v>
      </c>
      <c r="C24" s="12" t="s">
        <v>39</v>
      </c>
      <c r="D24" s="13">
        <v>44452</v>
      </c>
      <c r="E24" s="13">
        <v>44655</v>
      </c>
      <c r="F24" s="11">
        <f t="shared" si="0"/>
        <v>203</v>
      </c>
      <c r="G24" s="14">
        <v>4.3</v>
      </c>
      <c r="H24" s="12" t="s">
        <v>47</v>
      </c>
      <c r="I24" s="14">
        <v>6</v>
      </c>
      <c r="J24" s="14">
        <v>2</v>
      </c>
      <c r="K24" s="14"/>
      <c r="L24" s="14"/>
      <c r="M24" s="14"/>
      <c r="N24" s="14">
        <v>12.6</v>
      </c>
      <c r="O24" s="12" t="s">
        <v>31</v>
      </c>
      <c r="P24" s="12" t="s">
        <v>32</v>
      </c>
      <c r="Q24" s="14">
        <v>24</v>
      </c>
      <c r="R24" s="12" t="s">
        <v>154</v>
      </c>
      <c r="S24" s="12" t="s">
        <v>155</v>
      </c>
      <c r="T24" s="12" t="s">
        <v>156</v>
      </c>
      <c r="U24" s="12" t="s">
        <v>157</v>
      </c>
      <c r="V24" s="12" t="s">
        <v>158</v>
      </c>
      <c r="W24" s="12" t="s">
        <v>45</v>
      </c>
      <c r="X24" s="12" t="s">
        <v>159</v>
      </c>
    </row>
    <row r="25" spans="1:24" ht="60" customHeight="1" x14ac:dyDescent="0.2">
      <c r="A25" s="7">
        <v>28</v>
      </c>
      <c r="B25" s="8" t="s">
        <v>29</v>
      </c>
      <c r="C25" s="8" t="s">
        <v>30</v>
      </c>
      <c r="D25" s="9">
        <v>44235</v>
      </c>
      <c r="E25" s="9">
        <v>44242</v>
      </c>
      <c r="F25" s="7">
        <f t="shared" si="0"/>
        <v>7</v>
      </c>
      <c r="G25" s="10"/>
      <c r="H25" s="8"/>
      <c r="I25" s="10"/>
      <c r="J25" s="10"/>
      <c r="K25" s="10"/>
      <c r="L25" s="10"/>
      <c r="M25" s="10"/>
      <c r="N25" s="10">
        <v>5.0999999999999996</v>
      </c>
      <c r="O25" s="8" t="s">
        <v>53</v>
      </c>
      <c r="P25" s="8" t="s">
        <v>32</v>
      </c>
      <c r="Q25" s="10"/>
      <c r="R25" s="8" t="s">
        <v>160</v>
      </c>
      <c r="S25" s="8" t="s">
        <v>161</v>
      </c>
      <c r="T25" s="8" t="s">
        <v>162</v>
      </c>
      <c r="U25" s="8" t="s">
        <v>163</v>
      </c>
      <c r="V25" s="8" t="s">
        <v>164</v>
      </c>
      <c r="W25" s="8"/>
      <c r="X25" s="8" t="s">
        <v>165</v>
      </c>
    </row>
    <row r="26" spans="1:24" ht="165" customHeight="1" x14ac:dyDescent="0.2">
      <c r="A26" s="11">
        <v>28</v>
      </c>
      <c r="B26" s="12" t="s">
        <v>29</v>
      </c>
      <c r="C26" s="12" t="s">
        <v>39</v>
      </c>
      <c r="D26" s="13">
        <v>44396</v>
      </c>
      <c r="E26" s="13">
        <v>44396</v>
      </c>
      <c r="F26" s="11">
        <f t="shared" si="0"/>
        <v>0</v>
      </c>
      <c r="G26" s="14"/>
      <c r="H26" s="12"/>
      <c r="I26" s="14">
        <v>5</v>
      </c>
      <c r="J26" s="14">
        <v>5</v>
      </c>
      <c r="K26" s="14"/>
      <c r="L26" s="14"/>
      <c r="M26" s="14"/>
      <c r="N26" s="14">
        <v>5.7</v>
      </c>
      <c r="O26" s="12" t="s">
        <v>31</v>
      </c>
      <c r="P26" s="12" t="s">
        <v>32</v>
      </c>
      <c r="Q26" s="14"/>
      <c r="R26" s="12" t="s">
        <v>166</v>
      </c>
      <c r="S26" s="12" t="s">
        <v>167</v>
      </c>
      <c r="T26" s="12" t="s">
        <v>168</v>
      </c>
      <c r="U26" s="12"/>
      <c r="V26" s="12" t="s">
        <v>169</v>
      </c>
      <c r="W26" s="12" t="s">
        <v>199</v>
      </c>
      <c r="X26" s="12" t="s">
        <v>170</v>
      </c>
    </row>
    <row r="27" spans="1:24" ht="90" customHeight="1" x14ac:dyDescent="0.2">
      <c r="A27" s="7">
        <v>29</v>
      </c>
      <c r="B27" s="8" t="s">
        <v>29</v>
      </c>
      <c r="C27" s="8" t="s">
        <v>30</v>
      </c>
      <c r="D27" s="9">
        <v>44120</v>
      </c>
      <c r="E27" s="9">
        <v>44109</v>
      </c>
      <c r="F27" s="7">
        <f t="shared" si="0"/>
        <v>-11</v>
      </c>
      <c r="G27" s="10"/>
      <c r="H27" s="8"/>
      <c r="I27" s="10"/>
      <c r="J27" s="10"/>
      <c r="K27" s="10"/>
      <c r="L27" s="10"/>
      <c r="M27" s="10"/>
      <c r="N27" s="10">
        <v>5.2</v>
      </c>
      <c r="O27" s="8" t="s">
        <v>53</v>
      </c>
      <c r="P27" s="8" t="s">
        <v>32</v>
      </c>
      <c r="Q27" s="10"/>
      <c r="R27" s="8" t="s">
        <v>171</v>
      </c>
      <c r="S27" s="8" t="s">
        <v>172</v>
      </c>
      <c r="T27" s="8" t="s">
        <v>173</v>
      </c>
      <c r="U27" s="8"/>
      <c r="V27" s="8" t="s">
        <v>174</v>
      </c>
      <c r="W27" s="8"/>
      <c r="X27" s="8" t="s">
        <v>175</v>
      </c>
    </row>
    <row r="28" spans="1:24" ht="150" customHeight="1" x14ac:dyDescent="0.2">
      <c r="A28" s="11">
        <v>29</v>
      </c>
      <c r="B28" s="12" t="s">
        <v>29</v>
      </c>
      <c r="C28" s="12" t="s">
        <v>39</v>
      </c>
      <c r="D28" s="13">
        <v>44253</v>
      </c>
      <c r="E28" s="13">
        <v>44305</v>
      </c>
      <c r="F28" s="11">
        <f t="shared" si="0"/>
        <v>52</v>
      </c>
      <c r="G28" s="14">
        <v>3.27</v>
      </c>
      <c r="H28" s="12" t="s">
        <v>40</v>
      </c>
      <c r="I28" s="14"/>
      <c r="J28" s="14"/>
      <c r="K28" s="14"/>
      <c r="L28" s="14"/>
      <c r="M28" s="14"/>
      <c r="N28" s="14">
        <v>5.0999999999999996</v>
      </c>
      <c r="O28" s="12" t="s">
        <v>53</v>
      </c>
      <c r="P28" s="12" t="s">
        <v>32</v>
      </c>
      <c r="Q28" s="14">
        <v>22</v>
      </c>
      <c r="R28" s="12" t="s">
        <v>176</v>
      </c>
      <c r="S28" s="12" t="s">
        <v>177</v>
      </c>
      <c r="T28" s="12" t="s">
        <v>178</v>
      </c>
      <c r="U28" s="12"/>
      <c r="V28" s="12" t="s">
        <v>179</v>
      </c>
      <c r="W28" s="12" t="s">
        <v>92</v>
      </c>
      <c r="X28" s="12" t="s">
        <v>180</v>
      </c>
    </row>
    <row r="29" spans="1:24" ht="270" customHeight="1" x14ac:dyDescent="0.2">
      <c r="A29" s="7">
        <v>30</v>
      </c>
      <c r="B29" s="8" t="s">
        <v>29</v>
      </c>
      <c r="C29" s="8" t="s">
        <v>30</v>
      </c>
      <c r="D29" s="9">
        <v>44106</v>
      </c>
      <c r="E29" s="9">
        <v>43986</v>
      </c>
      <c r="F29" s="7">
        <f t="shared" si="0"/>
        <v>-120</v>
      </c>
      <c r="G29" s="10"/>
      <c r="H29" s="8"/>
      <c r="I29" s="10"/>
      <c r="J29" s="10"/>
      <c r="K29" s="10"/>
      <c r="L29" s="10"/>
      <c r="M29" s="10"/>
      <c r="N29" s="10">
        <v>36.200000000000003</v>
      </c>
      <c r="O29" s="8" t="s">
        <v>31</v>
      </c>
      <c r="P29" s="8" t="s">
        <v>32</v>
      </c>
      <c r="Q29" s="10"/>
      <c r="R29" s="8" t="s">
        <v>181</v>
      </c>
      <c r="S29" s="8" t="s">
        <v>182</v>
      </c>
      <c r="T29" s="8" t="s">
        <v>183</v>
      </c>
      <c r="U29" s="8"/>
      <c r="V29" s="8" t="s">
        <v>184</v>
      </c>
      <c r="W29" s="8"/>
      <c r="X29" s="8" t="s">
        <v>185</v>
      </c>
    </row>
    <row r="30" spans="1:24" ht="60" customHeight="1" x14ac:dyDescent="0.2">
      <c r="A30" s="11">
        <v>30</v>
      </c>
      <c r="B30" s="12" t="s">
        <v>29</v>
      </c>
      <c r="C30" s="12" t="s">
        <v>39</v>
      </c>
      <c r="D30" s="13">
        <v>44274</v>
      </c>
      <c r="E30" s="13">
        <v>44448</v>
      </c>
      <c r="F30" s="11">
        <f t="shared" si="0"/>
        <v>174</v>
      </c>
      <c r="G30" s="14">
        <v>2.13</v>
      </c>
      <c r="H30" s="12" t="s">
        <v>47</v>
      </c>
      <c r="I30" s="14"/>
      <c r="J30" s="14"/>
      <c r="K30" s="14"/>
      <c r="L30" s="14"/>
      <c r="M30" s="14"/>
      <c r="N30" s="14">
        <v>0.9</v>
      </c>
      <c r="O30" s="12" t="s">
        <v>31</v>
      </c>
      <c r="P30" s="12" t="s">
        <v>32</v>
      </c>
      <c r="Q30" s="14">
        <v>21</v>
      </c>
      <c r="R30" s="12" t="s">
        <v>186</v>
      </c>
      <c r="S30" s="12" t="s">
        <v>187</v>
      </c>
      <c r="T30" s="12" t="s">
        <v>188</v>
      </c>
      <c r="U30" s="12"/>
      <c r="V30" s="12" t="s">
        <v>189</v>
      </c>
      <c r="W30" s="12" t="s">
        <v>45</v>
      </c>
      <c r="X30" s="12" t="s">
        <v>190</v>
      </c>
    </row>
    <row r="31" spans="1:24" ht="150" customHeight="1" x14ac:dyDescent="0.2">
      <c r="A31" s="7">
        <v>31</v>
      </c>
      <c r="B31" s="8" t="s">
        <v>29</v>
      </c>
      <c r="C31" s="8" t="s">
        <v>30</v>
      </c>
      <c r="D31" s="9">
        <v>43374</v>
      </c>
      <c r="E31" s="9">
        <v>43374</v>
      </c>
      <c r="F31" s="7">
        <f t="shared" si="0"/>
        <v>0</v>
      </c>
      <c r="G31" s="10"/>
      <c r="H31" s="8"/>
      <c r="I31" s="10"/>
      <c r="J31" s="10"/>
      <c r="K31" s="10"/>
      <c r="L31" s="10"/>
      <c r="M31" s="10"/>
      <c r="N31" s="10">
        <v>15.1</v>
      </c>
      <c r="O31" s="8" t="s">
        <v>31</v>
      </c>
      <c r="P31" s="8" t="s">
        <v>32</v>
      </c>
      <c r="Q31" s="10"/>
      <c r="R31" s="8"/>
      <c r="S31" s="8" t="s">
        <v>191</v>
      </c>
      <c r="T31" s="8"/>
      <c r="U31" s="8"/>
      <c r="V31" s="8" t="s">
        <v>192</v>
      </c>
      <c r="W31" s="8"/>
      <c r="X31" s="8" t="s">
        <v>193</v>
      </c>
    </row>
    <row r="32" spans="1:24" ht="75" customHeight="1" x14ac:dyDescent="0.2">
      <c r="A32" s="11">
        <v>31</v>
      </c>
      <c r="B32" s="12" t="s">
        <v>29</v>
      </c>
      <c r="C32" s="12" t="s">
        <v>39</v>
      </c>
      <c r="D32" s="13">
        <v>44071</v>
      </c>
      <c r="E32" s="13">
        <v>44083</v>
      </c>
      <c r="F32" s="11">
        <f t="shared" si="0"/>
        <v>12</v>
      </c>
      <c r="G32" s="14"/>
      <c r="H32" s="12"/>
      <c r="I32" s="14">
        <v>0</v>
      </c>
      <c r="J32" s="14">
        <v>0</v>
      </c>
      <c r="K32" s="14"/>
      <c r="L32" s="14"/>
      <c r="M32" s="14"/>
      <c r="N32" s="14">
        <v>5.2</v>
      </c>
      <c r="O32" s="12" t="s">
        <v>53</v>
      </c>
      <c r="P32" s="12" t="s">
        <v>32</v>
      </c>
      <c r="Q32" s="14"/>
      <c r="R32" s="12" t="s">
        <v>194</v>
      </c>
      <c r="S32" s="12" t="s">
        <v>195</v>
      </c>
      <c r="T32" s="12" t="s">
        <v>196</v>
      </c>
      <c r="U32" s="12"/>
      <c r="V32" s="12" t="s">
        <v>197</v>
      </c>
      <c r="W32" s="12" t="s">
        <v>45</v>
      </c>
      <c r="X32" s="12" t="s">
        <v>198</v>
      </c>
    </row>
  </sheetData>
  <autoFilter ref="A2:X32" xr:uid="{00000000-0009-0000-0000-000000000000}"/>
  <mergeCells count="4">
    <mergeCell ref="S1:X1"/>
    <mergeCell ref="G1:M1"/>
    <mergeCell ref="A1:F1"/>
    <mergeCell ref="N1:Q1"/>
  </mergeCells>
  <dataValidations count="3">
    <dataValidation type="list" allowBlank="1" sqref="H3:H32" xr:uid="{00000000-0002-0000-0000-000000000000}">
      <formula1>"CRP,BSG,nicht angegeben"</formula1>
    </dataValidation>
    <dataValidation type="list" allowBlank="1" sqref="O3:O32 P5" xr:uid="{00000000-0002-0000-0000-000001000000}">
      <formula1>"=,&lt;,&lt;=,&gt;,&gt;="</formula1>
    </dataValidation>
    <dataValidation type="list" allowBlank="1" sqref="W3:W32" xr:uid="{00000000-0002-0000-0000-000002000000}">
      <formula1>"Ja,Nein"</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Gutsche, Robin</cp:lastModifiedBy>
  <dcterms:created xsi:type="dcterms:W3CDTF">2026-10-20T11:59:08Z</dcterms:created>
  <dcterms:modified xsi:type="dcterms:W3CDTF">2026-10-20T18:26:00Z</dcterms:modified>
</cp:coreProperties>
</file>