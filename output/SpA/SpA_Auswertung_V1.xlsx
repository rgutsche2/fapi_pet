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robin/PycharmProjects/fapi_pet/output/SpA/"/>
    </mc:Choice>
  </mc:AlternateContent>
  <xr:revisionPtr revIDLastSave="0" documentId="13_ncr:1_{BCD62BAF-EC0E-D94F-8166-E1563A48B579}" xr6:coauthVersionLast="47" xr6:coauthVersionMax="47" xr10:uidLastSave="{00000000-0000-0000-0000-000000000000}"/>
  <bookViews>
    <workbookView xWindow="-38400" yWindow="-1100" windowWidth="38400" windowHeight="23400" xr2:uid="{00000000-000D-0000-FFFF-FFFF00000000}"/>
  </bookViews>
  <sheets>
    <sheet name="SpA" sheetId="1" r:id="rId1"/>
  </sheets>
  <definedNames>
    <definedName name="_xlnm._FilterDatabase" localSheetId="0" hidden="1">SpA!$A$2:$X$34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4" i="1" l="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alcChain>
</file>

<file path=xl/sharedStrings.xml><?xml version="1.0" encoding="utf-8"?>
<sst xmlns="http://schemas.openxmlformats.org/spreadsheetml/2006/main" count="352" uniqueCount="222">
  <si>
    <t>Identifikation</t>
  </si>
  <si>
    <t>Scores</t>
  </si>
  <si>
    <t>Labor</t>
  </si>
  <si>
    <t>Therapie</t>
  </si>
  <si>
    <t>Klinische Befunde</t>
  </si>
  <si>
    <t>Patient</t>
  </si>
  <si>
    <t>Erkrankung</t>
  </si>
  <si>
    <t>Zeitpunkt</t>
  </si>
  <si>
    <t>Scan-Datum</t>
  </si>
  <si>
    <t>Klinisches Datum</t>
  </si>
  <si>
    <t>Abstand zum Scan (Tage)</t>
  </si>
  <si>
    <t>ASDAS-CRP</t>
  </si>
  <si>
    <t>BASDAI</t>
  </si>
  <si>
    <t>TJC</t>
  </si>
  <si>
    <t>SJC</t>
  </si>
  <si>
    <t>LEI</t>
  </si>
  <si>
    <t>MASES</t>
  </si>
  <si>
    <t>HAQ</t>
  </si>
  <si>
    <t>CRP-Wert</t>
  </si>
  <si>
    <t>CRP-Vergleichszeichen</t>
  </si>
  <si>
    <t>CRP-Einheit</t>
  </si>
  <si>
    <t>BSG (mm nach 1 h)</t>
  </si>
  <si>
    <t>Aktuelle Therapie</t>
  </si>
  <si>
    <t>Klinische Hauptmanifestation</t>
  </si>
  <si>
    <t>Axiale Beschwerden / ISG</t>
  </si>
  <si>
    <t>Weitere Gelenke</t>
  </si>
  <si>
    <t>Verlauf</t>
  </si>
  <si>
    <t>Ansprechen (Ja/Nein)</t>
  </si>
  <si>
    <t>Hinweise</t>
  </si>
  <si>
    <t>SpA</t>
  </si>
  <si>
    <t>Baseline</t>
  </si>
  <si>
    <t>=</t>
  </si>
  <si>
    <t>mg/l</t>
  </si>
  <si>
    <t>Ibuprofen 300 mg/Tag.</t>
  </si>
  <si>
    <t>Ausgeprägte schmerzhafte Kniegelenksarthritis links mit Schwellung; rechts kein eindeutiger Arthritisnachweis.</t>
  </si>
  <si>
    <t>Im Verlauf ausgeprägte ISG-Schmerzen rechts. Eindeutig entzündliche Rückenschmerzen vor diesen Episoden und nächtlicher Rückenschmerz verneint; aktuelles Ausmaß der ISG-Beschwerden unklar.</t>
  </si>
  <si>
    <t>Früher Sprunggelenksschwellung links; aktuell an beiden Sprunggelenken keine Arthritis.</t>
  </si>
  <si>
    <t>Nach Sprunggelenksbeteiligung links und ISG-Schmerzen rechts zuletzt starke Schmerzen und Schwellung des linken Knies trotz NSAR. Secukinumab-Einleitung empfohlen.</t>
  </si>
  <si>
    <t>CRP- und BKS-Labordatum nicht angegeben.
Seitenwiderspruch: Rheumatologische Anamnese nennt „Gelenkschmerzen/Schwellung: Knie rechts“; ausführliche Anamnese und Untersuchungsbefund belegen die aktuelle Arthritis links.
Aktuelles Ausmaß der ISG-Beschwerden nicht eindeutig beschrieben.
Diagnoseliste nennt „Therapiebeginn mit Secukinumab 12/2020“; dies liegt nach dem Referenzbesuch. Im damaligen Verlauf ist die Erstgabe erst geplant.</t>
  </si>
  <si>
    <t>Follow-up</t>
  </si>
  <si>
    <t>Secukinumab (Cosentyx) 150 mg einmal monatlich; keine NSAR-Einnahme erforderlich.</t>
  </si>
  <si>
    <t>Vollständig beschwerdefrei; keine peripheren Arthritiden.</t>
  </si>
  <si>
    <t>ISG-Symptomatik rückläufig; aktuell kein entzündlicher Rückenschmerz und keine Bewegungseinschränkung der ISG.</t>
  </si>
  <si>
    <t>Seit Beginn der Cosentyx-Therapie keine peripheren Gelenkbeschwerden mehr.</t>
  </si>
  <si>
    <t>Unter Secukinumab keine peripheren Gelenkbeschwerden mehr und rückläufige ISG-Symptomatik; aktuell vollständig beschwerdefrei, ohne NSAR-Bedarf.</t>
  </si>
  <si>
    <t>Ja</t>
  </si>
  <si>
    <t>CRP- und BKS-Labordatum nicht angegeben.</t>
  </si>
  <si>
    <t>&lt;</t>
  </si>
  <si>
    <t>Certolizumab 200 mg s.c. alle 14 Tage; Arcoxia 90 mg täglich.</t>
  </si>
  <si>
    <t>Zunehmende periphere und axiale Beschwerden. Druckschmerz am rechten Ellenbogen, keine Gelenkschwellung; eingeschränkte Wirbelsäulenbeweglichkeit.</t>
  </si>
  <si>
    <t>Zunehmende axiale Beschwerden bei vorbekannt eingeschränkter Wirbelsäulenbeweglichkeit.</t>
  </si>
  <si>
    <t>Zunehmende Beschwerden und deutliche klinische Aktivität unter Certolizumab; Umstellung auf Secukinumab empfohlen.</t>
  </si>
  <si>
    <t>CRP: Labordatum nicht angegeben.
Keine aktuelle klinische ISG-Lokalisation angegeben.</t>
  </si>
  <si>
    <t>Secukinumab 300 mg alle 4 Wochen; Arcoxia 90 mg täglich.</t>
  </si>
  <si>
    <t>Deutliche Fatigue, Bewegungs- und Leistungseinschränkung sowie Schmerzen in Ruhe und Bewegung. Druckschmerz über beiden Plantarfaszien und lateral an beiden Sprunggelenken.</t>
  </si>
  <si>
    <t>Druckschmerz beider Kniegelenke.</t>
  </si>
  <si>
    <t>Weiter zunehmende klinische Symptomatik unter Secukinumab 300 mg monatlich. Umstellung auf Upadacitinib 15 mg täglich nach Shingrix-Impfung besprochen; letzte Secukinumab-Dosis verabreicht.</t>
  </si>
  <si>
    <t>Nein</t>
  </si>
  <si>
    <t>CRP: Labordatum nicht angegeben.
Upadacitinib laut Diagnoseeintrag erst seit 09/22; am Referenztermin noch Secukinumab.
Keine aktuelle klinische axiale oder ISG-Symptomatik gesondert beschrieben; die entsprechenden Lokalisationen betreffen Bildgebungsbefunde.
SPARCC 4 dokumentiert; keine Übertragung in LEI oder MASES.</t>
  </si>
  <si>
    <t>Secukinumab 150 mg monatlich, seit 08/2020.</t>
  </si>
  <si>
    <t>Persistierende Wirbelsäulenschmerzen, vor allem lumbal. Keine peripheren synovitischen Gelenkschwellungen.</t>
  </si>
  <si>
    <t>Persistierende Schmerzen vor allem an der LWS auch nach Umstellung auf Secukinumab.</t>
  </si>
  <si>
    <t>Keine peripheren synovitischen Gelenkschwellungen.</t>
  </si>
  <si>
    <t>Nach Umstellung auf Secukinumab weiterhin Wirbelsäulenschmerzen und klinisch persistierende Erkrankungsaktivität.</t>
  </si>
  <si>
    <t>Labordatum für CRP und BKS nicht angegeben.
BKS 12/21 mm/h: erster Wert gemäß Studienkonvention übernommen.
Achillessehnenentzündung und nächtlicher Rückenschmerz stehen in der Diagnoseliste; ihre aktuelle Ausprägung ist nicht gesondert beschrieben.</t>
  </si>
  <si>
    <t>Secukinumab 300 mg alle vier Wochen, seit 11/2020.</t>
  </si>
  <si>
    <t>Weiterhin persistierende Wirbelsäulenschmerzen, vor allem lumbal, und aggravierte axiale Bewegungseinschränkung. Keine peripheren synovitischen Gelenkschwellungen.</t>
  </si>
  <si>
    <t>Persistierende LWS-betonte Wirbelsäulenschmerzen trotz Secukinumab-Dosiserhöhung; weiterhin aggravierte axiale Bewegungseinschränkung.</t>
  </si>
  <si>
    <t>Keine peripheren synovitischen Gelenkschwellungen; frühere Achillessehnenentzündung.</t>
  </si>
  <si>
    <t>Auch nach Dosiserhöhung auf 300 mg Secukinumab weiterhin massive klinische Beschwerden und persistierende Aktivität. Umstellung auf Upadacitinib 15 mg täglich empfohlen; ein klinischer Nutzen von Secukinumab ist nicht eindeutig belegt.</t>
  </si>
  <si>
    <t>CRP vom 18.01.2021.
Der Brief enthält nachträgliche Ergänzungen bis 03/2021; deren Aussagen sind nicht durchgehend dem Referenzbesuch am 18.01.2021 zuzuordnen.
Upadacitinib ist mit Therapiebeginn 03/2021 vermerkt und war am klinischen Referenztermin keine laufende Therapie.
Ansprechen bleibt unklar: Die Therapiehistorie nennt „11/20-03/21 mit teilweise Ansprechen“, ohne klinischen Nutzen eindeutig zu beschreiben. Im aktuellen Verlauf wird partielles Ansprechen ausdrücklich anhand des FAPI-PET beschrieben; fortbestehende Beschwerden allein belegen kein Nein.</t>
  </si>
  <si>
    <t>Diclofenac 75 mg zweimal täglich; Krankengymnastik.</t>
  </si>
  <si>
    <t>Schmerzen an HWS, BWS und LWS sowie an beiden Daumeninterphalangealgelenken und der rechten Schulter. Druckschmerz der rechten Schulter und leichter Druckschmerz der Wirbelsäule, keine Schwellungen.</t>
  </si>
  <si>
    <t>Anhaltende Schmerzen an HWS, BWS und LWS mit leichtem Druckschmerz; Patrick-Zeichen beidseits negativ.</t>
  </si>
  <si>
    <t>Schmerzen an beiden Daumeninterphalangealgelenken und der rechten Schulter; rechte Schulter druckschmerzhaft.</t>
  </si>
  <si>
    <t>Unter regelmäßigem Diclofenac unzureichende Beschwerdekontrolle mit fortbestehenden axialen und peripheren Schmerzen. Biologikabeginn nach erweiterter Bildgebung empfohlen.</t>
  </si>
  <si>
    <t>Labordatum für CRP und BKS nicht angegeben.
BKS 11/22 mm/h: erster Wert gemäß Studienkonvention als BSG nach einer Stunde übernommen.
BASDAI und HAQ ohne gesondertes Messdatum im Untersuchungsbefund dokumentiert.</t>
  </si>
  <si>
    <t>Ixezikumab (Talz) 80 mg subkutan alle vier Wochen, seit 10/2020.</t>
  </si>
  <si>
    <t>Weiterhin belastungsabhängige Schmerzen und leichter Druckschmerz am rechten Daumengrundgelenk und linken Daumeninterphalangealgelenk. Keine synovitischen Schwellungen, Daktylitis oder Enthesitis-Zeichen.</t>
  </si>
  <si>
    <t>Kein entzündlicher Rückenschmerz; Morgensteifigkeit der gesamten Wirbelsäule etwa 15 Minuten. ISG nicht druckdolent, kein Klopfschmerz der Wirbelsäule, gute LWS-Beweglichkeit und uneingeschränkte HWS-Rotation.</t>
  </si>
  <si>
    <t>Belastungsabhängige Arthralgien und leichter Druckschmerz am rechten Daumengrundgelenk und linken Daumeninterphalangealgelenk.</t>
  </si>
  <si>
    <t>Unter Ixezikumab als stabil beschrieben; kein entzündlicher Rückenschmerz, jedoch weiterhin belastungsabhängige Daumenarthralgien. Lokale Rötung und Schwellung nach Injektionen für etwa drei Tage, durch Kühlung geringere Rötung.</t>
  </si>
  <si>
    <t>Labordatum für CRP und BKS nicht angegeben.
Ansprechen bleibt null: klinisch nur Stabilität dokumentiert; das ausdrücklich gute Therapieansprechen steht im PET-Befund und belegt keine eigenständige klinische Nutzenbeurteilung.
Linker Daumen in der Anamnese als PIP 1, im Untersuchungsbefund als Interphalangealgelenk 1 bezeichnet.</t>
  </si>
  <si>
    <t>Ibuprofen 600 mg dreimal täglich; aktuell keine Basistherapie.</t>
  </si>
  <si>
    <t>Verspannungen und Schmerzen im Brustkorb sowie teilweise tiefsitzende Rückenschmerzen mit nächtlichem Erwachen. Druckschmerz links thorakal über den Rippenbögen auf BWS-Höhe und am rechten ISG; ausgeprägte Abgeschlagenheit.</t>
  </si>
  <si>
    <t>Tiefsitzende Rückenschmerzen mit nächtlichem Erwachen sowie Druckschmerz am rechten ISG und links thorakal.</t>
  </si>
  <si>
    <t>Nach Absetzen von Cimzia im März schlechteres Befinden als bei der letzten Vorstellung; leicht erhöhte entzündliche Aktivität. Zeitnaher Wiederbeginn von Certolizumab nach radiologischer Statuserhebung vereinbart.</t>
  </si>
  <si>
    <t>Labordatum nicht angegeben; BSG gemäß Studienkonvention aus BKS 12/29 als erster Wert übernommen.
Diagnose- und Medikationsliste nennen Certolizumab mit Wiederbeginn 08/2020; am Referenzbesuch laut aktueller Anamnese und Beurteilung noch keine Basistherapie, Wiederbeginn erst vereinbart.
PET-Datierung im Brief widersprüchlich: Befund vom 10.08.2020, Verlaufsabschnitt nennt 14.08.2020.</t>
  </si>
  <si>
    <t>Certolizumab (Cimzia), Wiederbeginn 08/2020; Ibuprofen 600 mg dreimal täglich laut Dauermedikation.</t>
  </si>
  <si>
    <t>Nur noch leichte Beschwerden in den Costovertebralgelenken; klinisch kein Druckschmerz und keine Schwellungen.</t>
  </si>
  <si>
    <t>Nur noch leichte Beschwerden in den Costovertebralgelenken, durch Krankengymnastik und Massage gelindert. Aktuelle tiefsitzende Rücken- oder ISG-Beschwerden nicht ausdrücklich beschrieben.</t>
  </si>
  <si>
    <t>Unter Cimzia sehr gutes Befinden und ausdrücklich gutes Therapieansprechen, im Alltag wieder aktiver; zufriedenstellende Erkrankungskontrolle bei leichten costovertebralen Restbeschwerden.</t>
  </si>
  <si>
    <t>Labordatum nicht angegeben; BSG gemäß Studienkonvention aus BKS 1/4 als erster Wert übernommen.
Aktuelle Certolizumab-Dosis nicht eindeutig dokumentiert; 400 mg alle zwei Wochen steht ausschließlich unter vorherigen Therapien.
Die fehlende ausdrückliche Beschreibung aktueller Rücken- oder ISG-Beschwerden ist keine dokumentierte Beschwerdefreiheit.</t>
  </si>
  <si>
    <t>Bestehende NSAR-Therapie; aktuelles Präparat und Dosis nicht eindeutig angegeben.</t>
  </si>
  <si>
    <t>Aktiver entzündlicher Rückenschmerz mit Morgensteifigkeit von 60–90 Minuten und eingeschränkter Wirbelsäulenrotation. Schwellung der vierten linken Zehe mit klinischem Verdacht auf Daktylitis.</t>
  </si>
  <si>
    <t>Seit 2015 entzündlicher Rückenschmerz mit nächtlichem oder frühmorgendlichem Erwachen; seit Jahresbeginn zunehmende Morgensteifigkeit und deutliche Rotationseinschränkung.</t>
  </si>
  <si>
    <t>Rezidivierende Beschwerden der PIP-Gelenke mit eingeschränkter Fingerflexion. Abgesehen von der vierten linken Zehe aktuell kein Druckschmerz oder synovitische Schwellung; kein Druckschmerz der Plantaraponeurosen und kein sonstiger Enthesitishinweis.</t>
  </si>
  <si>
    <t>Zunehmende axiale Beschwerden seit Jahresbeginn; bisherige NSAR ohne ausreichende Wirkung. Einleitung von MTX 15 mg wöchentlich mit Folsäure und ein Prednisolonstoß zur Behandlung der Daktylitis empfohlen.</t>
  </si>
  <si>
    <t>Das aktuell eingenommene NSAR ist nicht eindeutig benannt; MTX und Prednisolon wurden erst empfohlen.</t>
  </si>
  <si>
    <t>Adalimumab 40 mg alle zwei Wochen seit August 2020. MTX bereits selbstständig abgesetzt; Pausierung bei der Vorstellung gemeinsam beschlossen.</t>
  </si>
  <si>
    <t>Keine peripheren Beschwerden mehr; keine Druckschmerzen oder Gelenkschwellungen. Teilweise weiterhin rezidivierende Schmerzen im BWS-Bereich.</t>
  </si>
  <si>
    <t>Teilweise rezidivierende BWS-Schmerzen; ISG klinisch nicht schmerzhaft.</t>
  </si>
  <si>
    <t>Keine peripheren Beschwerden, keine Druckschmerzen und keine Schwellungen.</t>
  </si>
  <si>
    <t>Periphere Beschwerdefreiheit im Verlauf unter Therapie; rezidivierende BWS-Schmerzen bestehen teilweise fort. MTX wurde bereits selbstständig abgesetzt und soll weiter pausieren.</t>
  </si>
  <si>
    <t>Labordatum für CRP und BKS nicht angegeben.
BASDAI und MASES ohne gesondertes Untersuchungsdatum dokumentiert.
Die Diagnoseliste führt MTX weiterhin als aktuell; aktuelle Anamnese und Beurteilung dokumentieren dagegen Absetzen beziehungsweise Pausierung.
Therapiehistorie nennt MTX-Absetzen Anfang Juni 2020; die aktuelle Anamnese nennt Anfang Juni ohne Jahresangabe. Das genaue Absetzdatum bleibt unklar.
Ja bezeichnet die klinische Kontrolle der peripheren Beschwerden; BWS-Restbeschwerden bestehen fort. Ein ursächlicher Effekt eines einzelnen Medikaments ist nicht belegt.</t>
  </si>
  <si>
    <t>Methocarbamol 750 mg bei Bedarf.</t>
  </si>
  <si>
    <t>Anhaltende Beschwerden und Druckschmerz über BWS/LWS und ISG, Mennell links stärker als rechts positiv. Leichte bewegungsabhängige Beschwerden im linken Schultergelenk.</t>
  </si>
  <si>
    <t>Konstante Schmerzen im LWS-Bereich und tiefen Rücken in Ruhe und bei Bewegung, teilweise Taubheitsgefühl im rechten Fuß. Kein nächtliches Erwachen durch Rückenschmerzen.</t>
  </si>
  <si>
    <t>Keine geschwollenen Gelenke; kein Hinweis auf periphere Enthesitis. Vorübergehendes Instabilitätsgefühl im linken Knie inzwischen abgeklungen.</t>
  </si>
  <si>
    <t>Weiterhin axiale Beschwerden trotz achtwöchiger fester Einnahme von Etoricoxib 60 mg ohne Ansprechen. Einleitung von Adalimumab 40 mg alle zwei Wochen subkutan empfohlen.</t>
  </si>
  <si>
    <t>Adalimumab laut ergänzter Medikamentenliste seit 05/2020; am Referenzbesuch 30.04.2020 noch keine belegte laufende Therapie, Einleitung im Verlauf empfohlen.
Labordatum für CRP und BKS nicht angegeben.
Für Scores und Gelenkstatus kein gesondertes Erhebungsdatum angegeben.
BKS 39/75 mm/h: erster Wert 39 gemäß Studienkonvention als BSG nach einer Stunde übernommen.</t>
  </si>
  <si>
    <t>Adalimumab 40 mg subkutan alle zwei Wochen seit 05/2020; Methocarbamol 750 mg bei Bedarf, seit letzter Vorstellung einmal eingenommen.</t>
  </si>
  <si>
    <t>Aktuell keine Gelenkschmerzen, Gelenkschwellungen oder Morgensteifigkeit; keine druckschmerzhaften oder geschwollenen Gelenke. Klinisch kein Anhalt für Aktivität der SpA.</t>
  </si>
  <si>
    <t>Aktuell keine Beschwerden; Wirbelsäule ohne Klopfschmerz. Seit Adalimumab anamnestisch keine Schübe mehr.</t>
  </si>
  <si>
    <t>Keine aktuellen peripheren Gelenkbeschwerden oder klinischen Schwellungen.</t>
  </si>
  <si>
    <t>Unter Adalimumab anamnestisch keine weiteren Schübe und aktuell beschwerdefrei, klinisch kein Anhalt für SpA-Aktivität. Gelegentlich orthostatischer Schwindel und beidseitiges Einschlafen der Beine nach längerem Sitzen auf der Toilette.</t>
  </si>
  <si>
    <t>Labordatum für CRP und BKS nicht angegeben.
Zusätzlich vier Schmerzschübe im gesamten Jahr über insgesamt maximal einen Tag angegeben; zeitliche Zuordnung zum Therapiebeginn nicht eindeutig.</t>
  </si>
  <si>
    <t>Diclofenac 75 mg zweimal täglich, seit etwa zwei Wochen regelmäßig.</t>
  </si>
  <si>
    <t>Seit etwa zehn Tagen zunehmende nächtliche Schmerzen im LWS-/ISG-Bereich. Klinisch kein Hinweis auf Synovitis oder Enthesitis.</t>
  </si>
  <si>
    <t>Zunehmende nächtliche Schmerzen im LWS-/ISG-Bereich; Morgensteifigkeit verneint, Patrickzeichen negativ.</t>
  </si>
  <si>
    <t>Kein klinischer Hinweis auf Synovitis oder Enthesitis.</t>
  </si>
  <si>
    <t>Persistierende klinische Aktivität unter NSAR mit zuletzt zunehmenden axialen Beschwerden. Therapieeskalation mit Adalimumab 40 mg alle zwei Wochen rezeptiert; tatsächlicher Beginn zum Besuch nicht belegt.</t>
  </si>
  <si>
    <t>CRP: Labordatum nicht angegeben.
Adalimumab ist als Beginn aufgeführt und rezeptiert; eine bereits laufende Anwendung am 20.04.2020 ist nicht eindeutig belegt.</t>
  </si>
  <si>
    <t>Adalimumab 40 mg alle zwei Wochen.</t>
  </si>
  <si>
    <t>Deutlich gebesserte muskuloskelettale Beschwerden der Wirbelsäule. Keine peripheren Gelenkschwellungen, kein Druckschmerz und keine Enthesitis.</t>
  </si>
  <si>
    <t>Deutliche Besserung der Wirbelsäulenbeschwerden; aktuelle ISG-Beschwerden nicht gesondert beschrieben.</t>
  </si>
  <si>
    <t>Keine peripheren Gelenkschwellungen; klinisch keine synovitische Gelenkschwellung, kein Druckschmerz und keine Enthesitis.</t>
  </si>
  <si>
    <t>Unter laufendem Adalimumab deutliche Besserung der Wirbelsäulenbeschwerden und weiterhin ausreichende klinische Krankheitskontrolle. Fortführung empfohlen.</t>
  </si>
  <si>
    <t>CRP und BKS: Labordatum nicht angegeben.
BKS 5/11: gemäß Studienkonvention erster Wert als BSG nach einer Stunde übernommen.
Diclofenac steht mit identischem Dosierungs- und Zeittext wie im Baseline-Brief in der Dauermedikation; die tatsächliche weitere Einnahme ist unklar.</t>
  </si>
  <si>
    <t>Diclofenac bei Bedarf, Dosis unbekannt; Arcoxia 90 mg täglich ab 15.01.2020 eingeleitet.</t>
  </si>
  <si>
    <t>Schmerzen im Bereich beider ISG und der LWS. Druckschmerz der LWS, beide ISG nicht druckschmerzhaft.</t>
  </si>
  <si>
    <t>Bestehende Schmerzen beider ISG und der LWS mit geringem Ansprechen auf Diclofenac.</t>
  </si>
  <si>
    <t>Schmerzen und Schwellungen sonstiger Gelenke verneint; keine druckschmerzhaften oder geschwollenen Gelenke dokumentiert.</t>
  </si>
  <si>
    <t>Hohe Krankheitsaktivität und geringes Ansprechen auf Diclofenac; zweites NSAR Arcoxia eingeleitet. Biologika-Therapie einen Monat nach Beginn der Isoniazid-Prophylaxe erwogen.</t>
  </si>
  <si>
    <t>Labordatum nicht angegeben.
BASDAI und HAQ ohne ausdrücklich angegebenes eigenes Untersuchungsdatum.
Diclofenac in der Dauermedikation zweimal täglich, in der aktuellen Anamnese bei Bedarf angegeben; aktuelle Anamnese bevorzugt.</t>
  </si>
  <si>
    <t>Secukinumab 150 mg alle 4 Wochen seit Februar 2020; zusätzlich Diclofenac bei Bedarf und Arcoxia 90 mg täglich laut Dauermedikation.</t>
  </si>
  <si>
    <t>Unverändert tiefsitzender Rückenschmerz mit etwa 60 Minuten Morgensteifigkeit. Druckschmerz der LWS und beidseits positives Patrick-Zeichen.</t>
  </si>
  <si>
    <t>Unter Secukinumab unverändert tiefsitzender Rückenschmerz ohne bemerktes Ansprechen; LWS druckschmerzhaft und Patrick-Zeichen beidseits positiv.</t>
  </si>
  <si>
    <t>Schmerzen und Schwellungen sonstiger Gelenke verneint; klinisch keine Gelenkschwellungen.</t>
  </si>
  <si>
    <t>Unter Secukinumab keine klinische Besserung der Rückenbeschwerden; BASDAI 9,9 gegenüber 7,3 bei Baseline. Nach den Injektionen Appetitlosigkeit und Übelkeit. Dosiserhöhung auf 300 mg alle 4 Wochen bei guter Verträglichkeit erwogen.</t>
  </si>
  <si>
    <t>Keine Laborwerte: Patient ohne Blutentnahme gegangen und Ersatztermin nicht wahrgenommen.
BASDAI und HAQ ohne ausdrücklich angegebenes eigenes Untersuchungsdatum.
Diclofenac und Arcoxia nur in der Dauermedikationsliste aufgeführt; tatsächliche Einnahme in der aktuellen Anamnese nicht bestätigt. Feste NSAR-Einnahme wird empfohlen.</t>
  </si>
  <si>
    <t>Certolizumab; Diclofenac bei Bedarf. Wegen linksseitiger Uveitis lokale Steroidtherapie und Prednisolon 20 mg/Tag.</t>
  </si>
  <si>
    <t>Persistierende Schmerzen im rechten oberen Sprunggelenk bei zusätzlicher posttraumatischer Arthrose und beidseitige Handgelenkarthralgien; Morgensteifigkeit etwa 1,5 Stunden. Keine Enthesitis; neu linksseitige Uveitis.</t>
  </si>
  <si>
    <t>Aktuell tiefsitzender Rückenschmerz bei früherer Sakroiliitis sowie bekannter LWK-Fraktur und Versteifung.</t>
  </si>
  <si>
    <t>Arthralgien beider Handgelenke.</t>
  </si>
  <si>
    <t>Nach Umstellung auf Certolizumab persistierende Sprunggelenkbeschwerden, Handgelenkarthralgien und tiefsitzender Rückenschmerz; zusätzlich neu aufgetretene Uveitis. Wegen anhaltender Erkrankungsaktivität Umstellung auf Secukinumab empfohlen.</t>
  </si>
  <si>
    <t>Labordatum für CRP und BKS nicht angegeben.
BKS 6/18 mm/h: erster Wert gemäß Studienkonvention als BSG nach einer Stunde übernommen.
Der Brief enthält spätere Ergänzungen einschließlich MRT vom 08.04.2020 und Secukinumab-Beginn 05/2020. Secukinumab war am Referenztermin 24.02.2020 noch keine laufende Therapie; die spätere Umstellungsempfehlung ist im Verlauf erhalten.
Certolizumab-Dosis und -Intervall nicht angegeben.</t>
  </si>
  <si>
    <t>Secukinumab 300 mg alle vier Wochen, zuletzt Dosiserhöhung.</t>
  </si>
  <si>
    <t>Deutliche Besserung der axialen und peripheren entzündlichen Gelenkbeschwerden. Keine synovitische Gelenkschwellung, keine Enthesitis und kein Druckschmerz; keine Uveitis oder psoriasiformen Plaques.</t>
  </si>
  <si>
    <t>Axiale entzündliche Gelenkbeschwerden unter Secukinumab deutlich gebessert.</t>
  </si>
  <si>
    <t>Periphere entzündliche Gelenkbeschwerden deutlich gebessert; keine einzelnen Gelenkregionen benannt.</t>
  </si>
  <si>
    <t>Unter Secukinumab nach zuletzt erfolgter Dosiserhöhung deutliche axiale und periphere Beschwerdebesserung sowie aktuell ausreichende klinische Erkrankungskontrolle. Fortführung von 300 mg alle vier Wochen empfohlen.</t>
  </si>
  <si>
    <t>Labordatum nicht angegeben.
Datum und vorherige Dosis der zuletzt erfolgten Secukinumab-Dosiserhöhung nicht angegeben.</t>
  </si>
  <si>
    <t>Etoricoxib und Ibuprofen über mehrere Wochen; Dosen nicht angegeben.</t>
  </si>
  <si>
    <t>Entzündliche LWS-Beschwerden sowie Schmerzen beider Knie und des rechten Handgelenks ohne Schwellungen. Morgensteifigkeit bis 30 Minuten.</t>
  </si>
  <si>
    <t>Tiefsitzende LWS-Schmerzen mit Besserung durch Bewegung und nächtlichem Erwachen; aktuell morgens und abends am stärksten.</t>
  </si>
  <si>
    <t>Schmerzen beider Knie und des rechten Handgelenks ohne Schwellungen.</t>
  </si>
  <si>
    <t>Persistierende axiale und periphere Beschwerden trotz mehrwöchiger Einnahme von Etoricoxib und Ibuprofen. Einleitung von Adalimumab 40 mg subkutan alle zwei Wochen nach FAPI-PET/CT empfohlen.</t>
  </si>
  <si>
    <t>Labordatum nicht angegeben.
Adalimumab ist in dieser Briefgruppe nur zur Einleitung empfohlen, nicht als laufende Therapie dokumentiert.</t>
  </si>
  <si>
    <t>Adalimumab 40 mg alle zwei Wochen; nach Therapiepause von Februar bis Mai 2020 wieder regelmäßig. Ibuprofen bei Bedarf.</t>
  </si>
  <si>
    <t>Aktuell keine Gelenkbeschwerden, TJC und SJC jeweils 0, keine Morgensteifigkeit. Weiterhin Abgeschlagenheit und teilweise Nervosität bei Alltagsstress.</t>
  </si>
  <si>
    <t>Patrick-Zeichen beidseits negativ; keine gesonderte aktuelle Rückenschmerzanamnese dokumentiert.</t>
  </si>
  <si>
    <t>Aktuell keine Gelenkbeschwerden; keine schmerzhaften oder geschwollenen Gelenke im dokumentierten Gelenkstatus.</t>
  </si>
  <si>
    <t>Unter Adalimumab aktuell keine Gelenkbeschwerden und klinisch kein Anhalt für erhöhte entzündliche Krankheitsaktivität. Abgeschlagenheit und teilweise stressbezogene Nervosität bestehen fort.</t>
  </si>
  <si>
    <t>Labordatum für CRP und BKS nicht angegeben; BKS 1/2 mm gemäß Studienkonvention als 1 mm nach einer Stunde übernommen.
Der dokumentierte Adalimumab-Beginn 09/19 steht im Widerspruch zur Baseline-Empfehlung einer Einleitung erst nach dem FAPI-PET/CT.
Abweichende PET-Datierung innerhalb des Briefes: Diagnoseliste 21.08.2020, Untersuchungsbefund 31.08.2020. Kein zusätzlicher rheumatologischer Besuchstag daraus abgeleitet.</t>
  </si>
  <si>
    <t>Methotrexat 15 mg/Woche und Folsäure 5 mg/Woche; Ibuprofen 400 mg und Novalgin bei Bedarf.</t>
  </si>
  <si>
    <t>Zunehmende Schmerzen der kleinen Handgelenke beidseits mit berichteten MCP-Schwellungen nach Absetzen von Prednisolon; Morgensteifigkeit etwa 45 Minuten. Gelenkstatus: TJC 4, SJC 2.</t>
  </si>
  <si>
    <t>Rückenschmerzen im BWS-/Schulterbereich, gebessert durch Bewegung sowie Ibuprofen oder Novalmin.</t>
  </si>
  <si>
    <t>Zunehmende Arthralgien, Gelenkschwellungen und Morgensteifigkeit nach Absetzen von Prednisolon. Bei persistierenden entzündlichen Bildgebungsveränderungen unter Methotrexat Einleitung von Secukinumab empfohlen.</t>
  </si>
  <si>
    <t>CRP und BKS: Labordatum nicht angegeben; BKS 4/7 mm/h gemäß Studienkonvention als 4 mm nach einer Stunde übernommen.
Prednisolon 2 mg steht in der Therapiehistorie, wurde laut aktueller Anamnese jedoch etwa zwei Wochen zuvor abgesetzt. Secukinumab war erst empfohlen.</t>
  </si>
  <si>
    <t>Secukinumab 150 mg monatlich; Novalgin und Ibuprofen 400 mg bei Bedarf.</t>
  </si>
  <si>
    <t>Leicht rückläufige Handbeschwerden, Seite nicht angegeben; aktuell keine Druckschmerzen, Schwellungen oder klinischen Enthesitiszeichen. Morgensteifigkeit unter 15 Minuten und ausgeprägte Abgeschlagenheit.</t>
  </si>
  <si>
    <t>Seit Jahren bestehende, BWS-betonte und stabil bewegungsabhängige Rückenschmerzen bei vorbekannten degenerativen Veränderungen und Skoliose.</t>
  </si>
  <si>
    <t>Klinische Teilbesserung der Handbeschwerden unter laufendem Secukinumab; aktuell keine Schwellungen. Rückenschmerzen stabil und ausgeprägte Abgeschlagenheit fortbestehend. Wegen gemischter entzündlicher MRT-Entwicklung Erhöhung von Secukinumab auf 300 mg monatlich empfohlen.</t>
  </si>
  <si>
    <t>CRP und BKS: Labordatum nicht angegeben; BKS 1/2 mm/h gemäß Studienkonvention als 1 mm nach einer Stunde übernommen.
Die aktuelle Anamnese und Beurteilung nennen Secukinumab; Methotrexat und Prednisolon stehen nur in der kopierten Therapiehistorie. Die Erhöhung auf 300 mg monatlich wurde erst bei dieser Vorstellung beschlossen.
Das qualitative Ansprechen beruht auf der dokumentierten leichten klinischen Besserung; ein ursächlicher Effekt von Secukinumab ist nicht gesichert, da auch Physiotherapie und Novalgin als hilfreich beschrieben werden.</t>
  </si>
  <si>
    <t>NSAR-Therapie; Präparat und Dosis der aktuell laufenden Behandlung nicht eindeutig angegeben.</t>
  </si>
  <si>
    <t>Fersensporn links mit deutlicher Bewegungseinschränkung und Druckschmerz über beiden Achillessehnen. Morgensteifigkeit 15–20 Minuten, keine synovitische Gelenkschwellung.</t>
  </si>
  <si>
    <t>Kein Hinweis auf entzündlichen Rückenschmerz; Wirbelsäule frei beweglich.</t>
  </si>
  <si>
    <t>Seit zwei Jahren Fersenbeschwerden; unter NSAR Linderung, jedoch weiterhin deutliche Beschwerden mit Bewegungseinschränkung. Umstellung auf Arcoxia 90 mg täglich für vier Wochen bei Bestätigung des Verdachts und persistierenden Entzündungszeichen empfohlen.</t>
  </si>
  <si>
    <t>Labordatum nicht angegeben.
Ibuprofen wird als bisherige Therapie mit unzureichender Wirkung genannt; das aktuell verwendete NSAR bleibt unklar. Arcoxia ist nur bedingt empfohlen.</t>
  </si>
  <si>
    <t>Secukinumab 300 mg einmal monatlich, seit Juni 2020 in dieser Dosis; Ibuprofen 600 mg bei Bedarf.</t>
  </si>
  <si>
    <t>Deutlich gebesserte Beschwerden beider Füße bei Plantarfasziitis und Fersensporn. Noch leichter Druckschmerz plantar rechts und an der linken Ferse, keine erkennbare Schwellung.</t>
  </si>
  <si>
    <t>Keine druckschmerzhaften oder geschwollenen Gelenke im dokumentierten Gelenkstatus: TJC 0, SJC 0.</t>
  </si>
  <si>
    <t>Deutliche klinische Besserung mit drei bis vier Wochen beinahe Beschwerdefreiheit; gutes klinisches Ansprechen unter Secukinumab dokumentiert. Die Patientin führt die Besserung der Fußbeschwerden auf berufliche Entlastung zurück; leichter Druckschmerz bleibt bestehen.</t>
  </si>
  <si>
    <t>Labordatum für CRP und BKS nicht angegeben.
BKS 29/61 mm/h: erster Wert gemäß Studienkonvention als BSG nach einer Stunde übernommen.
Die zusätzliche Angabe „Weiterhin keine Änderung seit letzter Vorstellung.“ ist zeitlich nicht näher erläutert; die aktuelle Anamnese und Beurteilung dokumentieren ausdrücklich eine klinische Besserung.</t>
  </si>
  <si>
    <t>Humira seit Oktober abgesetzt; keine laufende rheumatologische Medikation dokumentiert.</t>
  </si>
  <si>
    <t>Vermehrte axiale Schmerzen und massive Bewegungseinschränkung: HWS-Rotation beidseits 10°, Finger-Boden-Abstand &gt;30 cm.</t>
  </si>
  <si>
    <t>Nach Absetzen von Humira wieder vermehrte axiale Schmerzen und Bewegungseinschränkungen.</t>
  </si>
  <si>
    <t>Peripher keine synovitischen Gelenkschwellungen und kein Druckschmerz.</t>
  </si>
  <si>
    <t>Humira wegen Transaminasenanstiegs abgesetzt, danach erneute Zunahme axialer Beschwerden. Einleitung von Secukinumab nach erneuter Transaminasenkontrolle und dokumentiertem Rückgang empfohlen.</t>
  </si>
  <si>
    <t>Labordatum nicht angegeben.
Humira steht noch in der Dauermedikation; die aktuelle Anamnese dokumentiert das Absetzen seit Oktober.</t>
  </si>
  <si>
    <t>Secukinumab 150 mg alle vier Wochen.</t>
  </si>
  <si>
    <t>Persistierende tiefsitzende Rückenschmerzen, rechtsbetont; diskreter Druckschmerz an LWS und rechtem ISG.</t>
  </si>
  <si>
    <t>Weiterhin tiefsitzende, rechtsbetonte Rückenschmerzen mit Druckschmerz an LWS und rechtem ISG.</t>
  </si>
  <si>
    <t>Peripher ohne Einschränkungen, keine druckschmerzhaften oder geschwollenen Gelenke; keine Enthesitis.</t>
  </si>
  <si>
    <t>Unter Secukinumab 150 mg monatlich weiterhin aktive Erkrankung mit persistierenden axialen Beschwerden. Dosissteigerung auf 300 mg monatlich empfohlen; klinischer Nutzen nicht eindeutig beurteilt.</t>
  </si>
  <si>
    <t>Labordatum nicht angegeben.
Die in der Diagnoseliste genannte Dosissteigerung ab Dezember 2020 war am Referenztermin noch keine laufende Therapie.
Persistierende Beschwerden und weiterhin aktive Erkrankung belegen allein kein ausdrücklich fehlendes klinisches Ansprechen; Ansprechen bleibt null.</t>
  </si>
  <si>
    <t>Entzündlicher Rückenschmerz mit unzureichender Kontrolle durch NSAR und ausgeprägter Einschränkung der Wirbelsäulenbeweglichkeit.</t>
  </si>
  <si>
    <t>Entzündlicher Rückenschmerz mit Linderung durch NSAR, jedoch ohne ausreichende Erkrankungskontrolle; Finger-Boden-Abstand 40 cm, Kinn-Jugulum-Abstand &gt;5 cm und Hinterhaupt-Wand-Abstand &gt;10 cm.</t>
  </si>
  <si>
    <t>Bisher keine periphere Gelenkbeteiligung; aktuell keine synovitischen Schwellungen oder Druckschmerzen an peripheren Gelenken.</t>
  </si>
  <si>
    <t>Persistierende Krankheitsaktivität nach jahrelanger unzureichend wirksamer NSAR-Therapie; Umstellung auf ein Biologikum beziehungsweise Einleitung von Secukinumab vorgesehen.</t>
  </si>
  <si>
    <t>Labordatum für CRP und BKS nicht angegeben.
BKS 28/49: nach Studienkonvention erster Wert 28 als BSG nach einer Stunde übernommen.
Secukinumab-Einleitung genannt, aber laufende Anwendung am Referenztermin nicht belegt; konkretes aktuell eingenommenes NSAR und Dosierung nicht angegeben.</t>
  </si>
  <si>
    <t>Secukinumab seit Dezember 2018; bisherige Dosis und Intervall nicht angegeben.</t>
  </si>
  <si>
    <t>Trotz deutlicher Besserung weiterhin schlafraubende axiale Schmerzen und erhebliche Bewegungseinschränkung mit Tagesmüdigkeit und verminderter Leistungsfähigkeit. Sensibilitätsdefizit am linken Oberschenkel und Kribbelparästhesien beider Kleinfinger.</t>
  </si>
  <si>
    <t>Axiale Schmerzen deutlich gebessert, jedoch weiterhin Beschwerden beim Liegen und HWS-Brennen nach zehn Minuten Fahrrad- oder Motorradfahren. Kopfhebung und Überkopfarbeiten eingeschränkt; Schmerzen bei längerem Sitzen oder Stehen.</t>
  </si>
  <si>
    <t>Periphere Arthralgien deutlich gebessert; aktuell keine synovitischen Gelenkschwellungen oder Druckschmerzen.</t>
  </si>
  <si>
    <t>Klinische Teilbesserung der peripheren Arthralgien und axialen Schmerzen unter Secukinumab, jedoch weiterhin erhebliche axiale Beschwerden und klinisch persistierende Aktivität. Dosissteigerung auf 300 mg alle vier Wochen und kontinuierliche Physiotherapie empfohlen.</t>
  </si>
  <si>
    <t>Labordatum nicht angegeben.
300 mg alle vier Wochen ist eine empfohlene Dosissteigerung, keine belegte bereits laufende Dosierung.
Die fortgeführte Diagnoseangabe einer bisher fehlenden peripheren Beteiligung steht neben aktuell berichteten gebesserten peripheren Arthralgien; der aktuelle Untersuchungsbefund zeigt keine Schwellungen oder Druckschmerzen.</t>
  </si>
  <si>
    <t>NSAR, zuletzt Arcoxia über mehrere Wochen; Dosis nicht angegeben.</t>
  </si>
  <si>
    <t>Zunehmende subjektive Steifigkeit peripherer und axialer Gelenke sowie rezidivierende axiale und entheseale Beschwerden unter NSAR. Morgensteifigkeit etwa 30 Minuten; keine geschwollenen oder druckschmerzhaften Gelenke.</t>
  </si>
  <si>
    <t>Rezidivierende axiale Beschwerden und zunehmende axiale Steifigkeit trotz NSAR.</t>
  </si>
  <si>
    <t>Subjektive Steifigkeit peripherer Gelenke ohne klinisch geschwollene oder druckschmerzhafte Gelenke; Regionen nicht näher benannt.</t>
  </si>
  <si>
    <t>Weiterhin klinische Krankheitsaktivität trotz mehrmonatiger Behandlung mit verschiedenen NSAR; Einleitung von Secukinumab empfohlen.</t>
  </si>
  <si>
    <t>Labordatum für CRP und BKS nicht angegeben.
BKS 21/44 mm: erster Wert gemäß Studienkonvention als BSG nach einer Stunde übernommen.
Der Diagnoseeintrag „aktuelle Therapie: Secukinumab (seit 11/18)“ liegt zeitlich nach dem Referenzbesuch am 19.10.2018; damals wurde die Einleitung erst empfohlen.</t>
  </si>
  <si>
    <t>Secukinumab seit 11/2018; Dosis und Intervall nicht angegeben. Ibuprofen 600 mg bei Bedarf dokumentiert.</t>
  </si>
  <si>
    <t>Weitgehende Beschwerdefreiheit mit nur gelegentlichen leichten Beschwerden am linken Handgelenk, ohne Morgensteifigkeit. Keine geschwollenen oder druckschmerzhaften Gelenke; Enthesen nicht druckschmerzhaft.</t>
  </si>
  <si>
    <t>Keine Wirbelsäulen- oder Beckenschmerzen; Wirbelsäule und ISG ohne Druckschmerz.</t>
  </si>
  <si>
    <t>Keine weiteren Gelenkbeschwerden.</t>
  </si>
  <si>
    <t>Unter Secukinumab weitgehend beschwerdefrei mit gelegentlichen leichten Restbeschwerden am linken Handgelenk; keine axialen Beschwerden oder Morgensteifigkeit. Bei gutem klinischem Befund unveränderte Fortführung empfohlen.</t>
  </si>
  <si>
    <t>Labordatum für CRP und BKS nicht angegeben.
BKS 11/28 mm: erster Wert gemäß Studienkonvention als BSG nach einer Stunde übernommen.
Ibuprofen ist als Bedarfsmedikation dokumentiert; im Verlauf wird wegen grenzwertig erhöhter Leberwerte das Vermeiden von NSAR empfohlen.</t>
  </si>
  <si>
    <t>unklar (partiell)</t>
  </si>
  <si>
    <t>unklar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</si>
</sst>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
  </numFmts>
  <fonts count="4" x14ac:knownFonts="1">
    <font>
      <sz val="11"/>
      <color theme="1"/>
      <name val="Calibri"/>
      <family val="2"/>
      <scheme val="minor"/>
    </font>
    <font>
      <b/>
      <sz val="11"/>
      <name val="Calibri"/>
      <family val="2"/>
    </font>
    <font>
      <b/>
      <sz val="12"/>
      <name val="Calibri"/>
      <family val="2"/>
    </font>
    <font>
      <sz val="11"/>
      <name val="Calibri"/>
      <family val="2"/>
    </font>
  </fonts>
  <fills count="9">
    <fill>
      <patternFill patternType="none"/>
    </fill>
    <fill>
      <patternFill patternType="gray125"/>
    </fill>
    <fill>
      <patternFill patternType="solid">
        <fgColor rgb="FFD9EAF7"/>
      </patternFill>
    </fill>
    <fill>
      <patternFill patternType="solid">
        <fgColor rgb="FFE2EFDA"/>
      </patternFill>
    </fill>
    <fill>
      <patternFill patternType="solid">
        <fgColor rgb="FFFFF2CC"/>
      </patternFill>
    </fill>
    <fill>
      <patternFill patternType="solid">
        <fgColor rgb="FFFCE4D6"/>
      </patternFill>
    </fill>
    <fill>
      <patternFill patternType="solid">
        <fgColor rgb="FFCBEAF5"/>
      </patternFill>
    </fill>
    <fill>
      <patternFill patternType="solid">
        <fgColor rgb="FFF2F6FA"/>
      </patternFill>
    </fill>
    <fill>
      <patternFill patternType="solid">
        <fgColor rgb="FFFFFFFF"/>
      </patternFill>
    </fill>
  </fills>
  <borders count="2">
    <border>
      <left/>
      <right/>
      <top/>
      <bottom/>
      <diagonal/>
    </border>
    <border>
      <left/>
      <right/>
      <top/>
      <bottom style="thin">
        <color rgb="FFD9E2F3"/>
      </bottom>
      <diagonal/>
    </border>
  </borders>
  <cellStyleXfs count="1">
    <xf numFmtId="0" fontId="0" fillId="0" borderId="0"/>
  </cellStyleXfs>
  <cellXfs count="20">
    <xf numFmtId="0" fontId="0" fillId="0" borderId="0" xfId="0"/>
    <xf numFmtId="0" fontId="2" fillId="5" borderId="0" xfId="0" applyFont="1" applyFill="1" applyAlignment="1">
      <alignment vertical="center"/>
    </xf>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1" fillId="4" borderId="0" xfId="0" applyFont="1" applyFill="1" applyAlignment="1">
      <alignment horizontal="center" vertical="center" wrapText="1"/>
    </xf>
    <xf numFmtId="0" fontId="1" fillId="5" borderId="0" xfId="0" applyFont="1" applyFill="1" applyAlignment="1">
      <alignment horizontal="center" vertical="center" wrapText="1"/>
    </xf>
    <xf numFmtId="0" fontId="1" fillId="6" borderId="0" xfId="0" applyFont="1" applyFill="1" applyAlignment="1">
      <alignment horizontal="center" vertical="center" wrapText="1"/>
    </xf>
    <xf numFmtId="1" fontId="3" fillId="7" borderId="1" xfId="0" applyNumberFormat="1" applyFont="1" applyFill="1" applyBorder="1" applyAlignment="1">
      <alignment vertical="top" wrapText="1"/>
    </xf>
    <xf numFmtId="0" fontId="3" fillId="7" borderId="1" xfId="0" applyFont="1" applyFill="1" applyBorder="1" applyAlignment="1">
      <alignment vertical="top" wrapText="1"/>
    </xf>
    <xf numFmtId="164" fontId="3" fillId="7" borderId="1" xfId="0" applyNumberFormat="1" applyFont="1" applyFill="1" applyBorder="1" applyAlignment="1">
      <alignment vertical="top" wrapText="1"/>
    </xf>
    <xf numFmtId="165" fontId="3" fillId="7" borderId="1" xfId="0" applyNumberFormat="1" applyFont="1" applyFill="1" applyBorder="1" applyAlignment="1">
      <alignment vertical="top" wrapText="1"/>
    </xf>
    <xf numFmtId="1" fontId="3" fillId="8" borderId="1" xfId="0" applyNumberFormat="1" applyFont="1" applyFill="1" applyBorder="1" applyAlignment="1">
      <alignment vertical="top" wrapText="1"/>
    </xf>
    <xf numFmtId="0" fontId="3" fillId="8" borderId="1" xfId="0" applyFont="1" applyFill="1" applyBorder="1" applyAlignment="1">
      <alignment vertical="top" wrapText="1"/>
    </xf>
    <xf numFmtId="164" fontId="3" fillId="8" borderId="1" xfId="0" applyNumberFormat="1" applyFont="1" applyFill="1" applyBorder="1" applyAlignment="1">
      <alignment vertical="top" wrapText="1"/>
    </xf>
    <xf numFmtId="165" fontId="3" fillId="8" borderId="1" xfId="0" applyNumberFormat="1" applyFont="1" applyFill="1" applyBorder="1" applyAlignment="1">
      <alignment vertical="top" wrapText="1"/>
    </xf>
    <xf numFmtId="0" fontId="2" fillId="6" borderId="0" xfId="0" applyFont="1" applyFill="1" applyAlignment="1">
      <alignment vertical="center"/>
    </xf>
    <xf numFmtId="0" fontId="0" fillId="0" borderId="0" xfId="0"/>
    <xf numFmtId="0" fontId="2" fillId="3" borderId="0" xfId="0" applyFont="1" applyFill="1" applyAlignment="1">
      <alignment vertical="center"/>
    </xf>
    <xf numFmtId="0" fontId="2" fillId="2" borderId="0" xfId="0" applyFont="1" applyFill="1" applyAlignment="1">
      <alignment vertical="center"/>
    </xf>
    <xf numFmtId="0" fontId="2" fillId="4" borderId="0" xfId="0" applyFont="1" applyFill="1" applyAlignment="1">
      <alignment vertical="center"/>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4"/>
  <sheetViews>
    <sheetView tabSelected="1" workbookViewId="0">
      <pane xSplit="3" ySplit="2" topLeftCell="T26" activePane="bottomRight" state="frozen"/>
      <selection pane="topRight"/>
      <selection pane="bottomLeft"/>
      <selection pane="bottomRight" activeCell="W31" sqref="W31"/>
    </sheetView>
  </sheetViews>
  <sheetFormatPr baseColWidth="10" defaultColWidth="8.83203125" defaultRowHeight="15" x14ac:dyDescent="0.2"/>
  <cols>
    <col min="1" max="1" width="10" customWidth="1"/>
    <col min="2" max="2" width="12" customWidth="1"/>
    <col min="3" max="3" width="15" customWidth="1"/>
    <col min="4" max="4" width="14" customWidth="1"/>
    <col min="5" max="5" width="16" customWidth="1"/>
    <col min="6" max="6" width="18" customWidth="1"/>
    <col min="7" max="13" width="12" customWidth="1"/>
    <col min="14" max="14" width="13" customWidth="1"/>
    <col min="15" max="15" width="18" customWidth="1"/>
    <col min="16" max="16" width="14" customWidth="1"/>
    <col min="17" max="17" width="18" customWidth="1"/>
    <col min="18" max="21" width="55" customWidth="1"/>
    <col min="22" max="22" width="65" customWidth="1"/>
    <col min="23" max="23" width="22" customWidth="1"/>
    <col min="24" max="24" width="65" customWidth="1"/>
  </cols>
  <sheetData>
    <row r="1" spans="1:24" ht="24" customHeight="1" x14ac:dyDescent="0.2">
      <c r="A1" s="18" t="s">
        <v>0</v>
      </c>
      <c r="B1" s="16"/>
      <c r="C1" s="16"/>
      <c r="D1" s="16"/>
      <c r="E1" s="16"/>
      <c r="F1" s="16"/>
      <c r="G1" s="17" t="s">
        <v>1</v>
      </c>
      <c r="H1" s="16"/>
      <c r="I1" s="16"/>
      <c r="J1" s="16"/>
      <c r="K1" s="16"/>
      <c r="L1" s="16"/>
      <c r="M1" s="16"/>
      <c r="N1" s="19" t="s">
        <v>2</v>
      </c>
      <c r="O1" s="16"/>
      <c r="P1" s="16"/>
      <c r="Q1" s="16"/>
      <c r="R1" s="1" t="s">
        <v>3</v>
      </c>
      <c r="S1" s="15" t="s">
        <v>4</v>
      </c>
      <c r="T1" s="16"/>
      <c r="U1" s="16"/>
      <c r="V1" s="16"/>
      <c r="W1" s="16"/>
      <c r="X1" s="16"/>
    </row>
    <row r="2" spans="1:24" ht="46" customHeight="1" x14ac:dyDescent="0.2">
      <c r="A2" s="2" t="s">
        <v>5</v>
      </c>
      <c r="B2" s="2" t="s">
        <v>6</v>
      </c>
      <c r="C2" s="2" t="s">
        <v>7</v>
      </c>
      <c r="D2" s="2" t="s">
        <v>8</v>
      </c>
      <c r="E2" s="2" t="s">
        <v>9</v>
      </c>
      <c r="F2" s="2" t="s">
        <v>10</v>
      </c>
      <c r="G2" s="3" t="s">
        <v>11</v>
      </c>
      <c r="H2" s="3" t="s">
        <v>12</v>
      </c>
      <c r="I2" s="3" t="s">
        <v>13</v>
      </c>
      <c r="J2" s="3" t="s">
        <v>14</v>
      </c>
      <c r="K2" s="3" t="s">
        <v>15</v>
      </c>
      <c r="L2" s="3" t="s">
        <v>16</v>
      </c>
      <c r="M2" s="3" t="s">
        <v>17</v>
      </c>
      <c r="N2" s="4" t="s">
        <v>18</v>
      </c>
      <c r="O2" s="4" t="s">
        <v>19</v>
      </c>
      <c r="P2" s="4" t="s">
        <v>20</v>
      </c>
      <c r="Q2" s="4" t="s">
        <v>21</v>
      </c>
      <c r="R2" s="5" t="s">
        <v>22</v>
      </c>
      <c r="S2" s="6" t="s">
        <v>23</v>
      </c>
      <c r="T2" s="6" t="s">
        <v>24</v>
      </c>
      <c r="U2" s="6" t="s">
        <v>25</v>
      </c>
      <c r="V2" s="6" t="s">
        <v>26</v>
      </c>
      <c r="W2" s="6" t="s">
        <v>27</v>
      </c>
      <c r="X2" s="6" t="s">
        <v>28</v>
      </c>
    </row>
    <row r="3" spans="1:24" ht="135" customHeight="1" x14ac:dyDescent="0.2">
      <c r="A3" s="7">
        <v>1</v>
      </c>
      <c r="B3" s="8" t="s">
        <v>29</v>
      </c>
      <c r="C3" s="8" t="s">
        <v>30</v>
      </c>
      <c r="D3" s="9">
        <v>44249</v>
      </c>
      <c r="E3" s="9">
        <v>44160</v>
      </c>
      <c r="F3" s="7">
        <f t="shared" ref="F3:F34" si="0">IF(E3="","",E3-D3)</f>
        <v>-89</v>
      </c>
      <c r="G3" s="10"/>
      <c r="H3" s="10"/>
      <c r="I3" s="10"/>
      <c r="J3" s="10"/>
      <c r="K3" s="10"/>
      <c r="L3" s="10"/>
      <c r="M3" s="10"/>
      <c r="N3" s="10">
        <v>35.9</v>
      </c>
      <c r="O3" s="8" t="s">
        <v>31</v>
      </c>
      <c r="P3" s="8" t="s">
        <v>32</v>
      </c>
      <c r="Q3" s="10">
        <v>31</v>
      </c>
      <c r="R3" s="8" t="s">
        <v>33</v>
      </c>
      <c r="S3" s="8" t="s">
        <v>34</v>
      </c>
      <c r="T3" s="8" t="s">
        <v>35</v>
      </c>
      <c r="U3" s="8" t="s">
        <v>36</v>
      </c>
      <c r="V3" s="8" t="s">
        <v>37</v>
      </c>
      <c r="W3" s="8"/>
      <c r="X3" s="8" t="s">
        <v>38</v>
      </c>
    </row>
    <row r="4" spans="1:24" ht="45" customHeight="1" x14ac:dyDescent="0.2">
      <c r="A4" s="11">
        <v>1</v>
      </c>
      <c r="B4" s="12" t="s">
        <v>29</v>
      </c>
      <c r="C4" s="12" t="s">
        <v>39</v>
      </c>
      <c r="D4" s="13">
        <v>44361</v>
      </c>
      <c r="E4" s="13">
        <v>44361</v>
      </c>
      <c r="F4" s="11">
        <f t="shared" si="0"/>
        <v>0</v>
      </c>
      <c r="G4" s="14"/>
      <c r="H4" s="14"/>
      <c r="I4" s="14"/>
      <c r="J4" s="14"/>
      <c r="K4" s="14"/>
      <c r="L4" s="14"/>
      <c r="M4" s="14"/>
      <c r="N4" s="14">
        <v>5.4</v>
      </c>
      <c r="O4" s="12" t="s">
        <v>31</v>
      </c>
      <c r="P4" s="12" t="s">
        <v>32</v>
      </c>
      <c r="Q4" s="14">
        <v>3</v>
      </c>
      <c r="R4" s="12" t="s">
        <v>40</v>
      </c>
      <c r="S4" s="12" t="s">
        <v>41</v>
      </c>
      <c r="T4" s="12" t="s">
        <v>42</v>
      </c>
      <c r="U4" s="12" t="s">
        <v>43</v>
      </c>
      <c r="V4" s="12" t="s">
        <v>44</v>
      </c>
      <c r="W4" s="12" t="s">
        <v>45</v>
      </c>
      <c r="X4" s="12" t="s">
        <v>46</v>
      </c>
    </row>
    <row r="5" spans="1:24" ht="45" customHeight="1" x14ac:dyDescent="0.2">
      <c r="A5" s="7">
        <v>2</v>
      </c>
      <c r="B5" s="8" t="s">
        <v>29</v>
      </c>
      <c r="C5" s="8" t="s">
        <v>30</v>
      </c>
      <c r="D5" s="9">
        <v>44214</v>
      </c>
      <c r="E5" s="9">
        <v>44179</v>
      </c>
      <c r="F5" s="7">
        <f t="shared" si="0"/>
        <v>-35</v>
      </c>
      <c r="G5" s="10"/>
      <c r="H5" s="10"/>
      <c r="I5" s="10"/>
      <c r="J5" s="10"/>
      <c r="K5" s="10"/>
      <c r="L5" s="10"/>
      <c r="M5" s="10"/>
      <c r="N5" s="10">
        <v>5.0999999999999996</v>
      </c>
      <c r="O5" s="8" t="s">
        <v>47</v>
      </c>
      <c r="P5" s="8" t="s">
        <v>32</v>
      </c>
      <c r="Q5" s="10"/>
      <c r="R5" s="8" t="s">
        <v>48</v>
      </c>
      <c r="S5" s="8" t="s">
        <v>49</v>
      </c>
      <c r="T5" s="8" t="s">
        <v>50</v>
      </c>
      <c r="U5" s="8"/>
      <c r="V5" s="8" t="s">
        <v>51</v>
      </c>
      <c r="W5" s="8"/>
      <c r="X5" s="8" t="s">
        <v>52</v>
      </c>
    </row>
    <row r="6" spans="1:24" ht="105" customHeight="1" x14ac:dyDescent="0.2">
      <c r="A6" s="11">
        <v>2</v>
      </c>
      <c r="B6" s="12" t="s">
        <v>29</v>
      </c>
      <c r="C6" s="12" t="s">
        <v>39</v>
      </c>
      <c r="D6" s="13">
        <v>44736</v>
      </c>
      <c r="E6" s="13">
        <v>44781</v>
      </c>
      <c r="F6" s="11">
        <f t="shared" si="0"/>
        <v>45</v>
      </c>
      <c r="G6" s="14"/>
      <c r="H6" s="14">
        <v>7.8</v>
      </c>
      <c r="I6" s="14"/>
      <c r="J6" s="14"/>
      <c r="K6" s="14"/>
      <c r="L6" s="14"/>
      <c r="M6" s="14"/>
      <c r="N6" s="14">
        <v>5.2</v>
      </c>
      <c r="O6" s="12" t="s">
        <v>47</v>
      </c>
      <c r="P6" s="12" t="s">
        <v>32</v>
      </c>
      <c r="Q6" s="14"/>
      <c r="R6" s="12" t="s">
        <v>53</v>
      </c>
      <c r="S6" s="12" t="s">
        <v>54</v>
      </c>
      <c r="T6" s="12"/>
      <c r="U6" s="12" t="s">
        <v>55</v>
      </c>
      <c r="V6" s="12" t="s">
        <v>56</v>
      </c>
      <c r="W6" s="12" t="s">
        <v>57</v>
      </c>
      <c r="X6" s="12" t="s">
        <v>58</v>
      </c>
    </row>
    <row r="7" spans="1:24" ht="90" customHeight="1" x14ac:dyDescent="0.2">
      <c r="A7" s="7">
        <v>3</v>
      </c>
      <c r="B7" s="8" t="s">
        <v>29</v>
      </c>
      <c r="C7" s="8" t="s">
        <v>30</v>
      </c>
      <c r="D7" s="9">
        <v>44123</v>
      </c>
      <c r="E7" s="9">
        <v>44123</v>
      </c>
      <c r="F7" s="7">
        <f t="shared" si="0"/>
        <v>0</v>
      </c>
      <c r="G7" s="10"/>
      <c r="H7" s="10"/>
      <c r="I7" s="10"/>
      <c r="J7" s="10"/>
      <c r="K7" s="10"/>
      <c r="L7" s="10"/>
      <c r="M7" s="10"/>
      <c r="N7" s="10">
        <v>5.2</v>
      </c>
      <c r="O7" s="8" t="s">
        <v>47</v>
      </c>
      <c r="P7" s="8" t="s">
        <v>32</v>
      </c>
      <c r="Q7" s="10">
        <v>12</v>
      </c>
      <c r="R7" s="8" t="s">
        <v>59</v>
      </c>
      <c r="S7" s="8" t="s">
        <v>60</v>
      </c>
      <c r="T7" s="8" t="s">
        <v>61</v>
      </c>
      <c r="U7" s="8" t="s">
        <v>62</v>
      </c>
      <c r="V7" s="8" t="s">
        <v>63</v>
      </c>
      <c r="W7" s="8"/>
      <c r="X7" s="8" t="s">
        <v>64</v>
      </c>
    </row>
    <row r="8" spans="1:24" ht="165" customHeight="1" x14ac:dyDescent="0.2">
      <c r="A8" s="11">
        <v>3</v>
      </c>
      <c r="B8" s="12" t="s">
        <v>29</v>
      </c>
      <c r="C8" s="12" t="s">
        <v>39</v>
      </c>
      <c r="D8" s="13">
        <v>44242</v>
      </c>
      <c r="E8" s="13">
        <v>44214</v>
      </c>
      <c r="F8" s="11">
        <f t="shared" si="0"/>
        <v>-28</v>
      </c>
      <c r="G8" s="14"/>
      <c r="H8" s="14"/>
      <c r="I8" s="14"/>
      <c r="J8" s="14"/>
      <c r="K8" s="14"/>
      <c r="L8" s="14"/>
      <c r="M8" s="14"/>
      <c r="N8" s="14">
        <v>5.0999999999999996</v>
      </c>
      <c r="O8" s="12" t="s">
        <v>47</v>
      </c>
      <c r="P8" s="12" t="s">
        <v>32</v>
      </c>
      <c r="Q8" s="14"/>
      <c r="R8" s="12" t="s">
        <v>65</v>
      </c>
      <c r="S8" s="12" t="s">
        <v>66</v>
      </c>
      <c r="T8" s="12" t="s">
        <v>67</v>
      </c>
      <c r="U8" s="12" t="s">
        <v>68</v>
      </c>
      <c r="V8" s="12" t="s">
        <v>69</v>
      </c>
      <c r="W8" s="12" t="s">
        <v>220</v>
      </c>
      <c r="X8" s="12" t="s">
        <v>70</v>
      </c>
    </row>
    <row r="9" spans="1:24" ht="75" customHeight="1" x14ac:dyDescent="0.2">
      <c r="A9" s="7">
        <v>4</v>
      </c>
      <c r="B9" s="8" t="s">
        <v>29</v>
      </c>
      <c r="C9" s="8" t="s">
        <v>30</v>
      </c>
      <c r="D9" s="9">
        <v>44092</v>
      </c>
      <c r="E9" s="9">
        <v>44063</v>
      </c>
      <c r="F9" s="7">
        <f t="shared" si="0"/>
        <v>-29</v>
      </c>
      <c r="G9" s="10"/>
      <c r="H9" s="10">
        <v>4.8499999999999996</v>
      </c>
      <c r="I9" s="10"/>
      <c r="J9" s="10"/>
      <c r="K9" s="10"/>
      <c r="L9" s="10"/>
      <c r="M9" s="10">
        <v>0.38</v>
      </c>
      <c r="N9" s="10">
        <v>5.2</v>
      </c>
      <c r="O9" s="8" t="s">
        <v>47</v>
      </c>
      <c r="P9" s="8" t="s">
        <v>32</v>
      </c>
      <c r="Q9" s="10">
        <v>11</v>
      </c>
      <c r="R9" s="8" t="s">
        <v>71</v>
      </c>
      <c r="S9" s="8" t="s">
        <v>72</v>
      </c>
      <c r="T9" s="8" t="s">
        <v>73</v>
      </c>
      <c r="U9" s="8" t="s">
        <v>74</v>
      </c>
      <c r="V9" s="8" t="s">
        <v>75</v>
      </c>
      <c r="W9" s="8"/>
      <c r="X9" s="8" t="s">
        <v>76</v>
      </c>
    </row>
    <row r="10" spans="1:24" ht="90" customHeight="1" x14ac:dyDescent="0.2">
      <c r="A10" s="11">
        <v>4</v>
      </c>
      <c r="B10" s="12" t="s">
        <v>29</v>
      </c>
      <c r="C10" s="12" t="s">
        <v>39</v>
      </c>
      <c r="D10" s="13">
        <v>44239</v>
      </c>
      <c r="E10" s="13">
        <v>44305</v>
      </c>
      <c r="F10" s="11">
        <f t="shared" si="0"/>
        <v>66</v>
      </c>
      <c r="G10" s="14"/>
      <c r="H10" s="14"/>
      <c r="I10" s="14"/>
      <c r="J10" s="14"/>
      <c r="K10" s="14"/>
      <c r="L10" s="14"/>
      <c r="M10" s="14"/>
      <c r="N10" s="14">
        <v>5.0999999999999996</v>
      </c>
      <c r="O10" s="12" t="s">
        <v>47</v>
      </c>
      <c r="P10" s="12" t="s">
        <v>32</v>
      </c>
      <c r="Q10" s="14">
        <v>4</v>
      </c>
      <c r="R10" s="12" t="s">
        <v>77</v>
      </c>
      <c r="S10" s="12" t="s">
        <v>78</v>
      </c>
      <c r="T10" s="12" t="s">
        <v>79</v>
      </c>
      <c r="U10" s="12" t="s">
        <v>80</v>
      </c>
      <c r="V10" s="12" t="s">
        <v>81</v>
      </c>
      <c r="W10" s="12" t="s">
        <v>221</v>
      </c>
      <c r="X10" s="12" t="s">
        <v>82</v>
      </c>
    </row>
    <row r="11" spans="1:24" ht="120" customHeight="1" x14ac:dyDescent="0.2">
      <c r="A11" s="7">
        <v>5</v>
      </c>
      <c r="B11" s="8" t="s">
        <v>29</v>
      </c>
      <c r="C11" s="8" t="s">
        <v>30</v>
      </c>
      <c r="D11" s="9">
        <v>44053</v>
      </c>
      <c r="E11" s="9">
        <v>44048</v>
      </c>
      <c r="F11" s="7">
        <f t="shared" si="0"/>
        <v>-5</v>
      </c>
      <c r="G11" s="10"/>
      <c r="H11" s="10">
        <v>5.5</v>
      </c>
      <c r="I11" s="10"/>
      <c r="J11" s="10"/>
      <c r="K11" s="10"/>
      <c r="L11" s="10"/>
      <c r="M11" s="10">
        <v>0.875</v>
      </c>
      <c r="N11" s="10">
        <v>5.3</v>
      </c>
      <c r="O11" s="8" t="s">
        <v>31</v>
      </c>
      <c r="P11" s="8" t="s">
        <v>32</v>
      </c>
      <c r="Q11" s="10">
        <v>12</v>
      </c>
      <c r="R11" s="8" t="s">
        <v>83</v>
      </c>
      <c r="S11" s="8" t="s">
        <v>84</v>
      </c>
      <c r="T11" s="8" t="s">
        <v>85</v>
      </c>
      <c r="U11" s="8"/>
      <c r="V11" s="8" t="s">
        <v>86</v>
      </c>
      <c r="W11" s="8"/>
      <c r="X11" s="8" t="s">
        <v>87</v>
      </c>
    </row>
    <row r="12" spans="1:24" ht="105" customHeight="1" x14ac:dyDescent="0.2">
      <c r="A12" s="11">
        <v>5</v>
      </c>
      <c r="B12" s="12" t="s">
        <v>29</v>
      </c>
      <c r="C12" s="12" t="s">
        <v>39</v>
      </c>
      <c r="D12" s="13">
        <v>44169</v>
      </c>
      <c r="E12" s="13">
        <v>44147</v>
      </c>
      <c r="F12" s="11">
        <f t="shared" si="0"/>
        <v>-22</v>
      </c>
      <c r="G12" s="14"/>
      <c r="H12" s="14">
        <v>0.82499999999999996</v>
      </c>
      <c r="I12" s="14"/>
      <c r="J12" s="14"/>
      <c r="K12" s="14"/>
      <c r="L12" s="14"/>
      <c r="M12" s="14">
        <v>0</v>
      </c>
      <c r="N12" s="14">
        <v>5.2</v>
      </c>
      <c r="O12" s="12" t="s">
        <v>47</v>
      </c>
      <c r="P12" s="12" t="s">
        <v>32</v>
      </c>
      <c r="Q12" s="14">
        <v>1</v>
      </c>
      <c r="R12" s="12" t="s">
        <v>88</v>
      </c>
      <c r="S12" s="12" t="s">
        <v>89</v>
      </c>
      <c r="T12" s="12" t="s">
        <v>90</v>
      </c>
      <c r="U12" s="12"/>
      <c r="V12" s="12" t="s">
        <v>91</v>
      </c>
      <c r="W12" s="12" t="s">
        <v>45</v>
      </c>
      <c r="X12" s="12" t="s">
        <v>92</v>
      </c>
    </row>
    <row r="13" spans="1:24" ht="75" customHeight="1" x14ac:dyDescent="0.2">
      <c r="A13" s="7">
        <v>6</v>
      </c>
      <c r="B13" s="8" t="s">
        <v>29</v>
      </c>
      <c r="C13" s="8" t="s">
        <v>30</v>
      </c>
      <c r="D13" s="9">
        <v>44046</v>
      </c>
      <c r="E13" s="9">
        <v>43969</v>
      </c>
      <c r="F13" s="7">
        <f t="shared" si="0"/>
        <v>-77</v>
      </c>
      <c r="G13" s="10"/>
      <c r="H13" s="10"/>
      <c r="I13" s="10"/>
      <c r="J13" s="10"/>
      <c r="K13" s="10"/>
      <c r="L13" s="10"/>
      <c r="M13" s="10"/>
      <c r="N13" s="10"/>
      <c r="O13" s="8"/>
      <c r="P13" s="8"/>
      <c r="Q13" s="10"/>
      <c r="R13" s="8" t="s">
        <v>93</v>
      </c>
      <c r="S13" s="8" t="s">
        <v>94</v>
      </c>
      <c r="T13" s="8" t="s">
        <v>95</v>
      </c>
      <c r="U13" s="8" t="s">
        <v>96</v>
      </c>
      <c r="V13" s="8" t="s">
        <v>97</v>
      </c>
      <c r="W13" s="8"/>
      <c r="X13" s="8" t="s">
        <v>98</v>
      </c>
    </row>
    <row r="14" spans="1:24" ht="180" customHeight="1" x14ac:dyDescent="0.2">
      <c r="A14" s="11">
        <v>6</v>
      </c>
      <c r="B14" s="12" t="s">
        <v>29</v>
      </c>
      <c r="C14" s="12" t="s">
        <v>39</v>
      </c>
      <c r="D14" s="13">
        <v>44253</v>
      </c>
      <c r="E14" s="13">
        <v>44398</v>
      </c>
      <c r="F14" s="11">
        <f t="shared" si="0"/>
        <v>145</v>
      </c>
      <c r="G14" s="14"/>
      <c r="H14" s="14">
        <v>0.8</v>
      </c>
      <c r="I14" s="14"/>
      <c r="J14" s="14"/>
      <c r="K14" s="14"/>
      <c r="L14" s="14">
        <v>0</v>
      </c>
      <c r="M14" s="14"/>
      <c r="N14" s="14">
        <v>5.0999999999999996</v>
      </c>
      <c r="O14" s="12" t="s">
        <v>47</v>
      </c>
      <c r="P14" s="12" t="s">
        <v>32</v>
      </c>
      <c r="Q14" s="14">
        <v>4</v>
      </c>
      <c r="R14" s="12" t="s">
        <v>99</v>
      </c>
      <c r="S14" s="12" t="s">
        <v>100</v>
      </c>
      <c r="T14" s="12" t="s">
        <v>101</v>
      </c>
      <c r="U14" s="12" t="s">
        <v>102</v>
      </c>
      <c r="V14" s="12" t="s">
        <v>103</v>
      </c>
      <c r="W14" s="12" t="s">
        <v>45</v>
      </c>
      <c r="X14" s="12" t="s">
        <v>104</v>
      </c>
    </row>
    <row r="15" spans="1:24" ht="120" customHeight="1" x14ac:dyDescent="0.2">
      <c r="A15" s="7">
        <v>7</v>
      </c>
      <c r="B15" s="8" t="s">
        <v>29</v>
      </c>
      <c r="C15" s="8" t="s">
        <v>30</v>
      </c>
      <c r="D15" s="9">
        <v>43976</v>
      </c>
      <c r="E15" s="9">
        <v>43951</v>
      </c>
      <c r="F15" s="7">
        <f t="shared" si="0"/>
        <v>-25</v>
      </c>
      <c r="G15" s="10"/>
      <c r="H15" s="10">
        <v>5.4</v>
      </c>
      <c r="I15" s="10">
        <v>0</v>
      </c>
      <c r="J15" s="10">
        <v>0</v>
      </c>
      <c r="K15" s="10"/>
      <c r="L15" s="10"/>
      <c r="M15" s="10">
        <v>0.375</v>
      </c>
      <c r="N15" s="10">
        <v>9.6999999999999993</v>
      </c>
      <c r="O15" s="8" t="s">
        <v>31</v>
      </c>
      <c r="P15" s="8" t="s">
        <v>32</v>
      </c>
      <c r="Q15" s="10">
        <v>39</v>
      </c>
      <c r="R15" s="8" t="s">
        <v>105</v>
      </c>
      <c r="S15" s="8" t="s">
        <v>106</v>
      </c>
      <c r="T15" s="8" t="s">
        <v>107</v>
      </c>
      <c r="U15" s="8" t="s">
        <v>108</v>
      </c>
      <c r="V15" s="8" t="s">
        <v>109</v>
      </c>
      <c r="W15" s="8"/>
      <c r="X15" s="8" t="s">
        <v>110</v>
      </c>
    </row>
    <row r="16" spans="1:24" ht="60" customHeight="1" x14ac:dyDescent="0.2">
      <c r="A16" s="11">
        <v>7</v>
      </c>
      <c r="B16" s="12" t="s">
        <v>29</v>
      </c>
      <c r="C16" s="12" t="s">
        <v>39</v>
      </c>
      <c r="D16" s="13">
        <v>44221</v>
      </c>
      <c r="E16" s="13">
        <v>44162</v>
      </c>
      <c r="F16" s="11">
        <f t="shared" si="0"/>
        <v>-59</v>
      </c>
      <c r="G16" s="14"/>
      <c r="H16" s="14"/>
      <c r="I16" s="14"/>
      <c r="J16" s="14"/>
      <c r="K16" s="14"/>
      <c r="L16" s="14"/>
      <c r="M16" s="14"/>
      <c r="N16" s="14">
        <v>5.0999999999999996</v>
      </c>
      <c r="O16" s="12" t="s">
        <v>47</v>
      </c>
      <c r="P16" s="12" t="s">
        <v>32</v>
      </c>
      <c r="Q16" s="14">
        <v>2</v>
      </c>
      <c r="R16" s="12" t="s">
        <v>111</v>
      </c>
      <c r="S16" s="12" t="s">
        <v>112</v>
      </c>
      <c r="T16" s="12" t="s">
        <v>113</v>
      </c>
      <c r="U16" s="12" t="s">
        <v>114</v>
      </c>
      <c r="V16" s="12" t="s">
        <v>115</v>
      </c>
      <c r="W16" s="12" t="s">
        <v>45</v>
      </c>
      <c r="X16" s="12" t="s">
        <v>116</v>
      </c>
    </row>
    <row r="17" spans="1:24" ht="60" customHeight="1" x14ac:dyDescent="0.2">
      <c r="A17" s="7">
        <v>8</v>
      </c>
      <c r="B17" s="8" t="s">
        <v>29</v>
      </c>
      <c r="C17" s="8" t="s">
        <v>30</v>
      </c>
      <c r="D17" s="9">
        <v>43948</v>
      </c>
      <c r="E17" s="9">
        <v>43941</v>
      </c>
      <c r="F17" s="7">
        <f t="shared" si="0"/>
        <v>-7</v>
      </c>
      <c r="G17" s="10"/>
      <c r="H17" s="10"/>
      <c r="I17" s="10"/>
      <c r="J17" s="10"/>
      <c r="K17" s="10"/>
      <c r="L17" s="10"/>
      <c r="M17" s="10"/>
      <c r="N17" s="10">
        <v>13.8</v>
      </c>
      <c r="O17" s="8" t="s">
        <v>31</v>
      </c>
      <c r="P17" s="8" t="s">
        <v>32</v>
      </c>
      <c r="Q17" s="10"/>
      <c r="R17" s="8" t="s">
        <v>117</v>
      </c>
      <c r="S17" s="8" t="s">
        <v>118</v>
      </c>
      <c r="T17" s="8" t="s">
        <v>119</v>
      </c>
      <c r="U17" s="8" t="s">
        <v>120</v>
      </c>
      <c r="V17" s="8" t="s">
        <v>121</v>
      </c>
      <c r="W17" s="8"/>
      <c r="X17" s="8" t="s">
        <v>122</v>
      </c>
    </row>
    <row r="18" spans="1:24" ht="90" customHeight="1" x14ac:dyDescent="0.2">
      <c r="A18" s="11">
        <v>8</v>
      </c>
      <c r="B18" s="12" t="s">
        <v>29</v>
      </c>
      <c r="C18" s="12" t="s">
        <v>39</v>
      </c>
      <c r="D18" s="13">
        <v>44085</v>
      </c>
      <c r="E18" s="13">
        <v>44144</v>
      </c>
      <c r="F18" s="11">
        <f t="shared" si="0"/>
        <v>59</v>
      </c>
      <c r="G18" s="14"/>
      <c r="H18" s="14">
        <v>1.4</v>
      </c>
      <c r="I18" s="14"/>
      <c r="J18" s="14"/>
      <c r="K18" s="14"/>
      <c r="L18" s="14"/>
      <c r="M18" s="14"/>
      <c r="N18" s="14">
        <v>5.2</v>
      </c>
      <c r="O18" s="12" t="s">
        <v>47</v>
      </c>
      <c r="P18" s="12" t="s">
        <v>32</v>
      </c>
      <c r="Q18" s="14">
        <v>5</v>
      </c>
      <c r="R18" s="12" t="s">
        <v>123</v>
      </c>
      <c r="S18" s="12" t="s">
        <v>124</v>
      </c>
      <c r="T18" s="12" t="s">
        <v>125</v>
      </c>
      <c r="U18" s="12" t="s">
        <v>126</v>
      </c>
      <c r="V18" s="12" t="s">
        <v>127</v>
      </c>
      <c r="W18" s="12" t="s">
        <v>45</v>
      </c>
      <c r="X18" s="12" t="s">
        <v>128</v>
      </c>
    </row>
    <row r="19" spans="1:24" ht="90" customHeight="1" x14ac:dyDescent="0.2">
      <c r="A19" s="7">
        <v>9</v>
      </c>
      <c r="B19" s="8" t="s">
        <v>29</v>
      </c>
      <c r="C19" s="8" t="s">
        <v>30</v>
      </c>
      <c r="D19" s="9">
        <v>43854</v>
      </c>
      <c r="E19" s="9">
        <v>43845</v>
      </c>
      <c r="F19" s="7">
        <f t="shared" si="0"/>
        <v>-9</v>
      </c>
      <c r="G19" s="10"/>
      <c r="H19" s="10">
        <v>7.3</v>
      </c>
      <c r="I19" s="10"/>
      <c r="J19" s="10"/>
      <c r="K19" s="10"/>
      <c r="L19" s="10"/>
      <c r="M19" s="10">
        <v>0.5</v>
      </c>
      <c r="N19" s="10">
        <v>6.5</v>
      </c>
      <c r="O19" s="8" t="s">
        <v>31</v>
      </c>
      <c r="P19" s="8" t="s">
        <v>32</v>
      </c>
      <c r="Q19" s="10"/>
      <c r="R19" s="8" t="s">
        <v>129</v>
      </c>
      <c r="S19" s="8" t="s">
        <v>130</v>
      </c>
      <c r="T19" s="8" t="s">
        <v>131</v>
      </c>
      <c r="U19" s="8" t="s">
        <v>132</v>
      </c>
      <c r="V19" s="8" t="s">
        <v>133</v>
      </c>
      <c r="W19" s="8"/>
      <c r="X19" s="8" t="s">
        <v>134</v>
      </c>
    </row>
    <row r="20" spans="1:24" ht="105" customHeight="1" x14ac:dyDescent="0.2">
      <c r="A20" s="11">
        <v>9</v>
      </c>
      <c r="B20" s="12" t="s">
        <v>29</v>
      </c>
      <c r="C20" s="12" t="s">
        <v>39</v>
      </c>
      <c r="D20" s="13">
        <v>44050</v>
      </c>
      <c r="E20" s="13">
        <v>43979</v>
      </c>
      <c r="F20" s="11">
        <f t="shared" si="0"/>
        <v>-71</v>
      </c>
      <c r="G20" s="14"/>
      <c r="H20" s="14">
        <v>9.9</v>
      </c>
      <c r="I20" s="14"/>
      <c r="J20" s="14"/>
      <c r="K20" s="14"/>
      <c r="L20" s="14"/>
      <c r="M20" s="14">
        <v>0</v>
      </c>
      <c r="N20" s="14"/>
      <c r="O20" s="12"/>
      <c r="P20" s="12"/>
      <c r="Q20" s="14"/>
      <c r="R20" s="12" t="s">
        <v>135</v>
      </c>
      <c r="S20" s="12" t="s">
        <v>136</v>
      </c>
      <c r="T20" s="12" t="s">
        <v>137</v>
      </c>
      <c r="U20" s="12" t="s">
        <v>138</v>
      </c>
      <c r="V20" s="12" t="s">
        <v>139</v>
      </c>
      <c r="W20" s="12" t="s">
        <v>57</v>
      </c>
      <c r="X20" s="12" t="s">
        <v>140</v>
      </c>
    </row>
    <row r="21" spans="1:24" ht="120" customHeight="1" x14ac:dyDescent="0.2">
      <c r="A21" s="7">
        <v>10</v>
      </c>
      <c r="B21" s="8" t="s">
        <v>29</v>
      </c>
      <c r="C21" s="8" t="s">
        <v>30</v>
      </c>
      <c r="D21" s="9">
        <v>43850</v>
      </c>
      <c r="E21" s="9">
        <v>43885</v>
      </c>
      <c r="F21" s="7">
        <f t="shared" si="0"/>
        <v>35</v>
      </c>
      <c r="G21" s="10"/>
      <c r="H21" s="10"/>
      <c r="I21" s="10"/>
      <c r="J21" s="10"/>
      <c r="K21" s="10"/>
      <c r="L21" s="10"/>
      <c r="M21" s="10"/>
      <c r="N21" s="10">
        <v>5.2</v>
      </c>
      <c r="O21" s="8" t="s">
        <v>47</v>
      </c>
      <c r="P21" s="8" t="s">
        <v>32</v>
      </c>
      <c r="Q21" s="10">
        <v>6</v>
      </c>
      <c r="R21" s="8" t="s">
        <v>141</v>
      </c>
      <c r="S21" s="8" t="s">
        <v>142</v>
      </c>
      <c r="T21" s="8" t="s">
        <v>143</v>
      </c>
      <c r="U21" s="8" t="s">
        <v>144</v>
      </c>
      <c r="V21" s="8" t="s">
        <v>145</v>
      </c>
      <c r="W21" s="8"/>
      <c r="X21" s="8" t="s">
        <v>146</v>
      </c>
    </row>
    <row r="22" spans="1:24" ht="60" customHeight="1" x14ac:dyDescent="0.2">
      <c r="A22" s="11">
        <v>10</v>
      </c>
      <c r="B22" s="12" t="s">
        <v>29</v>
      </c>
      <c r="C22" s="12" t="s">
        <v>39</v>
      </c>
      <c r="D22" s="13">
        <v>44074</v>
      </c>
      <c r="E22" s="13">
        <v>44137</v>
      </c>
      <c r="F22" s="11">
        <f t="shared" si="0"/>
        <v>63</v>
      </c>
      <c r="G22" s="14"/>
      <c r="H22" s="14"/>
      <c r="I22" s="14"/>
      <c r="J22" s="14"/>
      <c r="K22" s="14"/>
      <c r="L22" s="14"/>
      <c r="M22" s="14"/>
      <c r="N22" s="14">
        <v>5.2</v>
      </c>
      <c r="O22" s="12" t="s">
        <v>47</v>
      </c>
      <c r="P22" s="12" t="s">
        <v>32</v>
      </c>
      <c r="Q22" s="14"/>
      <c r="R22" s="12" t="s">
        <v>147</v>
      </c>
      <c r="S22" s="12" t="s">
        <v>148</v>
      </c>
      <c r="T22" s="12" t="s">
        <v>149</v>
      </c>
      <c r="U22" s="12" t="s">
        <v>150</v>
      </c>
      <c r="V22" s="12" t="s">
        <v>151</v>
      </c>
      <c r="W22" s="12" t="s">
        <v>45</v>
      </c>
      <c r="X22" s="12" t="s">
        <v>152</v>
      </c>
    </row>
    <row r="23" spans="1:24" ht="60" customHeight="1" x14ac:dyDescent="0.2">
      <c r="A23" s="7">
        <v>11</v>
      </c>
      <c r="B23" s="8" t="s">
        <v>29</v>
      </c>
      <c r="C23" s="8" t="s">
        <v>30</v>
      </c>
      <c r="D23" s="9">
        <v>43787</v>
      </c>
      <c r="E23" s="9">
        <v>43717</v>
      </c>
      <c r="F23" s="7">
        <f t="shared" si="0"/>
        <v>-70</v>
      </c>
      <c r="G23" s="10"/>
      <c r="H23" s="10"/>
      <c r="I23" s="10"/>
      <c r="J23" s="10"/>
      <c r="K23" s="10"/>
      <c r="L23" s="10"/>
      <c r="M23" s="10"/>
      <c r="N23" s="10">
        <v>5.2</v>
      </c>
      <c r="O23" s="8" t="s">
        <v>47</v>
      </c>
      <c r="P23" s="8" t="s">
        <v>32</v>
      </c>
      <c r="Q23" s="10"/>
      <c r="R23" s="8" t="s">
        <v>153</v>
      </c>
      <c r="S23" s="8" t="s">
        <v>154</v>
      </c>
      <c r="T23" s="8" t="s">
        <v>155</v>
      </c>
      <c r="U23" s="8" t="s">
        <v>156</v>
      </c>
      <c r="V23" s="8" t="s">
        <v>157</v>
      </c>
      <c r="W23" s="8"/>
      <c r="X23" s="8" t="s">
        <v>158</v>
      </c>
    </row>
    <row r="24" spans="1:24" ht="120" customHeight="1" x14ac:dyDescent="0.2">
      <c r="A24" s="11">
        <v>11</v>
      </c>
      <c r="B24" s="12" t="s">
        <v>29</v>
      </c>
      <c r="C24" s="12" t="s">
        <v>39</v>
      </c>
      <c r="D24" s="13">
        <v>44074</v>
      </c>
      <c r="E24" s="13">
        <v>44048</v>
      </c>
      <c r="F24" s="11">
        <f t="shared" si="0"/>
        <v>-26</v>
      </c>
      <c r="G24" s="14"/>
      <c r="H24" s="14">
        <v>1.3</v>
      </c>
      <c r="I24" s="14">
        <v>0</v>
      </c>
      <c r="J24" s="14">
        <v>0</v>
      </c>
      <c r="K24" s="14"/>
      <c r="L24" s="14"/>
      <c r="M24" s="14">
        <v>0</v>
      </c>
      <c r="N24" s="14">
        <v>5.2</v>
      </c>
      <c r="O24" s="12" t="s">
        <v>47</v>
      </c>
      <c r="P24" s="12" t="s">
        <v>32</v>
      </c>
      <c r="Q24" s="14">
        <v>1</v>
      </c>
      <c r="R24" s="12" t="s">
        <v>159</v>
      </c>
      <c r="S24" s="12" t="s">
        <v>160</v>
      </c>
      <c r="T24" s="12" t="s">
        <v>161</v>
      </c>
      <c r="U24" s="12" t="s">
        <v>162</v>
      </c>
      <c r="V24" s="12" t="s">
        <v>163</v>
      </c>
      <c r="W24" s="12" t="s">
        <v>45</v>
      </c>
      <c r="X24" s="12" t="s">
        <v>164</v>
      </c>
    </row>
    <row r="25" spans="1:24" ht="75" customHeight="1" x14ac:dyDescent="0.2">
      <c r="A25" s="7">
        <v>12</v>
      </c>
      <c r="B25" s="8" t="s">
        <v>29</v>
      </c>
      <c r="C25" s="8" t="s">
        <v>30</v>
      </c>
      <c r="D25" s="9">
        <v>43619</v>
      </c>
      <c r="E25" s="9">
        <v>43594</v>
      </c>
      <c r="F25" s="7">
        <f t="shared" si="0"/>
        <v>-25</v>
      </c>
      <c r="G25" s="10"/>
      <c r="H25" s="10"/>
      <c r="I25" s="10">
        <v>4</v>
      </c>
      <c r="J25" s="10">
        <v>2</v>
      </c>
      <c r="K25" s="10"/>
      <c r="L25" s="10"/>
      <c r="M25" s="10"/>
      <c r="N25" s="10">
        <v>5.2</v>
      </c>
      <c r="O25" s="8" t="s">
        <v>47</v>
      </c>
      <c r="P25" s="8" t="s">
        <v>32</v>
      </c>
      <c r="Q25" s="10">
        <v>4</v>
      </c>
      <c r="R25" s="8" t="s">
        <v>165</v>
      </c>
      <c r="S25" s="8" t="s">
        <v>166</v>
      </c>
      <c r="T25" s="8" t="s">
        <v>167</v>
      </c>
      <c r="U25" s="8"/>
      <c r="V25" s="8" t="s">
        <v>168</v>
      </c>
      <c r="W25" s="8"/>
      <c r="X25" s="8" t="s">
        <v>169</v>
      </c>
    </row>
    <row r="26" spans="1:24" ht="150" customHeight="1" x14ac:dyDescent="0.2">
      <c r="A26" s="11">
        <v>12</v>
      </c>
      <c r="B26" s="12" t="s">
        <v>29</v>
      </c>
      <c r="C26" s="12" t="s">
        <v>39</v>
      </c>
      <c r="D26" s="13">
        <v>44067</v>
      </c>
      <c r="E26" s="13">
        <v>44048</v>
      </c>
      <c r="F26" s="11">
        <f t="shared" si="0"/>
        <v>-19</v>
      </c>
      <c r="G26" s="14"/>
      <c r="H26" s="14">
        <v>2.93</v>
      </c>
      <c r="I26" s="14"/>
      <c r="J26" s="14"/>
      <c r="K26" s="14"/>
      <c r="L26" s="14"/>
      <c r="M26" s="14">
        <v>0.13</v>
      </c>
      <c r="N26" s="14">
        <v>5.2</v>
      </c>
      <c r="O26" s="12" t="s">
        <v>47</v>
      </c>
      <c r="P26" s="12" t="s">
        <v>32</v>
      </c>
      <c r="Q26" s="14">
        <v>1</v>
      </c>
      <c r="R26" s="12" t="s">
        <v>170</v>
      </c>
      <c r="S26" s="12" t="s">
        <v>171</v>
      </c>
      <c r="T26" s="12" t="s">
        <v>172</v>
      </c>
      <c r="U26" s="12"/>
      <c r="V26" s="12" t="s">
        <v>173</v>
      </c>
      <c r="W26" s="12" t="s">
        <v>45</v>
      </c>
      <c r="X26" s="12" t="s">
        <v>174</v>
      </c>
    </row>
    <row r="27" spans="1:24" ht="75" customHeight="1" x14ac:dyDescent="0.2">
      <c r="A27" s="7">
        <v>13</v>
      </c>
      <c r="B27" s="8" t="s">
        <v>29</v>
      </c>
      <c r="C27" s="8" t="s">
        <v>30</v>
      </c>
      <c r="D27" s="9">
        <v>43493</v>
      </c>
      <c r="E27" s="9">
        <v>43430</v>
      </c>
      <c r="F27" s="7">
        <f t="shared" si="0"/>
        <v>-63</v>
      </c>
      <c r="G27" s="10"/>
      <c r="H27" s="10"/>
      <c r="I27" s="10"/>
      <c r="J27" s="10"/>
      <c r="K27" s="10"/>
      <c r="L27" s="10"/>
      <c r="M27" s="10"/>
      <c r="N27" s="10">
        <v>37.9</v>
      </c>
      <c r="O27" s="8" t="s">
        <v>31</v>
      </c>
      <c r="P27" s="8" t="s">
        <v>32</v>
      </c>
      <c r="Q27" s="10"/>
      <c r="R27" s="8" t="s">
        <v>175</v>
      </c>
      <c r="S27" s="8" t="s">
        <v>176</v>
      </c>
      <c r="T27" s="8" t="s">
        <v>177</v>
      </c>
      <c r="U27" s="8"/>
      <c r="V27" s="8" t="s">
        <v>178</v>
      </c>
      <c r="W27" s="8"/>
      <c r="X27" s="8" t="s">
        <v>179</v>
      </c>
    </row>
    <row r="28" spans="1:24" ht="105" customHeight="1" x14ac:dyDescent="0.2">
      <c r="A28" s="11">
        <v>13</v>
      </c>
      <c r="B28" s="12" t="s">
        <v>29</v>
      </c>
      <c r="C28" s="12" t="s">
        <v>39</v>
      </c>
      <c r="D28" s="13">
        <v>44060</v>
      </c>
      <c r="E28" s="13">
        <v>44098</v>
      </c>
      <c r="F28" s="11">
        <f t="shared" si="0"/>
        <v>38</v>
      </c>
      <c r="G28" s="14"/>
      <c r="H28" s="14">
        <v>1.63</v>
      </c>
      <c r="I28" s="14">
        <v>0</v>
      </c>
      <c r="J28" s="14">
        <v>0</v>
      </c>
      <c r="K28" s="14"/>
      <c r="L28" s="14"/>
      <c r="M28" s="14">
        <v>0.13</v>
      </c>
      <c r="N28" s="14">
        <v>10.5</v>
      </c>
      <c r="O28" s="12" t="s">
        <v>31</v>
      </c>
      <c r="P28" s="12" t="s">
        <v>32</v>
      </c>
      <c r="Q28" s="14">
        <v>29</v>
      </c>
      <c r="R28" s="12" t="s">
        <v>180</v>
      </c>
      <c r="S28" s="12" t="s">
        <v>181</v>
      </c>
      <c r="T28" s="12"/>
      <c r="U28" s="12" t="s">
        <v>182</v>
      </c>
      <c r="V28" s="12" t="s">
        <v>183</v>
      </c>
      <c r="W28" s="12" t="s">
        <v>45</v>
      </c>
      <c r="X28" s="12" t="s">
        <v>184</v>
      </c>
    </row>
    <row r="29" spans="1:24" ht="60" customHeight="1" x14ac:dyDescent="0.2">
      <c r="A29" s="7">
        <v>14</v>
      </c>
      <c r="B29" s="8" t="s">
        <v>29</v>
      </c>
      <c r="C29" s="8" t="s">
        <v>30</v>
      </c>
      <c r="D29" s="9">
        <v>43493</v>
      </c>
      <c r="E29" s="9">
        <v>43473</v>
      </c>
      <c r="F29" s="7">
        <f t="shared" si="0"/>
        <v>-20</v>
      </c>
      <c r="G29" s="10"/>
      <c r="H29" s="10"/>
      <c r="I29" s="10"/>
      <c r="J29" s="10"/>
      <c r="K29" s="10"/>
      <c r="L29" s="10"/>
      <c r="M29" s="10"/>
      <c r="N29" s="10">
        <v>10.5</v>
      </c>
      <c r="O29" s="8" t="s">
        <v>31</v>
      </c>
      <c r="P29" s="8" t="s">
        <v>32</v>
      </c>
      <c r="Q29" s="10"/>
      <c r="R29" s="8" t="s">
        <v>185</v>
      </c>
      <c r="S29" s="8" t="s">
        <v>186</v>
      </c>
      <c r="T29" s="8" t="s">
        <v>187</v>
      </c>
      <c r="U29" s="8" t="s">
        <v>188</v>
      </c>
      <c r="V29" s="8" t="s">
        <v>189</v>
      </c>
      <c r="W29" s="8"/>
      <c r="X29" s="8" t="s">
        <v>190</v>
      </c>
    </row>
    <row r="30" spans="1:24" ht="90" customHeight="1" x14ac:dyDescent="0.2">
      <c r="A30" s="11">
        <v>14</v>
      </c>
      <c r="B30" s="12" t="s">
        <v>29</v>
      </c>
      <c r="C30" s="12" t="s">
        <v>39</v>
      </c>
      <c r="D30" s="13">
        <v>44060</v>
      </c>
      <c r="E30" s="13">
        <v>44109</v>
      </c>
      <c r="F30" s="11">
        <f t="shared" si="0"/>
        <v>49</v>
      </c>
      <c r="G30" s="14"/>
      <c r="H30" s="14"/>
      <c r="I30" s="14"/>
      <c r="J30" s="14"/>
      <c r="K30" s="14"/>
      <c r="L30" s="14"/>
      <c r="M30" s="14"/>
      <c r="N30" s="14">
        <v>5.2</v>
      </c>
      <c r="O30" s="12" t="s">
        <v>47</v>
      </c>
      <c r="P30" s="12" t="s">
        <v>32</v>
      </c>
      <c r="Q30" s="14"/>
      <c r="R30" s="12" t="s">
        <v>191</v>
      </c>
      <c r="S30" s="12" t="s">
        <v>192</v>
      </c>
      <c r="T30" s="12" t="s">
        <v>193</v>
      </c>
      <c r="U30" s="12" t="s">
        <v>194</v>
      </c>
      <c r="V30" s="12" t="s">
        <v>195</v>
      </c>
      <c r="W30" s="12" t="s">
        <v>221</v>
      </c>
      <c r="X30" s="12" t="s">
        <v>196</v>
      </c>
    </row>
    <row r="31" spans="1:24" ht="90" customHeight="1" x14ac:dyDescent="0.2">
      <c r="A31" s="7">
        <v>15</v>
      </c>
      <c r="B31" s="8" t="s">
        <v>29</v>
      </c>
      <c r="C31" s="8" t="s">
        <v>30</v>
      </c>
      <c r="D31" s="9">
        <v>43430</v>
      </c>
      <c r="E31" s="9">
        <v>43391</v>
      </c>
      <c r="F31" s="7">
        <f t="shared" si="0"/>
        <v>-39</v>
      </c>
      <c r="G31" s="10"/>
      <c r="H31" s="10"/>
      <c r="I31" s="10">
        <v>0</v>
      </c>
      <c r="J31" s="10">
        <v>0</v>
      </c>
      <c r="K31" s="10"/>
      <c r="L31" s="10">
        <v>0</v>
      </c>
      <c r="M31" s="10"/>
      <c r="N31" s="10">
        <v>5.0999999999999996</v>
      </c>
      <c r="O31" s="8" t="s">
        <v>47</v>
      </c>
      <c r="P31" s="8" t="s">
        <v>32</v>
      </c>
      <c r="Q31" s="10">
        <v>28</v>
      </c>
      <c r="R31" s="8"/>
      <c r="S31" s="8" t="s">
        <v>197</v>
      </c>
      <c r="T31" s="8" t="s">
        <v>198</v>
      </c>
      <c r="U31" s="8" t="s">
        <v>199</v>
      </c>
      <c r="V31" s="8" t="s">
        <v>200</v>
      </c>
      <c r="W31" s="8"/>
      <c r="X31" s="8" t="s">
        <v>201</v>
      </c>
    </row>
    <row r="32" spans="1:24" ht="105" customHeight="1" x14ac:dyDescent="0.2">
      <c r="A32" s="11">
        <v>15</v>
      </c>
      <c r="B32" s="12" t="s">
        <v>29</v>
      </c>
      <c r="C32" s="12" t="s">
        <v>39</v>
      </c>
      <c r="D32" s="13">
        <v>43654</v>
      </c>
      <c r="E32" s="13">
        <v>43640</v>
      </c>
      <c r="F32" s="11">
        <f t="shared" si="0"/>
        <v>-14</v>
      </c>
      <c r="G32" s="14"/>
      <c r="H32" s="14"/>
      <c r="I32" s="14">
        <v>0</v>
      </c>
      <c r="J32" s="14">
        <v>0</v>
      </c>
      <c r="K32" s="14"/>
      <c r="L32" s="14">
        <v>0</v>
      </c>
      <c r="M32" s="14"/>
      <c r="N32" s="14">
        <v>5.2</v>
      </c>
      <c r="O32" s="12" t="s">
        <v>47</v>
      </c>
      <c r="P32" s="12" t="s">
        <v>32</v>
      </c>
      <c r="Q32" s="14"/>
      <c r="R32" s="12" t="s">
        <v>202</v>
      </c>
      <c r="S32" s="12" t="s">
        <v>203</v>
      </c>
      <c r="T32" s="12" t="s">
        <v>204</v>
      </c>
      <c r="U32" s="12" t="s">
        <v>205</v>
      </c>
      <c r="V32" s="12" t="s">
        <v>206</v>
      </c>
      <c r="W32" s="12" t="s">
        <v>45</v>
      </c>
      <c r="X32" s="12" t="s">
        <v>207</v>
      </c>
    </row>
    <row r="33" spans="1:24" ht="90" customHeight="1" x14ac:dyDescent="0.2">
      <c r="A33" s="7">
        <v>16</v>
      </c>
      <c r="B33" s="8" t="s">
        <v>29</v>
      </c>
      <c r="C33" s="8" t="s">
        <v>30</v>
      </c>
      <c r="D33" s="9">
        <v>43423</v>
      </c>
      <c r="E33" s="9">
        <v>43392</v>
      </c>
      <c r="F33" s="7">
        <f t="shared" si="0"/>
        <v>-31</v>
      </c>
      <c r="G33" s="10"/>
      <c r="H33" s="10"/>
      <c r="I33" s="10"/>
      <c r="J33" s="10"/>
      <c r="K33" s="10"/>
      <c r="L33" s="10"/>
      <c r="M33" s="10"/>
      <c r="N33" s="10">
        <v>10.9</v>
      </c>
      <c r="O33" s="8" t="s">
        <v>31</v>
      </c>
      <c r="P33" s="8" t="s">
        <v>32</v>
      </c>
      <c r="Q33" s="10">
        <v>21</v>
      </c>
      <c r="R33" s="8" t="s">
        <v>208</v>
      </c>
      <c r="S33" s="8" t="s">
        <v>209</v>
      </c>
      <c r="T33" s="8" t="s">
        <v>210</v>
      </c>
      <c r="U33" s="8" t="s">
        <v>211</v>
      </c>
      <c r="V33" s="8" t="s">
        <v>212</v>
      </c>
      <c r="W33" s="8"/>
      <c r="X33" s="8" t="s">
        <v>213</v>
      </c>
    </row>
    <row r="34" spans="1:24" ht="90" customHeight="1" x14ac:dyDescent="0.2">
      <c r="A34" s="11">
        <v>16</v>
      </c>
      <c r="B34" s="12" t="s">
        <v>29</v>
      </c>
      <c r="C34" s="12" t="s">
        <v>39</v>
      </c>
      <c r="D34" s="13">
        <v>43682</v>
      </c>
      <c r="E34" s="13">
        <v>43641</v>
      </c>
      <c r="F34" s="11">
        <f t="shared" si="0"/>
        <v>-41</v>
      </c>
      <c r="G34" s="14"/>
      <c r="H34" s="14"/>
      <c r="I34" s="14"/>
      <c r="J34" s="14"/>
      <c r="K34" s="14"/>
      <c r="L34" s="14"/>
      <c r="M34" s="14"/>
      <c r="N34" s="14">
        <v>5.2</v>
      </c>
      <c r="O34" s="12" t="s">
        <v>47</v>
      </c>
      <c r="P34" s="12" t="s">
        <v>32</v>
      </c>
      <c r="Q34" s="14">
        <v>11</v>
      </c>
      <c r="R34" s="12" t="s">
        <v>214</v>
      </c>
      <c r="S34" s="12" t="s">
        <v>215</v>
      </c>
      <c r="T34" s="12" t="s">
        <v>216</v>
      </c>
      <c r="U34" s="12" t="s">
        <v>217</v>
      </c>
      <c r="V34" s="12" t="s">
        <v>218</v>
      </c>
      <c r="W34" s="12" t="s">
        <v>45</v>
      </c>
      <c r="X34" s="12" t="s">
        <v>219</v>
      </c>
    </row>
  </sheetData>
  <autoFilter ref="A2:X34" xr:uid="{00000000-0009-0000-0000-000000000000}"/>
  <mergeCells count="4">
    <mergeCell ref="S1:X1"/>
    <mergeCell ref="G1:M1"/>
    <mergeCell ref="A1:F1"/>
    <mergeCell ref="N1:Q1"/>
  </mergeCells>
  <dataValidations count="2">
    <dataValidation type="list" allowBlank="1" sqref="O3:O34" xr:uid="{00000000-0002-0000-0000-000000000000}">
      <formula1>"=,&lt;,&lt;=,&gt;,&gt;="</formula1>
    </dataValidation>
    <dataValidation type="list" allowBlank="1" sqref="W3:W34" xr:uid="{00000000-0002-0000-0000-000001000000}">
      <formula1>"Ja,Nein"</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Gutsche, Robin</cp:lastModifiedBy>
  <dcterms:created xsi:type="dcterms:W3CDTF">2026-10-20T11:46:31Z</dcterms:created>
  <dcterms:modified xsi:type="dcterms:W3CDTF">2026-10-20T14:50:35Z</dcterms:modified>
</cp:coreProperties>
</file>