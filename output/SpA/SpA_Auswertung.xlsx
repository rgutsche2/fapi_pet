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pA" sheetId="1" state="visible" r:id="rId1"/>
    <sheet xmlns:r="http://schemas.openxmlformats.org/officeDocument/2006/relationships" name="Therapie" sheetId="2" state="visible" r:id="rId2"/>
  </sheets>
  <definedNames>
    <definedName name="_xlnm._FilterDatabase" localSheetId="0" hidden="1">'SpA'!$A$2:$AE$34</definedName>
    <definedName name="_xlnm._FilterDatabase" localSheetId="1" hidden="1">'Therapie'!$A$1:$N$93</definedName>
  </definedNames>
  <calcPr calcId="124519" fullCalcOnLoad="1"/>
</workbook>
</file>

<file path=xl/styles.xml><?xml version="1.0" encoding="utf-8"?>
<styleSheet xmlns="http://schemas.openxmlformats.org/spreadsheetml/2006/main">
  <numFmts count="2">
    <numFmt numFmtId="164" formatCode="yyyy-mm-dd"/>
    <numFmt numFmtId="165" formatCode="0.###"/>
  </numFmts>
  <fonts count="4">
    <font>
      <name val="Calibri"/>
      <family val="2"/>
      <color theme="1"/>
      <sz val="11"/>
      <scheme val="minor"/>
    </font>
    <font>
      <name val="Calibri"/>
      <b val="1"/>
      <sz val="11"/>
    </font>
    <font>
      <name val="Calibri"/>
      <b val="1"/>
      <sz val="12"/>
    </font>
    <font>
      <name val="Calibri"/>
      <sz val="11"/>
    </font>
  </fonts>
  <fills count="10">
    <fill>
      <patternFill/>
    </fill>
    <fill>
      <patternFill patternType="gray125"/>
    </fill>
    <fill>
      <patternFill patternType="solid">
        <fgColor rgb="00D9EA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CBEAF5"/>
      </patternFill>
    </fill>
    <fill>
      <patternFill patternType="solid">
        <fgColor rgb="00D9E2F3"/>
      </patternFill>
    </fill>
    <fill>
      <patternFill patternType="solid">
        <fgColor rgb="00F2F6FA"/>
      </patternFill>
    </fill>
    <fill>
      <patternFill patternType="solid">
        <fgColor rgb="00FFFFFF"/>
      </patternFill>
    </fill>
  </fills>
  <borders count="2">
    <border>
      <left/>
      <right/>
      <top/>
      <bottom/>
      <diagonal/>
    </border>
    <border>
      <bottom style="thin">
        <color rgb="00D9E2F3"/>
      </bottom>
    </border>
  </borders>
  <cellStyleXfs count="1">
    <xf numFmtId="0" fontId="0" fillId="0" borderId="0"/>
  </cellStyleXfs>
  <cellXfs count="24">
    <xf numFmtId="0" fontId="0" fillId="0" borderId="0" pivotButton="0" quotePrefix="0" xfId="0"/>
    <xf numFmtId="0" fontId="2" fillId="2" borderId="0" applyAlignment="1" pivotButton="0" quotePrefix="0" xfId="0">
      <alignment vertical="center"/>
    </xf>
    <xf numFmtId="0" fontId="2" fillId="3" borderId="0" applyAlignment="1" pivotButton="0" quotePrefix="0" xfId="0">
      <alignment vertical="center"/>
    </xf>
    <xf numFmtId="0" fontId="2" fillId="4" borderId="0" applyAlignment="1" pivotButton="0" quotePrefix="0" xfId="0">
      <alignment vertical="center"/>
    </xf>
    <xf numFmtId="0" fontId="2" fillId="5" borderId="0" applyAlignment="1" pivotButton="0" quotePrefix="0" xfId="0">
      <alignment vertical="center"/>
    </xf>
    <xf numFmtId="0" fontId="2" fillId="6" borderId="0" applyAlignment="1" pivotButton="0" quotePrefix="0" xfId="0">
      <alignment vertical="center"/>
    </xf>
    <xf numFmtId="0" fontId="2" fillId="7" borderId="0" applyAlignment="1" pivotButton="0" quotePrefix="0" xfId="0">
      <alignment vertical="center"/>
    </xf>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1" fontId="3" fillId="8" borderId="1" applyAlignment="1" pivotButton="0" quotePrefix="0" xfId="0">
      <alignment vertical="top" wrapText="1"/>
    </xf>
    <xf numFmtId="0" fontId="3" fillId="8" borderId="1" applyAlignment="1" pivotButton="0" quotePrefix="0" xfId="0">
      <alignment vertical="top" wrapText="1"/>
    </xf>
    <xf numFmtId="164" fontId="3" fillId="8" borderId="1" applyAlignment="1" pivotButton="0" quotePrefix="0" xfId="0">
      <alignment vertical="top" wrapText="1"/>
    </xf>
    <xf numFmtId="165" fontId="3" fillId="8" borderId="1" applyAlignment="1" pivotButton="0" quotePrefix="0" xfId="0">
      <alignment vertical="top" wrapText="1"/>
    </xf>
    <xf numFmtId="1" fontId="3" fillId="9" borderId="1" applyAlignment="1" pivotButton="0" quotePrefix="0" xfId="0">
      <alignment vertical="top" wrapText="1"/>
    </xf>
    <xf numFmtId="0" fontId="3" fillId="9" borderId="1" applyAlignment="1" pivotButton="0" quotePrefix="0" xfId="0">
      <alignment vertical="top" wrapText="1"/>
    </xf>
    <xf numFmtId="164" fontId="3" fillId="9" borderId="1" applyAlignment="1" pivotButton="0" quotePrefix="0" xfId="0">
      <alignment vertical="top" wrapText="1"/>
    </xf>
    <xf numFmtId="165" fontId="3" fillId="9" borderId="1" applyAlignment="1" pivotButton="0" quotePrefix="0" xfId="0">
      <alignment vertical="top" wrapText="1"/>
    </xf>
    <xf numFmtId="0" fontId="1" fillId="5" borderId="0" applyAlignment="1" pivotButton="0" quotePrefix="0" xfId="0">
      <alignment vertical="center" wrapText="1"/>
    </xf>
    <xf numFmtId="165" fontId="3"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5" customWidth="1" min="3" max="3"/>
    <col width="14" customWidth="1" min="4" max="4"/>
    <col width="16"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8" customWidth="1" min="14" max="14"/>
    <col width="13" customWidth="1" min="15" max="15"/>
    <col width="18" customWidth="1" min="16" max="16"/>
    <col width="14" customWidth="1" min="17" max="17"/>
    <col width="18" customWidth="1" min="18" max="18"/>
    <col width="35" customWidth="1" min="19" max="19"/>
    <col width="55" customWidth="1" min="20" max="20"/>
    <col width="25" customWidth="1" min="21" max="21"/>
    <col width="25" customWidth="1" min="22" max="22"/>
    <col width="25" customWidth="1" min="23" max="23"/>
    <col width="25" customWidth="1" min="24" max="24"/>
    <col width="55" customWidth="1" min="25" max="25"/>
    <col width="55" customWidth="1" min="26" max="26"/>
    <col width="35" customWidth="1" min="27" max="27"/>
    <col width="23" customWidth="1" min="28" max="28"/>
    <col width="25" customWidth="1" min="29" max="29"/>
    <col width="65" customWidth="1" min="30" max="30"/>
    <col width="65" customWidth="1" min="31" max="31"/>
  </cols>
  <sheetData>
    <row r="1" ht="24" customHeight="1">
      <c r="A1" s="1" t="inlineStr">
        <is>
          <t>Identifikation</t>
        </is>
      </c>
      <c r="G1" s="2" t="inlineStr">
        <is>
          <t>Scores</t>
        </is>
      </c>
      <c r="N1" s="3" t="inlineStr">
        <is>
          <t>Labor</t>
        </is>
      </c>
      <c r="S1" s="4" t="inlineStr">
        <is>
          <t>Therapie</t>
        </is>
      </c>
      <c r="T1" s="5" t="inlineStr">
        <is>
          <t>Klinische Befunde</t>
        </is>
      </c>
      <c r="AA1" s="6" t="inlineStr">
        <is>
          <t>Beurteilung</t>
        </is>
      </c>
    </row>
    <row r="2" ht="46" customHeight="1">
      <c r="A2" s="7" t="inlineStr">
        <is>
          <t>Patient</t>
        </is>
      </c>
      <c r="B2" s="7" t="inlineStr">
        <is>
          <t>Erkrankung</t>
        </is>
      </c>
      <c r="C2" s="7" t="inlineStr">
        <is>
          <t>Zeitpunkt</t>
        </is>
      </c>
      <c r="D2" s="7" t="inlineStr">
        <is>
          <t>Scan-Datum</t>
        </is>
      </c>
      <c r="E2" s="7" t="inlineStr">
        <is>
          <t>Klinisches Datum</t>
        </is>
      </c>
      <c r="F2" s="7" t="inlineStr">
        <is>
          <t>Abstand zum Scan (Tage)</t>
        </is>
      </c>
      <c r="G2" s="8" t="inlineStr">
        <is>
          <t>ASDAS-CRP</t>
        </is>
      </c>
      <c r="H2" s="8" t="inlineStr">
        <is>
          <t>BASDAI</t>
        </is>
      </c>
      <c r="I2" s="8" t="inlineStr">
        <is>
          <t>TJC</t>
        </is>
      </c>
      <c r="J2" s="8" t="inlineStr">
        <is>
          <t>SJC</t>
        </is>
      </c>
      <c r="K2" s="8" t="inlineStr">
        <is>
          <t>LEI</t>
        </is>
      </c>
      <c r="L2" s="8" t="inlineStr">
        <is>
          <t>MASES</t>
        </is>
      </c>
      <c r="M2" s="8" t="inlineStr">
        <is>
          <t>HAQ</t>
        </is>
      </c>
      <c r="N2" s="9" t="inlineStr">
        <is>
          <t>CRP dokumentiert</t>
        </is>
      </c>
      <c r="O2" s="9" t="inlineStr">
        <is>
          <t>CRP-Wert</t>
        </is>
      </c>
      <c r="P2" s="9" t="inlineStr">
        <is>
          <t>CRP-Vergleichszeichen</t>
        </is>
      </c>
      <c r="Q2" s="9" t="inlineStr">
        <is>
          <t>CRP-Einheit</t>
        </is>
      </c>
      <c r="R2" s="9" t="inlineStr">
        <is>
          <t>BSG (mm nach 1 h)</t>
        </is>
      </c>
      <c r="S2" s="10" t="inlineStr">
        <is>
          <t>Laufende Wirkstoffe</t>
        </is>
      </c>
      <c r="T2" s="11" t="inlineStr">
        <is>
          <t>Klinische Hauptmanifestation</t>
        </is>
      </c>
      <c r="U2" s="11" t="inlineStr">
        <is>
          <t>Axiale Beschwerden / ISG</t>
        </is>
      </c>
      <c r="V2" s="11" t="inlineStr">
        <is>
          <t>Periphere Gelenkbeschwerden</t>
        </is>
      </c>
      <c r="W2" s="11" t="inlineStr">
        <is>
          <t>Synovitis / Gelenkschwellung</t>
        </is>
      </c>
      <c r="X2" s="11" t="inlineStr">
        <is>
          <t>Enthesitis</t>
        </is>
      </c>
      <c r="Y2" s="11" t="inlineStr">
        <is>
          <t>Betroffene Regionen</t>
        </is>
      </c>
      <c r="Z2" s="11" t="inlineStr">
        <is>
          <t>Klinischer Befund (Details)</t>
        </is>
      </c>
      <c r="AA2" s="12" t="inlineStr">
        <is>
          <t>Beurteilte Therapie</t>
        </is>
      </c>
      <c r="AB2" s="12" t="inlineStr">
        <is>
          <t>Ansprechen</t>
        </is>
      </c>
      <c r="AC2" s="12" t="inlineStr">
        <is>
          <t>Krankheitszustand</t>
        </is>
      </c>
      <c r="AD2" s="12" t="inlineStr">
        <is>
          <t>Verlauf</t>
        </is>
      </c>
      <c r="AE2" s="12" t="inlineStr">
        <is>
          <t>Hinweise</t>
        </is>
      </c>
    </row>
    <row r="3" ht="195" customHeight="1">
      <c r="A3" s="13" t="n">
        <v>1</v>
      </c>
      <c r="B3" s="14" t="inlineStr">
        <is>
          <t>SpA</t>
        </is>
      </c>
      <c r="C3" s="14" t="inlineStr">
        <is>
          <t>Baseline</t>
        </is>
      </c>
      <c r="D3" s="15" t="n">
        <v>44249</v>
      </c>
      <c r="E3" s="15" t="n">
        <v>44160</v>
      </c>
      <c r="F3" s="13">
        <f>IF(E3="","",E3-D3)</f>
        <v/>
      </c>
      <c r="G3" s="16" t="n"/>
      <c r="H3" s="16" t="n"/>
      <c r="I3" s="16" t="n"/>
      <c r="J3" s="16" t="n"/>
      <c r="K3" s="16" t="n"/>
      <c r="L3" s="16" t="n"/>
      <c r="M3" s="16" t="n"/>
      <c r="N3" s="14" t="inlineStr">
        <is>
          <t>Ja</t>
        </is>
      </c>
      <c r="O3" s="16" t="n">
        <v>35.9</v>
      </c>
      <c r="P3" s="14" t="inlineStr">
        <is>
          <t>=</t>
        </is>
      </c>
      <c r="Q3" s="14" t="inlineStr">
        <is>
          <t>mg/l</t>
        </is>
      </c>
      <c r="R3" s="16" t="n">
        <v>31</v>
      </c>
      <c r="S3" s="14" t="inlineStr">
        <is>
          <t>Ibuprofen</t>
        </is>
      </c>
      <c r="T3" s="14" t="inlineStr">
        <is>
          <t>Ausgeprägte schmerzhafte Kniegelenksarthritis links als führende aktuelle Manifestation; im bisherigen Verlauf rechtsseitige ISG-Schmerzen.</t>
        </is>
      </c>
      <c r="U3" s="14" t="inlineStr">
        <is>
          <t>unklar</t>
        </is>
      </c>
      <c r="V3" s="14" t="inlineStr">
        <is>
          <t>vorhanden</t>
        </is>
      </c>
      <c r="W3" s="14" t="inlineStr">
        <is>
          <t>vorhanden</t>
        </is>
      </c>
      <c r="X3" s="14" t="inlineStr">
        <is>
          <t>nicht erwähnt</t>
        </is>
      </c>
      <c r="Y3" s="14" t="inlineStr">
        <is>
          <t>Vor allem Knie links; rechtsseitige ISG-Beschwerden im Verlauf, früher Sprunggelenk links.</t>
        </is>
      </c>
      <c r="Z3" s="14" t="inlineStr">
        <is>
          <t>Ausgeprägte Kniegelenksarthritis links mit suprapatellärem Erguss und Synovialisproliferation; rechts kein eindeutiger Arthritisnachweis. Beide Sprunggelenke ohne Arthritis. Keine Morgensteifigkeit und kein nächtlicher Rückenschmerz. Abweichende Seitenangabe zum Knie in der rheumatologischen Anamnese.</t>
        </is>
      </c>
      <c r="AA3" s="14" t="n"/>
      <c r="AB3" s="14" t="n"/>
      <c r="AC3" s="14" t="inlineStr">
        <is>
          <t>Aktiv</t>
        </is>
      </c>
      <c r="AD3" s="14" t="inlineStr">
        <is>
          <t>NSAR halfen symptomatisch, dennoch entwickelte sich eine ausgeprägte Kniegelenksarthritis links. Gelenkpunktion mit lokaler Steroidgabe; wegen ausgeprägter peripherer Manifestation, Sakroiliitis und zweimaligem NSAR-Versagen Einleitung von Secukinumab vorgesehen.</t>
        </is>
      </c>
      <c r="AE3" s="14" t="inlineStr">
        <is>
          <t>Einziger belegter rheumatologischer Besuch: 25.11.2020; Zuordnung zur Baseline gemäß Briefgruppe trotz Abstand zum Scan vom 22.02.2021.
Aktueller Fortbestand der zuvor beschriebenen ISG-Schmerzen nicht eindeutig; fehlender nächtlicher Rückenschmerz verneint nicht sämtliche axialen Beschwerden.
Seitenwiderspruch: rheumatologische Anamnese nennt Knie rechts, ausführliche Anamnese und Untersuchung überwiegend Knie links.
CRP und BKS ohne ausdrücklich angegebenes individuelles Messdatum; keine automatische Datierung auf den Besuchstag.
CRP-Auswahl: erster dokumentierter Messwert in der Briefreihenfolge; daraus kein genaues Labordatum abgeleitet.</t>
        </is>
      </c>
    </row>
    <row r="4" ht="90" customHeight="1">
      <c r="A4" s="17" t="n">
        <v>1</v>
      </c>
      <c r="B4" s="18" t="inlineStr">
        <is>
          <t>SpA</t>
        </is>
      </c>
      <c r="C4" s="18" t="inlineStr">
        <is>
          <t>Follow-up</t>
        </is>
      </c>
      <c r="D4" s="19" t="n">
        <v>44361</v>
      </c>
      <c r="E4" s="19" t="n">
        <v>44361</v>
      </c>
      <c r="F4" s="17">
        <f>IF(E4="","",E4-D4)</f>
        <v/>
      </c>
      <c r="G4" s="20" t="n"/>
      <c r="H4" s="20" t="n"/>
      <c r="I4" s="20" t="n"/>
      <c r="J4" s="20" t="n"/>
      <c r="K4" s="20" t="n"/>
      <c r="L4" s="20" t="n"/>
      <c r="M4" s="20" t="n"/>
      <c r="N4" s="18" t="inlineStr">
        <is>
          <t>Ja</t>
        </is>
      </c>
      <c r="O4" s="20" t="n">
        <v>5.4</v>
      </c>
      <c r="P4" s="18" t="inlineStr">
        <is>
          <t>=</t>
        </is>
      </c>
      <c r="Q4" s="18" t="inlineStr">
        <is>
          <t>mg/l</t>
        </is>
      </c>
      <c r="R4" s="20" t="n">
        <v>3</v>
      </c>
      <c r="S4" s="18" t="inlineStr">
        <is>
          <t>Secukinumab</t>
        </is>
      </c>
      <c r="T4" s="18" t="inlineStr">
        <is>
          <t>Unter Secukinumab vollständig beschwerdefrei, ohne aktuelle periphere Gelenkbeschwerden oder entzündlichen Rückenschmerz.</t>
        </is>
      </c>
      <c r="U4" s="18" t="inlineStr">
        <is>
          <t>verneint</t>
        </is>
      </c>
      <c r="V4" s="18" t="inlineStr">
        <is>
          <t>verneint</t>
        </is>
      </c>
      <c r="W4" s="18" t="inlineStr">
        <is>
          <t>verneint</t>
        </is>
      </c>
      <c r="X4" s="18" t="inlineStr">
        <is>
          <t>nicht erwähnt</t>
        </is>
      </c>
      <c r="Y4" s="18" t="n"/>
      <c r="Z4" s="18" t="inlineStr">
        <is>
          <t>Keine peripheren Arthritiden, kein entzündlicher Rückenschmerz und keine Bewegungseinschränkung der ISG.</t>
        </is>
      </c>
      <c r="AA4" s="18" t="inlineStr">
        <is>
          <t>Secukinumab</t>
        </is>
      </c>
      <c r="AB4" s="18" t="inlineStr">
        <is>
          <t>Deutlich</t>
        </is>
      </c>
      <c r="AC4" s="18" t="inlineStr">
        <is>
          <t>Gut kontrolliert</t>
        </is>
      </c>
      <c r="AD4" s="18" t="inlineStr">
        <is>
          <t>Seit Beginn von Secukinumab Rückbildung der peripheren und axialen Beschwerden bis zur vollständigen Beschwerdefreiheit; NSAR werden nicht benötigt. Gute Verträglichkeit, Fortsetzung empfohlen. Die im PET teils fortbestehenden beziehungsweise zunehmenden Auffälligkeiten begründen keine aktuelle klinische Arthritis.</t>
        </is>
      </c>
      <c r="AE4" s="18" t="inlineStr">
        <is>
          <t>CRP und BKS ohne ausdrücklich angegebenes individuelles Messdatum; keine automatische Datierung auf den Besuchstag.
Klinisches Ansprechen anhand der Beschwerden beurteilt, unabhängig vom gemischten PET-Verlauf.
CRP-Auswahl: erster dokumentierter Messwert in der Briefreihenfolge; daraus kein genaues Labordatum abgeleitet.</t>
        </is>
      </c>
    </row>
    <row r="5" ht="75" customHeight="1">
      <c r="A5" s="13" t="n">
        <v>2</v>
      </c>
      <c r="B5" s="14" t="inlineStr">
        <is>
          <t>SpA</t>
        </is>
      </c>
      <c r="C5" s="14" t="inlineStr">
        <is>
          <t>Baseline</t>
        </is>
      </c>
      <c r="D5" s="15" t="n">
        <v>44214</v>
      </c>
      <c r="E5" s="15" t="n">
        <v>44179</v>
      </c>
      <c r="F5" s="13">
        <f>IF(E5="","",E5-D5)</f>
        <v/>
      </c>
      <c r="G5" s="16" t="n"/>
      <c r="H5" s="16" t="n"/>
      <c r="I5" s="16" t="n"/>
      <c r="J5" s="16" t="n"/>
      <c r="K5" s="16" t="n"/>
      <c r="L5" s="16" t="n"/>
      <c r="M5" s="16" t="n"/>
      <c r="N5" s="14" t="inlineStr">
        <is>
          <t>Ja</t>
        </is>
      </c>
      <c r="O5" s="16" t="n">
        <v>5.1</v>
      </c>
      <c r="P5" s="14" t="inlineStr">
        <is>
          <t>&lt;</t>
        </is>
      </c>
      <c r="Q5" s="14" t="inlineStr">
        <is>
          <t>mg/l</t>
        </is>
      </c>
      <c r="R5" s="16" t="n"/>
      <c r="S5" s="14" t="inlineStr">
        <is>
          <t>Certolizumab; Etoricoxib</t>
        </is>
      </c>
      <c r="T5" s="14" t="inlineStr">
        <is>
          <t>Zunehmende axiale und periphere Beschwerden mit eingeschränkter Wirbelsäulenbeweglichkeit und Druckschmerz am rechten Ellenbogen.</t>
        </is>
      </c>
      <c r="U5" s="14" t="inlineStr">
        <is>
          <t>vorhanden</t>
        </is>
      </c>
      <c r="V5" s="14" t="inlineStr">
        <is>
          <t>vorhanden</t>
        </is>
      </c>
      <c r="W5" s="14" t="inlineStr">
        <is>
          <t>verneint</t>
        </is>
      </c>
      <c r="X5" s="14" t="inlineStr">
        <is>
          <t>nicht erwähnt</t>
        </is>
      </c>
      <c r="Y5" s="14" t="inlineStr">
        <is>
          <t>Wirbelsäule, rechter Ellenbogen.</t>
        </is>
      </c>
      <c r="Z5" s="14" t="inlineStr">
        <is>
          <t>Keine Gelenkschwellung; Druckschmerz am rechten Ellenbogen und vorbekannte eingeschränkte Wirbelsäulenbeweglichkeit. Wiederkehrende, nicht abklingende Augenentzündungen berichtet.</t>
        </is>
      </c>
      <c r="AA5" s="14" t="n"/>
      <c r="AB5" s="14" t="n"/>
      <c r="AC5" s="14" t="inlineStr">
        <is>
          <t>Aktiv</t>
        </is>
      </c>
      <c r="AD5" s="14" t="inlineStr">
        <is>
          <t>Zunehmende axiale und periphere Beschwerden bei klinisch deutlicher SpA-Aktivität unter Certolizumab; Umstellung auf Secukinumab empfohlen.</t>
        </is>
      </c>
      <c r="AE5" s="14" t="inlineStr">
        <is>
          <t>CRP-Labordatum nicht gesondert angegeben.
Historische MRT-Enthesitis nicht als aktueller klinischer Enthesitisbefund übernommen.
CRP-Auswahl: erster dokumentierter Messwert in der Briefreihenfolge; daraus kein genaues Labordatum abgeleitet.</t>
        </is>
      </c>
    </row>
    <row r="6" ht="165" customHeight="1">
      <c r="A6" s="17" t="n">
        <v>2</v>
      </c>
      <c r="B6" s="18" t="inlineStr">
        <is>
          <t>SpA</t>
        </is>
      </c>
      <c r="C6" s="18" t="inlineStr">
        <is>
          <t>Follow-up</t>
        </is>
      </c>
      <c r="D6" s="19" t="n">
        <v>44736</v>
      </c>
      <c r="E6" s="19" t="n">
        <v>44781</v>
      </c>
      <c r="F6" s="17">
        <f>IF(E6="","",E6-D6)</f>
        <v/>
      </c>
      <c r="G6" s="20" t="n"/>
      <c r="H6" s="20" t="n">
        <v>7.8</v>
      </c>
      <c r="I6" s="20" t="n"/>
      <c r="J6" s="20" t="n"/>
      <c r="K6" s="20" t="n"/>
      <c r="L6" s="20" t="n"/>
      <c r="M6" s="20" t="n"/>
      <c r="N6" s="18" t="inlineStr">
        <is>
          <t>Ja</t>
        </is>
      </c>
      <c r="O6" s="20" t="n">
        <v>5.2</v>
      </c>
      <c r="P6" s="18" t="inlineStr">
        <is>
          <t>&lt;</t>
        </is>
      </c>
      <c r="Q6" s="18" t="inlineStr">
        <is>
          <t>mg/l</t>
        </is>
      </c>
      <c r="R6" s="20" t="n"/>
      <c r="S6" s="18" t="inlineStr">
        <is>
          <t>Etoricoxib; Upadacitinib</t>
        </is>
      </c>
      <c r="T6" s="18" t="inlineStr">
        <is>
          <t>Deutliche Fatigue, Bewegungs- und Leistungseinschränkung sowie Schmerzen in Ruhe und Bewegung. Druckschmerzen an beiden Knien, beidseits lateral an den Sprunggelenken und an beiden Plantarfaszien.</t>
        </is>
      </c>
      <c r="U6" s="18" t="inlineStr">
        <is>
          <t>nicht erwähnt</t>
        </is>
      </c>
      <c r="V6" s="18" t="inlineStr">
        <is>
          <t>vorhanden</t>
        </is>
      </c>
      <c r="W6" s="18" t="inlineStr">
        <is>
          <t>nicht erwähnt</t>
        </is>
      </c>
      <c r="X6" s="18" t="inlineStr">
        <is>
          <t>vorhanden</t>
        </is>
      </c>
      <c r="Y6" s="18" t="inlineStr">
        <is>
          <t>Knie, laterale Sprunggelenke und Plantarfaszien beidseits.</t>
        </is>
      </c>
      <c r="Z6" s="18" t="inlineStr">
        <is>
          <t>Druckschmerz über beiden Plantarfaszien und lateral über beiden Sprunggelenken sowie an beiden Kniegelenken; SPARCC 4. Aktuelle axiale Beschwerden werden klinisch nicht gesondert lokalisiert.</t>
        </is>
      </c>
      <c r="AA6" s="18" t="inlineStr">
        <is>
          <t>Secukinumab 300 mg</t>
        </is>
      </c>
      <c r="AB6" s="18" t="inlineStr">
        <is>
          <t>Keines</t>
        </is>
      </c>
      <c r="AC6" s="18" t="inlineStr">
        <is>
          <t>Aktiv</t>
        </is>
      </c>
      <c r="AD6" s="18" t="inlineStr">
        <is>
          <t>Nach Wirkverlust von Certolizumab auch unter auf 300 mg gesteigertem Secukinumab erneuter Wirkverlust mit zunehmender klinischer Symptomatik. Letzte Secukinumab-Injektion und Umstellung auf Upadacitinib nach Shingrix-Impfung; dessen Beginn wird im Diagnosenteil ab September 2022 angegeben, ohne dokumentiertes klinisches Ansprechen.</t>
        </is>
      </c>
      <c r="AE6" s="18" t="inlineStr">
        <is>
          <t>Zeitliche Fortschreibung innerhalb des Briefes: Vorstellung am 08.08.2022 unter Secukinumab, Diagnosenteil mit Upadacitinib seit September 2022. Klinischer Zustand und Ansprechen beziehen sich auf die dokumentierte Untersuchung unter Secukinumab.
CRP-Labordatum nicht gesondert angegeben; BASDAI im Untersuchungsabschnitt ohne eigenes Messdatum.
Enthesitis klinisch durch Plantarfaszien-Druckschmerz zusammen mit SPARCC 4 gestützt; keine klinische Achillessehnenbeteiligung allein aus dem PET abgeleitet.
CRP-Auswahl: erster dokumentierter Messwert in der Briefreihenfolge; daraus kein genaues Labordatum abgeleitet.</t>
        </is>
      </c>
    </row>
    <row r="7" ht="150" customHeight="1">
      <c r="A7" s="13" t="n">
        <v>3</v>
      </c>
      <c r="B7" s="14" t="inlineStr">
        <is>
          <t>SpA</t>
        </is>
      </c>
      <c r="C7" s="14" t="inlineStr">
        <is>
          <t>Baseline</t>
        </is>
      </c>
      <c r="D7" s="15" t="n">
        <v>44123</v>
      </c>
      <c r="E7" s="15" t="n">
        <v>44123</v>
      </c>
      <c r="F7" s="13">
        <f>IF(E7="","",E7-D7)</f>
        <v/>
      </c>
      <c r="G7" s="16" t="n"/>
      <c r="H7" s="16" t="n"/>
      <c r="I7" s="16" t="n"/>
      <c r="J7" s="16" t="n"/>
      <c r="K7" s="16" t="n"/>
      <c r="L7" s="16" t="n"/>
      <c r="M7" s="16" t="n"/>
      <c r="N7" s="14" t="inlineStr">
        <is>
          <t>Ja</t>
        </is>
      </c>
      <c r="O7" s="16" t="n">
        <v>5.2</v>
      </c>
      <c r="P7" s="14" t="inlineStr">
        <is>
          <t>&lt;</t>
        </is>
      </c>
      <c r="Q7" s="14" t="inlineStr">
        <is>
          <t>mg/l</t>
        </is>
      </c>
      <c r="R7" s="16" t="n">
        <v>12</v>
      </c>
      <c r="S7" s="14" t="inlineStr">
        <is>
          <t>Secukinumab</t>
        </is>
      </c>
      <c r="T7" s="14" t="inlineStr">
        <is>
          <t>Persistierende Wirbelsäulenschmerzen, vor allem lumbal, auch nach Umstellung auf Secukinumab.</t>
        </is>
      </c>
      <c r="U7" s="14" t="inlineStr">
        <is>
          <t>vorhanden</t>
        </is>
      </c>
      <c r="V7" s="14" t="inlineStr">
        <is>
          <t>nicht erwähnt</t>
        </is>
      </c>
      <c r="W7" s="14" t="inlineStr">
        <is>
          <t>verneint</t>
        </is>
      </c>
      <c r="X7" s="14" t="inlineStr">
        <is>
          <t>unklar</t>
        </is>
      </c>
      <c r="Y7" s="14" t="inlineStr">
        <is>
          <t>Wirbelsäule, insbesondere LWS.</t>
        </is>
      </c>
      <c r="Z7" s="14" t="inlineStr">
        <is>
          <t>Keine peripheren synovitischen Gelenkschwellungen. Achillessehnenentzündung diagnostisch aufgeführt, zeitliche Aktualität unklar; keine aktuelle klinische Enthesenuntersuchung dokumentiert.</t>
        </is>
      </c>
      <c r="AA7" s="14" t="n"/>
      <c r="AB7" s="14" t="n"/>
      <c r="AC7" s="14" t="inlineStr">
        <is>
          <t>Aktiv</t>
        </is>
      </c>
      <c r="AD7" s="14" t="inlineStr">
        <is>
          <t>Persistierende axiale Beschwerden und klinische Erkrankungsaktivität unter Secukinumab 150 mg monatlich. Probatorische Antibiotikatherapie erwogen; abhängig von der weiteren Abklärung Dosiserhöhung auf 300 mg monatlich, bei ausbleibender Besserung Umstellung auf einen JAK-Inhibitor.</t>
        </is>
      </c>
      <c r="AE7" s="14" t="inlineStr">
        <is>
          <t>CRP und BSG ohne eigenständiges Messdatum dokumentiert.
BSG gemäß Studienkonvention aus dem ersten Wert von BKS 12/21 übernommen.
Aktualität der diagnostisch aufgeführten Achillessehnenentzündung unklar; bildgebende Sehnenansatzbefunde nicht als klinische Enthesitis gewertet.
Bedingte spätere JAK-Inhibition ohne benannten Wirkstoff empfohlen.
CRP-Auswahl: erster dokumentierter Messwert in der Briefreihenfolge; daraus kein genaues Labordatum abgeleitet.</t>
        </is>
      </c>
    </row>
    <row r="8" ht="195" customHeight="1">
      <c r="A8" s="17" t="n">
        <v>3</v>
      </c>
      <c r="B8" s="18" t="inlineStr">
        <is>
          <t>SpA</t>
        </is>
      </c>
      <c r="C8" s="18" t="inlineStr">
        <is>
          <t>Follow-up</t>
        </is>
      </c>
      <c r="D8" s="19" t="n">
        <v>44242</v>
      </c>
      <c r="E8" s="19" t="n">
        <v>44214</v>
      </c>
      <c r="F8" s="17">
        <f>IF(E8="","",E8-D8)</f>
        <v/>
      </c>
      <c r="G8" s="20" t="n"/>
      <c r="H8" s="20" t="n"/>
      <c r="I8" s="20" t="n"/>
      <c r="J8" s="20" t="n"/>
      <c r="K8" s="20" t="n"/>
      <c r="L8" s="20" t="n"/>
      <c r="M8" s="20" t="n"/>
      <c r="N8" s="18" t="inlineStr">
        <is>
          <t>Ja</t>
        </is>
      </c>
      <c r="O8" s="20" t="n">
        <v>5.1</v>
      </c>
      <c r="P8" s="18" t="inlineStr">
        <is>
          <t>&lt;</t>
        </is>
      </c>
      <c r="Q8" s="18" t="inlineStr">
        <is>
          <t>mg/l</t>
        </is>
      </c>
      <c r="R8" s="20" t="n"/>
      <c r="S8" s="18" t="inlineStr">
        <is>
          <t>Upadacitinib</t>
        </is>
      </c>
      <c r="T8" s="18" t="inlineStr">
        <is>
          <t>Weiterhin ausgeprägte Wirbelsäulenschmerzen, insbesondere lumbal, trotz Secukinumab-Dosiserhöhung; verstärkte axiale Bewegungseinschränkung.</t>
        </is>
      </c>
      <c r="U8" s="18" t="inlineStr">
        <is>
          <t>vorhanden</t>
        </is>
      </c>
      <c r="V8" s="18" t="inlineStr">
        <is>
          <t>nicht erwähnt</t>
        </is>
      </c>
      <c r="W8" s="18" t="inlineStr">
        <is>
          <t>verneint</t>
        </is>
      </c>
      <c r="X8" s="18" t="inlineStr">
        <is>
          <t>nicht erwähnt</t>
        </is>
      </c>
      <c r="Y8" s="18" t="inlineStr">
        <is>
          <t>Wirbelsäule, insbesondere LWS.</t>
        </is>
      </c>
      <c r="Z8" s="18" t="inlineStr">
        <is>
          <t>Keine peripheren synovitischen Gelenkschwellungen; weiterhin verstärkte axiale Bewegungseinschränkung. Frühere Achillessehnenentzündung. Erosive Osteochondrosis intervertebralis als mögliche nichtentzündliche Beschwerdeursache erwogen.</t>
        </is>
      </c>
      <c r="AA8" s="18" t="inlineStr">
        <is>
          <t>Secukinumab 300 mg</t>
        </is>
      </c>
      <c r="AB8" s="18" t="inlineStr">
        <is>
          <t>Nicht beurteilbar</t>
        </is>
      </c>
      <c r="AC8" s="18" t="inlineStr">
        <is>
          <t>Aktiv</t>
        </is>
      </c>
      <c r="AD8" s="18" t="inlineStr">
        <is>
          <t>Unter erhöht dosiertem Secukinumab persistierende massive klinische Beschwerden und Aktivität. Teilweises Ansprechen diagnostisch genannt, im Verlauf ausdrücklich bildgebend beschrieben; klinisches Besserungsausmaß bleibt unklar. Umstellung auf Upadacitinib im März 2021 dokumentiert, noch ohne belegten Nutzen. Antibiotikatherapie über Wochen ohne Beschwerdebesserung; nichtentzündliche Ursache differentialdiagnostisch erwogen.</t>
        </is>
      </c>
      <c r="AE8" s="18" t="inlineStr">
        <is>
          <t>Einziger eindeutig belegter rheumatologischer Besuch am 18.01.2021; spätere Bildgebung und Therapieangaben bis März 2021 gehören zur zusammenfassenden Follow-up-Episode.
CRP-Messung vom 18.01.2021.
Das diagnostisch genannte teilweise Ansprechen ist nicht eindeutig klinisch zugeordnet; im Verlauf wird ausdrücklich ein partielles PET-Ansprechen beschrieben. Daher kein gesichert klassifizierbares klinisches Veränderungsausmaß unter Secukinumab.
Keine klinische Ansprechaussage zu Upadacitinib dokumentiert.
Frühere Achillessehnenentzündung belegt keine aktuelle Enthesitis.
CRP-Auswahl: erster dokumentierter Messwert in der Briefreihenfolge; daraus kein genaues Labordatum abgeleitet.</t>
        </is>
      </c>
    </row>
    <row r="9" ht="75" customHeight="1">
      <c r="A9" s="13" t="n">
        <v>4</v>
      </c>
      <c r="B9" s="14" t="inlineStr">
        <is>
          <t>SpA</t>
        </is>
      </c>
      <c r="C9" s="14" t="inlineStr">
        <is>
          <t>Baseline</t>
        </is>
      </c>
      <c r="D9" s="15" t="n">
        <v>44092</v>
      </c>
      <c r="E9" s="15" t="n">
        <v>44063</v>
      </c>
      <c r="F9" s="13">
        <f>IF(E9="","",E9-D9)</f>
        <v/>
      </c>
      <c r="G9" s="16" t="n"/>
      <c r="H9" s="16" t="n">
        <v>4.85</v>
      </c>
      <c r="I9" s="16" t="n"/>
      <c r="J9" s="16" t="n"/>
      <c r="K9" s="16" t="n"/>
      <c r="L9" s="16" t="n"/>
      <c r="M9" s="16" t="n">
        <v>0.38</v>
      </c>
      <c r="N9" s="14" t="inlineStr">
        <is>
          <t>Ja</t>
        </is>
      </c>
      <c r="O9" s="16" t="n">
        <v>5.2</v>
      </c>
      <c r="P9" s="14" t="inlineStr">
        <is>
          <t>&lt;</t>
        </is>
      </c>
      <c r="Q9" s="14" t="inlineStr">
        <is>
          <t>mg/l</t>
        </is>
      </c>
      <c r="R9" s="16" t="n">
        <v>11</v>
      </c>
      <c r="S9" s="14" t="inlineStr">
        <is>
          <t>Diclofenac</t>
        </is>
      </c>
      <c r="T9" s="14" t="inlineStr">
        <is>
          <t>Persistierende axiale Schmerzen an HWS, BWS und LWS sowie Beschwerden beider Daumen und der rechten Schulter unter Diclofenac. Morgensteifigkeit 20 Minuten.</t>
        </is>
      </c>
      <c r="U9" s="14" t="inlineStr">
        <is>
          <t>vorhanden</t>
        </is>
      </c>
      <c r="V9" s="14" t="inlineStr">
        <is>
          <t>vorhanden</t>
        </is>
      </c>
      <c r="W9" s="14" t="inlineStr">
        <is>
          <t>verneint</t>
        </is>
      </c>
      <c r="X9" s="14" t="inlineStr">
        <is>
          <t>nicht erwähnt</t>
        </is>
      </c>
      <c r="Y9" s="14" t="inlineStr">
        <is>
          <t>HWS, BWS, LWS, Daumen-IP beidseits, rechte Schulter.</t>
        </is>
      </c>
      <c r="Z9" s="14" t="inlineStr">
        <is>
          <t>Druckschmerz der rechten Schulter und leichter Druckschmerz an HWS/BWS/LWS; keine Gelenkschwellungen, Patrick beidseits negativ. Morgensteifigkeit 20 Minuten. Finger-Boden-Abstand 26 cm, HWS-Beweglichkeit 30°, Schober 3 cm.</t>
        </is>
      </c>
      <c r="AA9" s="14" t="n"/>
      <c r="AB9" s="14" t="n"/>
      <c r="AC9" s="14" t="inlineStr">
        <is>
          <t>Aktiv</t>
        </is>
      </c>
      <c r="AD9" s="14" t="inlineStr">
        <is>
          <t>Unter regelmäßigem Diclofenac unzureichende Beschwerdekontrolle mit axialer entzündlicher Aktivität und Verdacht auf periphere Entzündung. Erweiterte Bildgebung vor geplanter Biologikatherapie.</t>
        </is>
      </c>
      <c r="AE9" s="14" t="inlineStr">
        <is>
          <t>Für Laborwerte und Scores ist kein gesondertes Messdatum angegeben.
BSG gemäß Studienkonvention: erster Wert aus BKS 11/22.
CRP-Auswahl: erster dokumentierter Messwert in der Briefreihenfolge; daraus kein genaues Labordatum abgeleitet.</t>
        </is>
      </c>
    </row>
    <row r="10" ht="165" customHeight="1">
      <c r="A10" s="17" t="n">
        <v>4</v>
      </c>
      <c r="B10" s="18" t="inlineStr">
        <is>
          <t>SpA</t>
        </is>
      </c>
      <c r="C10" s="18" t="inlineStr">
        <is>
          <t>Follow-up</t>
        </is>
      </c>
      <c r="D10" s="19" t="n">
        <v>44239</v>
      </c>
      <c r="E10" s="19" t="n">
        <v>44305</v>
      </c>
      <c r="F10" s="17">
        <f>IF(E10="","",E10-D10)</f>
        <v/>
      </c>
      <c r="G10" s="20" t="n"/>
      <c r="H10" s="20" t="n"/>
      <c r="I10" s="20" t="n"/>
      <c r="J10" s="20" t="n"/>
      <c r="K10" s="20" t="n"/>
      <c r="L10" s="20" t="n"/>
      <c r="M10" s="20" t="n"/>
      <c r="N10" s="18" t="inlineStr">
        <is>
          <t>Ja</t>
        </is>
      </c>
      <c r="O10" s="20" t="n">
        <v>5.1</v>
      </c>
      <c r="P10" s="18" t="inlineStr">
        <is>
          <t>&lt;</t>
        </is>
      </c>
      <c r="Q10" s="18" t="inlineStr">
        <is>
          <t>mg/l</t>
        </is>
      </c>
      <c r="R10" s="20" t="n">
        <v>4</v>
      </c>
      <c r="S10" s="18" t="inlineStr">
        <is>
          <t>Ixekizumab</t>
        </is>
      </c>
      <c r="T10" s="18" t="inlineStr">
        <is>
          <t>Morgensteifigkeit der gesamten Wirbelsäule für etwa 15 Minuten bei verneintem entzündlichem Rückenschmerz. Weiterhin belastungsabhängige Arthralgien an beiden Daumen.</t>
        </is>
      </c>
      <c r="U10" s="18" t="inlineStr">
        <is>
          <t>vorhanden</t>
        </is>
      </c>
      <c r="V10" s="18" t="inlineStr">
        <is>
          <t>vorhanden</t>
        </is>
      </c>
      <c r="W10" s="18" t="inlineStr">
        <is>
          <t>verneint</t>
        </is>
      </c>
      <c r="X10" s="18" t="inlineStr">
        <is>
          <t>verneint</t>
        </is>
      </c>
      <c r="Y10" s="18" t="inlineStr">
        <is>
          <t>Gesamte Wirbelsäule, MCP 1 rechts und Daumen-Interphalangealgelenk links.</t>
        </is>
      </c>
      <c r="Z10" s="18" t="inlineStr">
        <is>
          <t>Leichter Druckschmerz an MCP 1 rechts und Daumen-IP links; keine synovitischen Schwellungen, Daktylitis oder Enthesitis-Zeichen. ISG nicht druckdolent, kein Wirbelsäulenklopfschmerz, gute LWS-Beweglichkeit und freie HWS-Rotation. Belastungsabhängige Daumenarthralgien ohne gesicherte aktuelle entzündliche Ursache.</t>
        </is>
      </c>
      <c r="AA10" s="18" t="n"/>
      <c r="AB10" s="18" t="inlineStr">
        <is>
          <t>Nicht beurteilbar</t>
        </is>
      </c>
      <c r="AC10" s="18" t="inlineStr">
        <is>
          <t>Unklar</t>
        </is>
      </c>
      <c r="AD10" s="18" t="inlineStr">
        <is>
          <t>Unter seit Oktober 2020 dokumentierter IL-17-Therapie aktuell stabiles Befinden ohne entzündlichen Rückenschmerz; kurze Morgensteifigkeit und belastungsabhängige Daumenarthralgien bleiben bestehen. Lokale Rötung und Schwellung nach Injektionen für etwa drei Tage, durch Kühlung vermindert. Unveränderte Fortführung empfohlen; ein eigenständig belegtes klinisches Veränderungsausmaß fehlt.</t>
        </is>
      </c>
      <c r="AE10" s="18" t="inlineStr">
        <is>
          <t>Für Laborwerte ist kein gesondertes Messdatum angegeben.
Ansprechen nicht beurteilbar: Das gute Therapieansprechen wird im PET-Befund beschrieben; ein unabhängig davon belegtes klinisches Veränderungsausmaß fehlt.
Krankheitszustand unklar: „stabil“ belegt weder Remission noch ausdrücklich gute klinische Kontrolle; die verbliebenen Beschwerden werden nicht eindeutig als entzündlich eingeordnet.
Axiale Beschwerden wegen aktueller Morgensteifigkeit vorhanden; entzündlicher Rückenschmerz wird ausdrücklich verneint.
CRP-Auswahl: erster dokumentierter Messwert in der Briefreihenfolge; daraus kein genaues Labordatum abgeleitet.</t>
        </is>
      </c>
    </row>
    <row r="11" ht="135" customHeight="1">
      <c r="A11" s="13" t="n">
        <v>5</v>
      </c>
      <c r="B11" s="14" t="inlineStr">
        <is>
          <t>SpA</t>
        </is>
      </c>
      <c r="C11" s="14" t="inlineStr">
        <is>
          <t>Baseline</t>
        </is>
      </c>
      <c r="D11" s="15" t="n">
        <v>44053</v>
      </c>
      <c r="E11" s="15" t="n">
        <v>44048</v>
      </c>
      <c r="F11" s="13">
        <f>IF(E11="","",E11-D11)</f>
        <v/>
      </c>
      <c r="G11" s="16" t="n"/>
      <c r="H11" s="16" t="n">
        <v>5.5</v>
      </c>
      <c r="I11" s="16" t="n"/>
      <c r="J11" s="16" t="n"/>
      <c r="K11" s="16" t="n"/>
      <c r="L11" s="16" t="n"/>
      <c r="M11" s="16" t="n">
        <v>0.875</v>
      </c>
      <c r="N11" s="14" t="inlineStr">
        <is>
          <t>Ja</t>
        </is>
      </c>
      <c r="O11" s="16" t="n">
        <v>5.3</v>
      </c>
      <c r="P11" s="14" t="inlineStr">
        <is>
          <t>=</t>
        </is>
      </c>
      <c r="Q11" s="14" t="inlineStr">
        <is>
          <t>mg/l</t>
        </is>
      </c>
      <c r="R11" s="16" t="n">
        <v>12</v>
      </c>
      <c r="S11" s="14" t="inlineStr">
        <is>
          <t>Ibuprofen</t>
        </is>
      </c>
      <c r="T11" s="14" t="inlineStr">
        <is>
          <t>Thorakale Verspannungen und Schmerzen sowie zeitweise tiefsitzende Rückenschmerzen mit nächtlichem Erwachen; ausgeprägte Abgeschlagenheit.</t>
        </is>
      </c>
      <c r="U11" s="14" t="inlineStr">
        <is>
          <t>vorhanden</t>
        </is>
      </c>
      <c r="V11" s="14" t="inlineStr">
        <is>
          <t>nicht erwähnt</t>
        </is>
      </c>
      <c r="W11" s="14" t="inlineStr">
        <is>
          <t>nicht erwähnt</t>
        </is>
      </c>
      <c r="X11" s="14" t="inlineStr">
        <is>
          <t>nicht erwähnt</t>
        </is>
      </c>
      <c r="Y11" s="14" t="inlineStr">
        <is>
          <t>BWS/Thorax links, rechtes ISG und tiefer Rücken.</t>
        </is>
      </c>
      <c r="Z11" s="14" t="inlineStr">
        <is>
          <t>Druckschmerz links thorakal an drei Punkten über den Rippenbögen auf BWS-Höhe und am rechten ISG. Teilweise nächtliches Erwachen durch Rückenschmerzen.</t>
        </is>
      </c>
      <c r="AA11" s="14" t="n"/>
      <c r="AB11" s="14" t="n"/>
      <c r="AC11" s="14" t="inlineStr">
        <is>
          <t>Aktiv</t>
        </is>
      </c>
      <c r="AD11" s="14" t="inlineStr">
        <is>
          <t>Nach Absetzen von Certolizumab im März aus Angst vor COVID-19 Verschlechterung mit leicht erhöhter entzündlicher Aktivität unter regelmäßiger Ibuprofeneinnahme. Zeitnaher Wiederbeginn von Certolizumab nach bildgebender Statuserhebung vereinbart.</t>
        </is>
      </c>
      <c r="AE11" s="14" t="inlineStr">
        <is>
          <t>Bei der Vorstellung ausdrücklich keine laufende Basistherapie; die Medikamentenübersicht nennt bereits den Wiederbeginn im August 2020.
Für Laborwerte und Scores ist kein eigenständiger Erhebungstag angegeben.
Historische MRT-Enthesitis ist kein aktueller klinischer Enthesitisbefund.
CRP-Auswahl: erster dokumentierter Messwert in der Briefreihenfolge; daraus kein genaues Labordatum abgeleitet.</t>
        </is>
      </c>
    </row>
    <row r="12" ht="135" customHeight="1">
      <c r="A12" s="17" t="n">
        <v>5</v>
      </c>
      <c r="B12" s="18" t="inlineStr">
        <is>
          <t>SpA</t>
        </is>
      </c>
      <c r="C12" s="18" t="inlineStr">
        <is>
          <t>Follow-up</t>
        </is>
      </c>
      <c r="D12" s="19" t="n">
        <v>44169</v>
      </c>
      <c r="E12" s="19" t="n">
        <v>44147</v>
      </c>
      <c r="F12" s="17">
        <f>IF(E12="","",E12-D12)</f>
        <v/>
      </c>
      <c r="G12" s="20" t="n"/>
      <c r="H12" s="20" t="n">
        <v>0.825</v>
      </c>
      <c r="I12" s="20" t="n"/>
      <c r="J12" s="20" t="n"/>
      <c r="K12" s="20" t="n"/>
      <c r="L12" s="20" t="n"/>
      <c r="M12" s="20" t="n">
        <v>0</v>
      </c>
      <c r="N12" s="18" t="inlineStr">
        <is>
          <t>Ja</t>
        </is>
      </c>
      <c r="O12" s="20" t="n">
        <v>5.2</v>
      </c>
      <c r="P12" s="18" t="inlineStr">
        <is>
          <t>&lt;</t>
        </is>
      </c>
      <c r="Q12" s="18" t="inlineStr">
        <is>
          <t>mg/l</t>
        </is>
      </c>
      <c r="R12" s="20" t="n">
        <v>1</v>
      </c>
      <c r="S12" s="18" t="inlineStr">
        <is>
          <t>Certolizumab; Ibuprofen</t>
        </is>
      </c>
      <c r="T12" s="18" t="inlineStr">
        <is>
          <t>Sehr gutes Befinden und wieder höhere Alltagsaktivität; lediglich leichte Beschwerden in den Costovertebralgelenken.</t>
        </is>
      </c>
      <c r="U12" s="18" t="inlineStr">
        <is>
          <t>vorhanden</t>
        </is>
      </c>
      <c r="V12" s="18" t="inlineStr">
        <is>
          <t>nicht erwähnt</t>
        </is>
      </c>
      <c r="W12" s="18" t="inlineStr">
        <is>
          <t>verneint</t>
        </is>
      </c>
      <c r="X12" s="18" t="inlineStr">
        <is>
          <t>nicht erwähnt</t>
        </is>
      </c>
      <c r="Y12" s="18" t="inlineStr">
        <is>
          <t>Costovertebralgelenke; Seite nicht angegeben.</t>
        </is>
      </c>
      <c r="Z12" s="18" t="inlineStr">
        <is>
          <t>Keine Druckschmerzen und keine Gelenkschwellungen. Leichte costovertebrale Restbeschwerden, durch Krankengymnastik und Massage gelindert.</t>
        </is>
      </c>
      <c r="AA12" s="18" t="inlineStr">
        <is>
          <t>Certolizumab seit Wiederbeginn im August 2020</t>
        </is>
      </c>
      <c r="AB12" s="18" t="inlineStr">
        <is>
          <t>Deutlich</t>
        </is>
      </c>
      <c r="AC12" s="18" t="inlineStr">
        <is>
          <t>Gut kontrolliert</t>
        </is>
      </c>
      <c r="AD12" s="18" t="inlineStr">
        <is>
          <t>Unter Certolizumab sehr gutes Befinden, gute Therapieansprache und höhere Alltagsaktivität bei zufriedenstellender Erkrankungskontrolle. Leichte costovertebrale Restbeschwerden sprechen auf Krankengymnastik und Massage an.</t>
        </is>
      </c>
      <c r="AE12" s="18" t="inlineStr">
        <is>
          <t>Für Laborwerte und Scores ist kein eigenständiger Erhebungstag angegeben.
Die leichten costovertebralen Restbeschwerden werden nicht ausdrücklich als relevante fortbestehende entzündliche Aktivität eingeordnet.
Keine Druckschmerzen und keine Schwellungen ergeben keine standardisierten TJC- oder SJC-Werte.
CRP-Auswahl: erster dokumentierter Messwert in der Briefreihenfolge; daraus kein genaues Labordatum abgeleitet.</t>
        </is>
      </c>
    </row>
    <row r="13" ht="105" customHeight="1">
      <c r="A13" s="13" t="n">
        <v>6</v>
      </c>
      <c r="B13" s="14" t="inlineStr">
        <is>
          <t>SpA</t>
        </is>
      </c>
      <c r="C13" s="14" t="inlineStr">
        <is>
          <t>Baseline</t>
        </is>
      </c>
      <c r="D13" s="15" t="n">
        <v>44046</v>
      </c>
      <c r="E13" s="15" t="n">
        <v>43969</v>
      </c>
      <c r="F13" s="13">
        <f>IF(E13="","",E13-D13)</f>
        <v/>
      </c>
      <c r="G13" s="16" t="n"/>
      <c r="H13" s="16" t="n"/>
      <c r="I13" s="16" t="n"/>
      <c r="J13" s="16" t="n"/>
      <c r="K13" s="16" t="n"/>
      <c r="L13" s="16" t="n"/>
      <c r="M13" s="16" t="n"/>
      <c r="N13" s="14" t="inlineStr">
        <is>
          <t>Nein</t>
        </is>
      </c>
      <c r="O13" s="16" t="n"/>
      <c r="P13" s="14" t="n"/>
      <c r="Q13" s="14" t="n"/>
      <c r="R13" s="16" t="n"/>
      <c r="S13" s="14" t="n"/>
      <c r="T13" s="14" t="inlineStr">
        <is>
          <t>Aktiver entzündlicher Rückenschmerz mit Morgensteifigkeit von 60–90 Minuten und eingeschränkter Wirbelsäulenrotation. Rezidivierende PIP-Beschwerden und aktuelle Schwellung der vierten linken Zehe bei Verdacht auf Daktylitis.</t>
        </is>
      </c>
      <c r="U13" s="14" t="inlineStr">
        <is>
          <t>vorhanden</t>
        </is>
      </c>
      <c r="V13" s="14" t="inlineStr">
        <is>
          <t>vorhanden</t>
        </is>
      </c>
      <c r="W13" s="14" t="inlineStr">
        <is>
          <t>vorhanden</t>
        </is>
      </c>
      <c r="X13" s="14" t="inlineStr">
        <is>
          <t>verneint</t>
        </is>
      </c>
      <c r="Y13" s="14" t="inlineStr">
        <is>
          <t>Wirbelsäule, insbesondere BWS/LWS; PIP-Gelenke der Hände; vierte linke Zehe.</t>
        </is>
      </c>
      <c r="Z13" s="14" t="inlineStr">
        <is>
          <t>Nächtlicher beziehungsweise frühmorgendlicher Rückenschmerz, Morgensteifigkeit 60–90 Minuten und eingeschränkte Rotation. Verdacht auf Daktylitis der vierten linken Zehe; ansonsten kein Druckschmerz und keine synovitische Schwellung. Plantaraponeurose beidseits aktuell nicht druckschmerzhaft, kein klinischer Hinweis auf Enthesitis.</t>
        </is>
      </c>
      <c r="AA13" s="14" t="n"/>
      <c r="AB13" s="14" t="n"/>
      <c r="AC13" s="14" t="inlineStr">
        <is>
          <t>Aktiv</t>
        </is>
      </c>
      <c r="AD13" s="14" t="inlineStr">
        <is>
          <t>Seit 2015 entzündlicher Rückenschmerz, seit Jahresbeginn zunehmende Steifigkeit und periphere Beschwerden. Etoricoxib und Ibuprofen ohne ausreichende Wirkung; Beginn von Methotrexat und ein Prednisolonstoß werden empfohlen.</t>
        </is>
      </c>
      <c r="AE13" s="14" t="inlineStr">
        <is>
          <t>Der vereinbarte PET-Termin und die geplante Wiedervorstellung belegen keinen weiteren tatsächlichen rheumatologischen Besuch.
Schwellung der vierten linken Zehe bei Verdacht auf Daktylitis; ansonsten klinisch keine synovitische Schwellung.</t>
        </is>
      </c>
    </row>
    <row r="14" ht="225" customHeight="1">
      <c r="A14" s="17" t="n">
        <v>6</v>
      </c>
      <c r="B14" s="18" t="inlineStr">
        <is>
          <t>SpA</t>
        </is>
      </c>
      <c r="C14" s="18" t="inlineStr">
        <is>
          <t>Follow-up</t>
        </is>
      </c>
      <c r="D14" s="19" t="n">
        <v>44253</v>
      </c>
      <c r="E14" s="19" t="n">
        <v>44398</v>
      </c>
      <c r="F14" s="17">
        <f>IF(E14="","",E14-D14)</f>
        <v/>
      </c>
      <c r="G14" s="20" t="n"/>
      <c r="H14" s="20" t="n">
        <v>0.8</v>
      </c>
      <c r="I14" s="20" t="n"/>
      <c r="J14" s="20" t="n"/>
      <c r="K14" s="20" t="n"/>
      <c r="L14" s="20" t="n">
        <v>0</v>
      </c>
      <c r="M14" s="20" t="n"/>
      <c r="N14" s="18" t="inlineStr">
        <is>
          <t>Ja</t>
        </is>
      </c>
      <c r="O14" s="20" t="n">
        <v>5.1</v>
      </c>
      <c r="P14" s="18" t="inlineStr">
        <is>
          <t>&lt;</t>
        </is>
      </c>
      <c r="Q14" s="18" t="inlineStr">
        <is>
          <t>mg/l</t>
        </is>
      </c>
      <c r="R14" s="20" t="n">
        <v>4</v>
      </c>
      <c r="S14" s="18" t="inlineStr">
        <is>
          <t>Adalimumab</t>
        </is>
      </c>
      <c r="T14" s="18" t="inlineStr">
        <is>
          <t>Teilweise rezidivierende Schmerzen im BWS-Bereich bei fehlenden peripheren Beschwerden.</t>
        </is>
      </c>
      <c r="U14" s="18" t="inlineStr">
        <is>
          <t>vorhanden</t>
        </is>
      </c>
      <c r="V14" s="18" t="inlineStr">
        <is>
          <t>verneint</t>
        </is>
      </c>
      <c r="W14" s="18" t="inlineStr">
        <is>
          <t>verneint</t>
        </is>
      </c>
      <c r="X14" s="18" t="inlineStr">
        <is>
          <t>verneint</t>
        </is>
      </c>
      <c r="Y14" s="18" t="inlineStr">
        <is>
          <t>BWS.</t>
        </is>
      </c>
      <c r="Z14" s="18" t="inlineStr">
        <is>
          <t>Rezidivierende BWS-Schmerzen unklarer Ursache. Kein Gelenkdruckschmerz, keine Schwellungen und ISG nicht schmerzhaft; MASES 0. Frühere Daktylitis der vierten linken Zehe.</t>
        </is>
      </c>
      <c r="AA14" s="18" t="n"/>
      <c r="AB14" s="18" t="inlineStr">
        <is>
          <t>Nicht beurteilbar</t>
        </is>
      </c>
      <c r="AC14" s="18" t="inlineStr">
        <is>
          <t>Unklar</t>
        </is>
      </c>
      <c r="AD14" s="18" t="inlineStr">
        <is>
          <t>Unter laufendem Adalimumab keine peripheren Beschwerden, jedoch teilweise rezidivierende BWS-Schmerzen. Methotrexat wurde selbstständig abgesetzt und anschließend gemeinsam pausiert. Ein klinischer Therapieeffekt mit eindeutigem Ausmaß und eindeutiger Therapiezuordnung ist nicht dokumentiert.</t>
        </is>
      </c>
      <c r="AE14" s="18" t="inlineStr">
        <is>
          <t>Einziger belegter rheumatologischer Besuch dieser Briefgruppe ist der 21.07.2021, nach dem Follow-up-Scan.
Laborwerte und BKS ohne eigenes Messdatum; kein Messdatum aus dem Besuchsdatum abgeleitet.
Kein ausreichend belegter klinischer Veränderungsnachweis mit Therapiezuordnung; Ansprechen daher nicht beurteilbar. Fehlende FAPI-Aktivität ist kein klinischer Ansprechnachweis.
Entzündliche oder degenerative Ursache der aktuellen BWS-Schmerzen nicht eindeutig dokumentiert; gesamter klinischer Krankheitszustand daher unklar.
Frühere unzureichende NSAR-Wirkung wird nur als Therapiehistorie wiederholt und nicht als aktuelles Follow-up-Ansprechen gewertet.
CRP-Auswahl: erster dokumentierter Messwert in der Briefreihenfolge; daraus kein genaues Labordatum abgeleitet.</t>
        </is>
      </c>
    </row>
    <row r="15" ht="135" customHeight="1">
      <c r="A15" s="13" t="n">
        <v>7</v>
      </c>
      <c r="B15" s="14" t="inlineStr">
        <is>
          <t>SpA</t>
        </is>
      </c>
      <c r="C15" s="14" t="inlineStr">
        <is>
          <t>Baseline</t>
        </is>
      </c>
      <c r="D15" s="15" t="n">
        <v>43976</v>
      </c>
      <c r="E15" s="15" t="n">
        <v>43951</v>
      </c>
      <c r="F15" s="13">
        <f>IF(E15="","",E15-D15)</f>
        <v/>
      </c>
      <c r="G15" s="16" t="n"/>
      <c r="H15" s="16" t="n">
        <v>5.4</v>
      </c>
      <c r="I15" s="16" t="n">
        <v>0</v>
      </c>
      <c r="J15" s="16" t="n">
        <v>0</v>
      </c>
      <c r="K15" s="16" t="n"/>
      <c r="L15" s="16" t="n"/>
      <c r="M15" s="16" t="n">
        <v>0.375</v>
      </c>
      <c r="N15" s="14" t="inlineStr">
        <is>
          <t>Ja</t>
        </is>
      </c>
      <c r="O15" s="16" t="n">
        <v>9.699999999999999</v>
      </c>
      <c r="P15" s="14" t="inlineStr">
        <is>
          <t>=</t>
        </is>
      </c>
      <c r="Q15" s="14" t="inlineStr">
        <is>
          <t>mg/l</t>
        </is>
      </c>
      <c r="R15" s="16" t="n">
        <v>39</v>
      </c>
      <c r="S15" s="14" t="inlineStr">
        <is>
          <t>Adalimumab; Methocarbamol; Ibuprofen</t>
        </is>
      </c>
      <c r="T15" s="14" t="inlineStr">
        <is>
          <t>Konstante Rückenbeschwerden mit Schwerpunkt LWS und tiefem Rücken in Ruhe und bei Bewegung. Zusätzlich leichte bewegungsabhängige Beschwerden und Bewegungseinschränkung der linken Schulter mit Ausstrahlung zum Nacken.</t>
        </is>
      </c>
      <c r="U15" s="14" t="inlineStr">
        <is>
          <t>vorhanden</t>
        </is>
      </c>
      <c r="V15" s="14" t="inlineStr">
        <is>
          <t>vorhanden</t>
        </is>
      </c>
      <c r="W15" s="14" t="inlineStr">
        <is>
          <t>verneint</t>
        </is>
      </c>
      <c r="X15" s="14" t="inlineStr">
        <is>
          <t>verneint</t>
        </is>
      </c>
      <c r="Y15" s="14" t="inlineStr">
        <is>
          <t>BWS, LWS, ISG linksbetont, linke Schulter mit Ausstrahlung zum Nacken.</t>
        </is>
      </c>
      <c r="Z15" s="14" t="inlineStr">
        <is>
          <t>Druckschmerz über BWS/LWS und ISG, Mennell links stärker als rechts positiv. Keine geschwollenen Gelenke oder periphere Enthesitis. Morgensteifigkeit 0 Minuten, kein nächtliches Erwachen durch Rückenschmerzen. Zeitweise Taubheitsgefühl im rechten Fuß; vorübergehende Instabilität des linken Knies aktuell abgeklungen.</t>
        </is>
      </c>
      <c r="AA15" s="14" t="n"/>
      <c r="AB15" s="14" t="n"/>
      <c r="AC15" s="14" t="inlineStr">
        <is>
          <t>Aktiv</t>
        </is>
      </c>
      <c r="AD15" s="14" t="inlineStr">
        <is>
          <t>Persistierende axiale Beschwerden nach unzureichender Wirkung von Ibuprofen und fehlendem Ansprechen auf Etoricoxib. Adalimumab wurde eingeleitet und seit Mai 2020 als aktuelle Therapie dokumentiert; Ibuprofen bleibt bei Bedarf vorgesehen.</t>
        </is>
      </c>
      <c r="AE15" s="14" t="inlineStr">
        <is>
          <t>Für Scores, Gelenkstatus und Laborwerte ist kein separates Erhebungsdatum angegeben; das Referenzdatum wird nicht automatisch als Messdatum übernommen.
BSG gemäß Studienkonvention aus dem ersten Wert der Angabe 39/75 übernommen.
TJC 0 trotz anamnestischer Schulterbeschwerden ausdrücklich dokumentiert.
CRP-Auswahl: erster dokumentierter Messwert in der Briefreihenfolge; daraus kein genaues Labordatum abgeleitet.</t>
        </is>
      </c>
    </row>
    <row r="16" ht="150" customHeight="1">
      <c r="A16" s="17" t="n">
        <v>7</v>
      </c>
      <c r="B16" s="18" t="inlineStr">
        <is>
          <t>SpA</t>
        </is>
      </c>
      <c r="C16" s="18" t="inlineStr">
        <is>
          <t>Follow-up</t>
        </is>
      </c>
      <c r="D16" s="19" t="n">
        <v>44221</v>
      </c>
      <c r="E16" s="19" t="n">
        <v>44162</v>
      </c>
      <c r="F16" s="17">
        <f>IF(E16="","",E16-D16)</f>
        <v/>
      </c>
      <c r="G16" s="20" t="n"/>
      <c r="H16" s="20" t="n"/>
      <c r="I16" s="20" t="n"/>
      <c r="J16" s="20" t="n"/>
      <c r="K16" s="20" t="n"/>
      <c r="L16" s="20" t="n"/>
      <c r="M16" s="20" t="n"/>
      <c r="N16" s="18" t="inlineStr">
        <is>
          <t>Ja</t>
        </is>
      </c>
      <c r="O16" s="20" t="n">
        <v>5.1</v>
      </c>
      <c r="P16" s="18" t="inlineStr">
        <is>
          <t>&lt;</t>
        </is>
      </c>
      <c r="Q16" s="18" t="inlineStr">
        <is>
          <t>mg/l</t>
        </is>
      </c>
      <c r="R16" s="20" t="n">
        <v>2</v>
      </c>
      <c r="S16" s="18" t="inlineStr">
        <is>
          <t>Adalimumab; Methocarbamol</t>
        </is>
      </c>
      <c r="T16" s="18" t="inlineStr">
        <is>
          <t>Aktuell keine krankheitsbezogenen Beschwerden und keine Schübe seit Adalimumab. Keine Gelenkschmerzen, Gelenkschwellungen oder Morgensteifigkeit.</t>
        </is>
      </c>
      <c r="U16" s="18" t="inlineStr">
        <is>
          <t>verneint</t>
        </is>
      </c>
      <c r="V16" s="18" t="inlineStr">
        <is>
          <t>verneint</t>
        </is>
      </c>
      <c r="W16" s="18" t="inlineStr">
        <is>
          <t>verneint</t>
        </is>
      </c>
      <c r="X16" s="18" t="inlineStr">
        <is>
          <t>nicht erwähnt</t>
        </is>
      </c>
      <c r="Y16" s="18" t="n"/>
      <c r="Z16" s="18" t="inlineStr">
        <is>
          <t>Keine druckschmerzhaften oder geschwollenen Gelenke, kein Klopfschmerz der Wirbelsäule. Keine Morgensteifigkeit. Gelegentlicher orthostatischer Schwindel und beidseitiges Einschlafen der Beine nach längerem Sitzen auf der Toilette.</t>
        </is>
      </c>
      <c r="AA16" s="18" t="inlineStr">
        <is>
          <t>Adalimumab</t>
        </is>
      </c>
      <c r="AB16" s="18" t="inlineStr">
        <is>
          <t>Deutlich</t>
        </is>
      </c>
      <c r="AC16" s="18" t="inlineStr">
        <is>
          <t>Gut kontrolliert</t>
        </is>
      </c>
      <c r="AD16" s="18" t="inlineStr">
        <is>
          <t>Seit Adalimumab keine Schübe mehr und aktuell beschwerdefrei, klinisch kein Anhalt für SpA-Aktivität. Adalimumab wird gut vertragen und unverändert fortgeführt; Methocarbamol seit der letzten Vorstellung einmalig benötigt. Orthostatischer Schwindel soll beobachtet und gegebenenfalls abgeklärt werden.</t>
        </is>
      </c>
      <c r="AE16" s="18" t="inlineStr">
        <is>
          <t>Laborwerte ohne separates Messdatum; das klinische Referenzdatum wird nicht automatisch als Labordatum übernommen.
Vier Schmerzschübe im Jahresverlauf erwähnt, zeitlich nicht einzeln zugeordnet; zugleich ausdrücklich keine Schübe seit Adalimumab und aktuell keine Beschwerden.
Keine ausdrücklich dokumentierten numerischen TJC- oder SJC-Werte; unauffälliger Gelenkstatus wird nicht in Scores umgerechnet.
CRP-Auswahl: erster dokumentierter Messwert in der Briefreihenfolge; daraus kein genaues Labordatum abgeleitet.</t>
        </is>
      </c>
    </row>
    <row r="17" ht="75" customHeight="1">
      <c r="A17" s="13" t="n">
        <v>8</v>
      </c>
      <c r="B17" s="14" t="inlineStr">
        <is>
          <t>SpA</t>
        </is>
      </c>
      <c r="C17" s="14" t="inlineStr">
        <is>
          <t>Baseline</t>
        </is>
      </c>
      <c r="D17" s="15" t="n">
        <v>43948</v>
      </c>
      <c r="E17" s="15" t="n">
        <v>43941</v>
      </c>
      <c r="F17" s="13">
        <f>IF(E17="","",E17-D17)</f>
        <v/>
      </c>
      <c r="G17" s="16" t="n"/>
      <c r="H17" s="16" t="n"/>
      <c r="I17" s="16" t="n"/>
      <c r="J17" s="16" t="n"/>
      <c r="K17" s="16" t="n"/>
      <c r="L17" s="16" t="n"/>
      <c r="M17" s="16" t="n"/>
      <c r="N17" s="14" t="inlineStr">
        <is>
          <t>Ja</t>
        </is>
      </c>
      <c r="O17" s="16" t="n">
        <v>13.8</v>
      </c>
      <c r="P17" s="14" t="inlineStr">
        <is>
          <t>=</t>
        </is>
      </c>
      <c r="Q17" s="14" t="inlineStr">
        <is>
          <t>mg/l</t>
        </is>
      </c>
      <c r="R17" s="16" t="n"/>
      <c r="S17" s="14" t="inlineStr">
        <is>
          <t>Diclofenac</t>
        </is>
      </c>
      <c r="T17" s="14" t="inlineStr">
        <is>
          <t>Seit etwa zehn Tagen zunehmende nächtliche Schmerzen im LWS-/ISG-Bereich bei klinisch aktiver axialer Spondylarthritis.</t>
        </is>
      </c>
      <c r="U17" s="14" t="inlineStr">
        <is>
          <t>vorhanden</t>
        </is>
      </c>
      <c r="V17" s="14" t="inlineStr">
        <is>
          <t>nicht erwähnt</t>
        </is>
      </c>
      <c r="W17" s="14" t="inlineStr">
        <is>
          <t>verneint</t>
        </is>
      </c>
      <c r="X17" s="14" t="inlineStr">
        <is>
          <t>verneint</t>
        </is>
      </c>
      <c r="Y17" s="14" t="inlineStr">
        <is>
          <t>LWS und ISG-Bereich.</t>
        </is>
      </c>
      <c r="Z17" s="14" t="inlineStr">
        <is>
          <t>Morgensteifigkeit verneint. TWA 12 cm, Schober 14,5 cm, Patrickzeichen negativ; klinisch keine Synovitis oder Enthesitis.</t>
        </is>
      </c>
      <c r="AA17" s="14" t="n"/>
      <c r="AB17" s="14" t="n"/>
      <c r="AC17" s="14" t="inlineStr">
        <is>
          <t>Aktiv</t>
        </is>
      </c>
      <c r="AD17" s="14" t="inlineStr">
        <is>
          <t>Persistierende klinische und bildmorphologische Aktivität unter NSAR; deshalb Eskalation auf Adalimumab verordnet.</t>
        </is>
      </c>
      <c r="AE17" s="14" t="inlineStr">
        <is>
          <t>Einzeldatum der CRP-Messung nicht ausdrücklich angegeben.
Die bildgebend beschriebene Enthesitis wird nicht als klinische Enthesitis übernommen.
CRP-Auswahl: erster dokumentierter Messwert in der Briefreihenfolge; daraus kein genaues Labordatum abgeleitet.</t>
        </is>
      </c>
    </row>
    <row r="18" ht="210" customHeight="1">
      <c r="A18" s="17" t="n">
        <v>8</v>
      </c>
      <c r="B18" s="18" t="inlineStr">
        <is>
          <t>SpA</t>
        </is>
      </c>
      <c r="C18" s="18" t="inlineStr">
        <is>
          <t>Follow-up</t>
        </is>
      </c>
      <c r="D18" s="19" t="n">
        <v>44085</v>
      </c>
      <c r="E18" s="19" t="n">
        <v>44144</v>
      </c>
      <c r="F18" s="17">
        <f>IF(E18="","",E18-D18)</f>
        <v/>
      </c>
      <c r="G18" s="20" t="n"/>
      <c r="H18" s="20" t="n">
        <v>1.4</v>
      </c>
      <c r="I18" s="20" t="n"/>
      <c r="J18" s="20" t="n"/>
      <c r="K18" s="20" t="n"/>
      <c r="L18" s="20" t="n"/>
      <c r="M18" s="20" t="n"/>
      <c r="N18" s="18" t="inlineStr">
        <is>
          <t>Ja</t>
        </is>
      </c>
      <c r="O18" s="20" t="n">
        <v>5.2</v>
      </c>
      <c r="P18" s="18" t="inlineStr">
        <is>
          <t>&lt;</t>
        </is>
      </c>
      <c r="Q18" s="18" t="inlineStr">
        <is>
          <t>mg/l</t>
        </is>
      </c>
      <c r="R18" s="20" t="n">
        <v>5</v>
      </c>
      <c r="S18" s="18" t="inlineStr">
        <is>
          <t>Adalimumab; Diclofenac</t>
        </is>
      </c>
      <c r="T18" s="18" t="inlineStr">
        <is>
          <t>Deutlich gebesserte muskuloskelettale Beschwerden der Wirbelsäule bei ausreichender klinischer Krankheitskontrolle; keine peripheren Gelenkschwellungen.</t>
        </is>
      </c>
      <c r="U18" s="18" t="inlineStr">
        <is>
          <t>vorhanden</t>
        </is>
      </c>
      <c r="V18" s="18" t="inlineStr">
        <is>
          <t>verneint</t>
        </is>
      </c>
      <c r="W18" s="18" t="inlineStr">
        <is>
          <t>verneint</t>
        </is>
      </c>
      <c r="X18" s="18" t="inlineStr">
        <is>
          <t>verneint</t>
        </is>
      </c>
      <c r="Y18" s="18" t="inlineStr">
        <is>
          <t>Wirbelsäule.</t>
        </is>
      </c>
      <c r="Z18" s="18" t="inlineStr">
        <is>
          <t>Wirbelsäulenbeschwerden deutlich gebessert, vollständige Beschwerdefreiheit nicht dokumentiert. Keine synovitische Gelenkschwellung, kein Gelenkdruckschmerz und keine Enthesitis.</t>
        </is>
      </c>
      <c r="AA18" s="18" t="inlineStr">
        <is>
          <t>Adalimumab</t>
        </is>
      </c>
      <c r="AB18" s="18" t="inlineStr">
        <is>
          <t>Deutlich</t>
        </is>
      </c>
      <c r="AC18" s="18" t="inlineStr">
        <is>
          <t>Gut kontrolliert</t>
        </is>
      </c>
      <c r="AD18" s="18" t="inlineStr">
        <is>
          <t>Unter Adalimumab deutliche klinische Besserung der Wirbelsäulenbeschwerden und ausreichende Kontrolle der Grunderkrankung; Fortführung empfohlen.</t>
        </is>
      </c>
      <c r="AE18" s="18" t="inlineStr">
        <is>
          <t>Der belegte klinische Besuch liegt nach dem Follow-up-Scan vom 11.09.2020.
Einzeldaten von CRP und BKS sind nicht ausdrücklich angegeben; keine automatische Zuordnung zum klinischen Referenztermin.
BSG gemäß Studienkonvention aus dem ersten Wert von „BKS 5/11“ übernommen.
Periphere Gelenkbeschwerden anhand des ausdrücklich fehlenden Gelenkdruckschmerzes als verneint eingeordnet; eine umfassende anamnestische Schmerzverneinung fehlt.
Axiale Beschwerden als deutlich gebessert dokumentiert; verbleibendes Ausmaß und vollständige Beschwerdefreiheit nicht ausdrücklich angegeben.
CRP-Auswahl: erster dokumentierter Messwert in der Briefreihenfolge; daraus kein genaues Labordatum abgeleitet.</t>
        </is>
      </c>
    </row>
    <row r="19" ht="60" customHeight="1">
      <c r="A19" s="13" t="n">
        <v>9</v>
      </c>
      <c r="B19" s="14" t="inlineStr">
        <is>
          <t>SpA</t>
        </is>
      </c>
      <c r="C19" s="14" t="inlineStr">
        <is>
          <t>Baseline</t>
        </is>
      </c>
      <c r="D19" s="15" t="n">
        <v>43854</v>
      </c>
      <c r="E19" s="15" t="n">
        <v>43845</v>
      </c>
      <c r="F19" s="13">
        <f>IF(E19="","",E19-D19)</f>
        <v/>
      </c>
      <c r="G19" s="16" t="n"/>
      <c r="H19" s="16" t="n">
        <v>7.3</v>
      </c>
      <c r="I19" s="16" t="n"/>
      <c r="J19" s="16" t="n"/>
      <c r="K19" s="16" t="n"/>
      <c r="L19" s="16" t="n"/>
      <c r="M19" s="16" t="n">
        <v>0.5</v>
      </c>
      <c r="N19" s="14" t="inlineStr">
        <is>
          <t>Ja</t>
        </is>
      </c>
      <c r="O19" s="16" t="n">
        <v>6.5</v>
      </c>
      <c r="P19" s="14" t="inlineStr">
        <is>
          <t>=</t>
        </is>
      </c>
      <c r="Q19" s="14" t="inlineStr">
        <is>
          <t>mg/l</t>
        </is>
      </c>
      <c r="R19" s="16" t="n"/>
      <c r="S19" s="14" t="inlineStr">
        <is>
          <t>Diclofenac; Etoricoxib; Isoniazid</t>
        </is>
      </c>
      <c r="T19" s="14" t="inlineStr">
        <is>
          <t>Aktive axiale Spondylarthritis mit Schmerzen an LWS und beiden ISG.</t>
        </is>
      </c>
      <c r="U19" s="14" t="inlineStr">
        <is>
          <t>vorhanden</t>
        </is>
      </c>
      <c r="V19" s="14" t="inlineStr">
        <is>
          <t>verneint</t>
        </is>
      </c>
      <c r="W19" s="14" t="inlineStr">
        <is>
          <t>verneint</t>
        </is>
      </c>
      <c r="X19" s="14" t="inlineStr">
        <is>
          <t>nicht erwähnt</t>
        </is>
      </c>
      <c r="Y19" s="14" t="inlineStr">
        <is>
          <t>LWS und ISG beidseits.</t>
        </is>
      </c>
      <c r="Z19" s="14" t="inlineStr">
        <is>
          <t>Druckschmerz der LWS; beide ISG ohne Druckschmerz. Keine peripheren Gelenkschmerzen oder Schwellungen.</t>
        </is>
      </c>
      <c r="AA19" s="14" t="n"/>
      <c r="AB19" s="14" t="n"/>
      <c r="AC19" s="14" t="inlineStr">
        <is>
          <t>Aktiv</t>
        </is>
      </c>
      <c r="AD19" s="14" t="inlineStr">
        <is>
          <t>Geringe Beschwerdelinderung unter Diclofenac bei hoher Krankheitsaktivität. Etoricoxib wird als zweites NSAR eingeleitet; eine Biologikatherapie wird nach Beginn der Tuberkuloseprophylaxe erwogen.</t>
        </is>
      </c>
      <c r="AE19" s="14" t="inlineStr">
        <is>
          <t>Für den CRP-Wert ist kein eigenständiges Labordatum dokumentiert.
CRP-Auswahl: erster dokumentierter Messwert in der Briefreihenfolge; daraus kein genaues Labordatum abgeleitet.</t>
        </is>
      </c>
    </row>
    <row r="20" ht="90" customHeight="1">
      <c r="A20" s="17" t="n">
        <v>9</v>
      </c>
      <c r="B20" s="18" t="inlineStr">
        <is>
          <t>SpA</t>
        </is>
      </c>
      <c r="C20" s="18" t="inlineStr">
        <is>
          <t>Follow-up</t>
        </is>
      </c>
      <c r="D20" s="19" t="n">
        <v>44050</v>
      </c>
      <c r="E20" s="19" t="n">
        <v>43979</v>
      </c>
      <c r="F20" s="17">
        <f>IF(E20="","",E20-D20)</f>
        <v/>
      </c>
      <c r="G20" s="20" t="n"/>
      <c r="H20" s="20" t="n">
        <v>9.9</v>
      </c>
      <c r="I20" s="20" t="n"/>
      <c r="J20" s="20" t="n"/>
      <c r="K20" s="20" t="n"/>
      <c r="L20" s="20" t="n"/>
      <c r="M20" s="20" t="n">
        <v>0</v>
      </c>
      <c r="N20" s="18" t="inlineStr">
        <is>
          <t>Nein</t>
        </is>
      </c>
      <c r="O20" s="20" t="n"/>
      <c r="P20" s="18" t="n"/>
      <c r="Q20" s="18" t="n"/>
      <c r="R20" s="20" t="n"/>
      <c r="S20" s="18" t="inlineStr">
        <is>
          <t>Secukinumab; Diclofenac; Etoricoxib; Isoniazid; Pantoprazol</t>
        </is>
      </c>
      <c r="T20" s="18" t="inlineStr">
        <is>
          <t>Unveränderter tiefsitzender Rückenschmerz unter Secukinumab mit etwa 60 Minuten Morgensteifigkeit.</t>
        </is>
      </c>
      <c r="U20" s="18" t="inlineStr">
        <is>
          <t>vorhanden</t>
        </is>
      </c>
      <c r="V20" s="18" t="inlineStr">
        <is>
          <t>verneint</t>
        </is>
      </c>
      <c r="W20" s="18" t="inlineStr">
        <is>
          <t>verneint</t>
        </is>
      </c>
      <c r="X20" s="18" t="inlineStr">
        <is>
          <t>nicht erwähnt</t>
        </is>
      </c>
      <c r="Y20" s="18" t="inlineStr">
        <is>
          <t>LWS und lumbosakraler Bereich; Patrick-Zeichen beidseits positiv.</t>
        </is>
      </c>
      <c r="Z20" s="18" t="inlineStr">
        <is>
          <t>Druckschmerz der LWS, Patrick-Zeichen beidseits positiv. Morgensteifigkeit etwa 60 Minuten; keine peripheren Gelenkschmerzen oder Schwellungen.</t>
        </is>
      </c>
      <c r="AA20" s="18" t="inlineStr">
        <is>
          <t>Secukinumab 150 mg alle 4 Wochen</t>
        </is>
      </c>
      <c r="AB20" s="18" t="inlineStr">
        <is>
          <t>Keines</t>
        </is>
      </c>
      <c r="AC20" s="18" t="inlineStr">
        <is>
          <t>Aktiv</t>
        </is>
      </c>
      <c r="AD20" s="18" t="inlineStr">
        <is>
          <t>Nach unzureichendem Ansprechen auf zwei NSAR seit Februar 2020 Secukinumab ohne klinische Besserung. Axiale Beschwerden bestehen unverändert; nach Injektionen Appetitlosigkeit und Übelkeit. Symptomatische Begleittherapie und feste NSAR-Einnahme empfohlen; Dosiserhöhung von Secukinumab bei guter Verträglichkeit erwogen.</t>
        </is>
      </c>
      <c r="AE20" s="18" t="inlineStr">
        <is>
          <t>Keine Laborergebnisse: Patient ohne Blutentnahme gegangen und Ersatztermin nicht wahrgenommen; CRP und BSG lediglich zur Kontrolle angefordert.
Die Empfehlung zu Ibuprofen klärt nicht ausdrücklich, ob die weiterhin aufgeführten NSAR Diclofenac und Etoricoxib beendet werden.</t>
        </is>
      </c>
    </row>
    <row r="21" ht="165" customHeight="1">
      <c r="A21" s="13" t="n">
        <v>10</v>
      </c>
      <c r="B21" s="14" t="inlineStr">
        <is>
          <t>SpA</t>
        </is>
      </c>
      <c r="C21" s="14" t="inlineStr">
        <is>
          <t>Baseline</t>
        </is>
      </c>
      <c r="D21" s="15" t="n">
        <v>43850</v>
      </c>
      <c r="E21" s="15" t="n">
        <v>43885</v>
      </c>
      <c r="F21" s="13">
        <f>IF(E21="","",E21-D21)</f>
        <v/>
      </c>
      <c r="G21" s="16" t="n"/>
      <c r="H21" s="16" t="n"/>
      <c r="I21" s="16" t="n"/>
      <c r="J21" s="16" t="n"/>
      <c r="K21" s="16" t="n"/>
      <c r="L21" s="16" t="n"/>
      <c r="M21" s="16" t="n"/>
      <c r="N21" s="14" t="inlineStr">
        <is>
          <t>Ja</t>
        </is>
      </c>
      <c r="O21" s="16" t="n">
        <v>5.2</v>
      </c>
      <c r="P21" s="14" t="inlineStr">
        <is>
          <t>&lt;</t>
        </is>
      </c>
      <c r="Q21" s="14" t="inlineStr">
        <is>
          <t>mg/l</t>
        </is>
      </c>
      <c r="R21" s="16" t="n">
        <v>6</v>
      </c>
      <c r="S21" s="14" t="inlineStr">
        <is>
          <t>Secukinumab; Diclofenac; Prednisolon</t>
        </is>
      </c>
      <c r="T21" s="14" t="inlineStr">
        <is>
          <t>Tiefsitzender Rückenschmerz und beidseitige Handgelenkarthralgien mit etwa 1,5 Stunden Morgensteifigkeit. Persistierende Schmerzen am rechten Sprunggelenk bei zusätzlicher posttraumatischer OSG-Arthrose.</t>
        </is>
      </c>
      <c r="U21" s="14" t="inlineStr">
        <is>
          <t>vorhanden</t>
        </is>
      </c>
      <c r="V21" s="14" t="inlineStr">
        <is>
          <t>vorhanden</t>
        </is>
      </c>
      <c r="W21" s="14" t="inlineStr">
        <is>
          <t>nicht erwähnt</t>
        </is>
      </c>
      <c r="X21" s="14" t="inlineStr">
        <is>
          <t>verneint</t>
        </is>
      </c>
      <c r="Y21" s="14" t="inlineStr">
        <is>
          <t>Tiefer Rücken, Handgelenke beidseits, rechtes oberes Sprunggelenk; zusätzlich linkes Auge.</t>
        </is>
      </c>
      <c r="Z21" s="14" t="inlineStr">
        <is>
          <t>Schmerzen am rechten OSG bei bekannter posttraumatischer Arthrose; Handgelenkarthralgien beidseits und Morgensteifigkeit etwa 1,5 Stunden. Tiefsitzender Rückenschmerz bei zusätzlicher früherer LWK-Fraktur und Versteifung. Keine Enthesitis. Seit einer Woche Uveitis links; aktuell keine Psoriasisplaques.</t>
        </is>
      </c>
      <c r="AA21" s="14" t="n"/>
      <c r="AB21" s="14" t="n"/>
      <c r="AC21" s="14" t="inlineStr">
        <is>
          <t>Aktiv</t>
        </is>
      </c>
      <c r="AD21" s="14" t="inlineStr">
        <is>
          <t>Unter Certolizumab persistierende axiale und periphere Beschwerden sowie neu aufgetretene Uveitis. Wegen deutlicher Erkrankungsaktivität und Wirkungslosigkeit zweier TNF-Inhibitoren Umstellung auf Secukinumab empfohlen; im fortgeschriebenen Diagnoseabschnitt bereits seit Mai 2020 als aktuelle Therapie geführt.</t>
        </is>
      </c>
      <c r="AE21" s="14" t="inlineStr">
        <is>
          <t>Der Baseline-Brief verbindet die Vorstellung vom 24.02.2020 mit späteren Befunden und Therapieangaben bis Mai 2020; deren Zuordnung zum Referenztermin ist nicht durchgehend möglich.
CRP und BKS ohne eigenes Messdatum; keine automatische Zuordnung zum klinischen Referenztermin.
BKS 6/18 gemäß Studienkonvention als BSG nach einer Stunde mit 6 mm übernommen.
Lokale Steroidtherapie der Uveitis erwähnt, Wirkstoff und Dosierung nicht benannt.
CRP-Auswahl: erster dokumentierter Messwert in der Briefreihenfolge; daraus kein genaues Labordatum abgeleitet.</t>
        </is>
      </c>
    </row>
    <row r="22" ht="105" customHeight="1">
      <c r="A22" s="17" t="n">
        <v>10</v>
      </c>
      <c r="B22" s="18" t="inlineStr">
        <is>
          <t>SpA</t>
        </is>
      </c>
      <c r="C22" s="18" t="inlineStr">
        <is>
          <t>Follow-up</t>
        </is>
      </c>
      <c r="D22" s="19" t="n">
        <v>44074</v>
      </c>
      <c r="E22" s="19" t="n">
        <v>44137</v>
      </c>
      <c r="F22" s="17">
        <f>IF(E22="","",E22-D22)</f>
        <v/>
      </c>
      <c r="G22" s="20" t="n"/>
      <c r="H22" s="20" t="n"/>
      <c r="I22" s="20" t="n"/>
      <c r="J22" s="20" t="n"/>
      <c r="K22" s="20" t="n"/>
      <c r="L22" s="20" t="n"/>
      <c r="M22" s="20" t="n"/>
      <c r="N22" s="18" t="inlineStr">
        <is>
          <t>Ja</t>
        </is>
      </c>
      <c r="O22" s="20" t="n">
        <v>5.2</v>
      </c>
      <c r="P22" s="18" t="inlineStr">
        <is>
          <t>&lt;</t>
        </is>
      </c>
      <c r="Q22" s="18" t="inlineStr">
        <is>
          <t>mg/l</t>
        </is>
      </c>
      <c r="R22" s="20" t="n"/>
      <c r="S22" s="18" t="inlineStr">
        <is>
          <t>Secukinumab</t>
        </is>
      </c>
      <c r="T22" s="18" t="inlineStr">
        <is>
          <t>Deutliche Besserung axialer und peripherer entzündlicher Gelenkbeschwerden unter Secukinumab nach Dosiserhöhung; aktuell ausreichende klinische Erkrankungskontrolle.</t>
        </is>
      </c>
      <c r="U22" s="18" t="inlineStr">
        <is>
          <t>unklar</t>
        </is>
      </c>
      <c r="V22" s="18" t="inlineStr">
        <is>
          <t>unklar</t>
        </is>
      </c>
      <c r="W22" s="18" t="inlineStr">
        <is>
          <t>verneint</t>
        </is>
      </c>
      <c r="X22" s="18" t="inlineStr">
        <is>
          <t>verneint</t>
        </is>
      </c>
      <c r="Y22" s="18" t="inlineStr">
        <is>
          <t>Axiale und periphere Gelenkregionen, ohne nähere Lokalisation.</t>
        </is>
      </c>
      <c r="Z22" s="18" t="inlineStr">
        <is>
          <t>Keine synovitische Gelenkschwellung, keine Enthesitis und kein Druckschmerz. Keine Uveitis und keine psoriasiformen Plaques. Ob nach deutlicher Besserung noch axiale oder periphere Restbeschwerden bestehen, bleibt offen.</t>
        </is>
      </c>
      <c r="AA22" s="18" t="inlineStr">
        <is>
          <t>Secukinumab nach Dosiserhöhung</t>
        </is>
      </c>
      <c r="AB22" s="18" t="inlineStr">
        <is>
          <t>Deutlich</t>
        </is>
      </c>
      <c r="AC22" s="18" t="inlineStr">
        <is>
          <t>Gut kontrolliert</t>
        </is>
      </c>
      <c r="AD22" s="18" t="inlineStr">
        <is>
          <t>Nach Dosiserhöhung von Secukinumab deutliche klinische Besserung sowohl axial als auch peripher. Bei ausreichender Erkrankungskontrolle Fortführung von 300 mg alle vier Wochen und physiotherapeutischer Beübung empfohlen.</t>
        </is>
      </c>
      <c r="AE22" s="18" t="inlineStr">
        <is>
          <t>Deutliche Besserung axialer und peripherer Beschwerden belegt; vollständige Beschwerdefreiheit oder verbleibende Restbeschwerden nicht eindeutig angegeben.
CRP ohne eigenes Messdatum; keine automatische Zuordnung zum klinischen Referenztermin.
CRP-Auswahl: erster dokumentierter Messwert in der Briefreihenfolge; daraus kein genaues Labordatum abgeleitet.</t>
        </is>
      </c>
    </row>
    <row r="23" ht="75" customHeight="1">
      <c r="A23" s="13" t="n">
        <v>11</v>
      </c>
      <c r="B23" s="14" t="inlineStr">
        <is>
          <t>SpA</t>
        </is>
      </c>
      <c r="C23" s="14" t="inlineStr">
        <is>
          <t>Baseline</t>
        </is>
      </c>
      <c r="D23" s="15" t="n">
        <v>43787</v>
      </c>
      <c r="E23" s="15" t="n">
        <v>43717</v>
      </c>
      <c r="F23" s="13">
        <f>IF(E23="","",E23-D23)</f>
        <v/>
      </c>
      <c r="G23" s="16" t="n"/>
      <c r="H23" s="16" t="n"/>
      <c r="I23" s="16" t="n"/>
      <c r="J23" s="16" t="n"/>
      <c r="K23" s="16" t="n"/>
      <c r="L23" s="16" t="n"/>
      <c r="M23" s="16" t="n"/>
      <c r="N23" s="14" t="inlineStr">
        <is>
          <t>Ja</t>
        </is>
      </c>
      <c r="O23" s="16" t="n">
        <v>5.2</v>
      </c>
      <c r="P23" s="14" t="inlineStr">
        <is>
          <t>&lt;</t>
        </is>
      </c>
      <c r="Q23" s="14" t="inlineStr">
        <is>
          <t>mg/l</t>
        </is>
      </c>
      <c r="R23" s="16" t="n"/>
      <c r="S23" s="14" t="inlineStr">
        <is>
          <t>Ibuprofen; Etoricoxib</t>
        </is>
      </c>
      <c r="T23" s="14" t="inlineStr">
        <is>
          <t>Entzündlich geprägte LWS-Schmerzen mit nächtlichem Erwachen und Morgensteifigkeit bis 30 Minuten sowie Schmerzen beider Knie und des rechten Handgelenks trotz mehrwöchiger NSAR-Einnahme.</t>
        </is>
      </c>
      <c r="U23" s="14" t="inlineStr">
        <is>
          <t>vorhanden</t>
        </is>
      </c>
      <c r="V23" s="14" t="inlineStr">
        <is>
          <t>vorhanden</t>
        </is>
      </c>
      <c r="W23" s="14" t="inlineStr">
        <is>
          <t>verneint</t>
        </is>
      </c>
      <c r="X23" s="14" t="inlineStr">
        <is>
          <t>nicht erwähnt</t>
        </is>
      </c>
      <c r="Y23" s="14" t="inlineStr">
        <is>
          <t>LWS, beide Knie, rechtes Handgelenk.</t>
        </is>
      </c>
      <c r="Z23" s="14" t="inlineStr">
        <is>
          <t>LWS-Schmerzen morgens und abends am stärksten, Besserung durch Bewegung, nächtliches Erwachen; Morgensteifigkeit bis 30 Minuten. Keine Gelenkschwellungen. Schober 13 cm, Thoraxwandabstand 14 cm, Hinterhauptwandabstand 0, Finger-Boden-Abstand 0 cm.</t>
        </is>
      </c>
      <c r="AA23" s="14" t="n"/>
      <c r="AB23" s="14" t="n"/>
      <c r="AC23" s="14" t="inlineStr">
        <is>
          <t>Aktiv</t>
        </is>
      </c>
      <c r="AD23" s="14" t="inlineStr">
        <is>
          <t>Persistierende axiale und periphere Beschwerden bei unzureichender Wirkung von Ibuprofen und Etoricoxib; wegen fortbestehender deutlicher Krankheitsaktivität Einleitung von Adalimumab nach FAPI-PET/CT geplant.</t>
        </is>
      </c>
      <c r="AE23" s="14" t="inlineStr">
        <is>
          <t>CRP-Labordatum nicht ausdrücklich angegeben.
CRP-Auswahl: erster dokumentierter Messwert in der Briefreihenfolge; daraus kein genaues Labordatum abgeleitet.</t>
        </is>
      </c>
    </row>
    <row r="24" ht="210" customHeight="1">
      <c r="A24" s="17" t="n">
        <v>11</v>
      </c>
      <c r="B24" s="18" t="inlineStr">
        <is>
          <t>SpA</t>
        </is>
      </c>
      <c r="C24" s="18" t="inlineStr">
        <is>
          <t>Follow-up</t>
        </is>
      </c>
      <c r="D24" s="19" t="n">
        <v>44074</v>
      </c>
      <c r="E24" s="19" t="n">
        <v>44048</v>
      </c>
      <c r="F24" s="17">
        <f>IF(E24="","",E24-D24)</f>
        <v/>
      </c>
      <c r="G24" s="20" t="n"/>
      <c r="H24" s="20" t="n">
        <v>1.3</v>
      </c>
      <c r="I24" s="20" t="n">
        <v>0</v>
      </c>
      <c r="J24" s="20" t="n">
        <v>0</v>
      </c>
      <c r="K24" s="20" t="n"/>
      <c r="L24" s="20" t="n"/>
      <c r="M24" s="20" t="n">
        <v>0</v>
      </c>
      <c r="N24" s="18" t="inlineStr">
        <is>
          <t>Ja</t>
        </is>
      </c>
      <c r="O24" s="20" t="n">
        <v>5.2</v>
      </c>
      <c r="P24" s="18" t="inlineStr">
        <is>
          <t>&lt;</t>
        </is>
      </c>
      <c r="Q24" s="18" t="inlineStr">
        <is>
          <t>mg/l</t>
        </is>
      </c>
      <c r="R24" s="20" t="n">
        <v>1</v>
      </c>
      <c r="S24" s="18" t="inlineStr">
        <is>
          <t>Adalimumab</t>
        </is>
      </c>
      <c r="T24" s="18" t="inlineStr">
        <is>
          <t>Aktuell keine Gelenkbeschwerden und keine Morgensteifigkeit; weiterhin Abgeschlagenheit und teilweise Nervosität bei Alltagsstress.</t>
        </is>
      </c>
      <c r="U24" s="18" t="inlineStr">
        <is>
          <t>verneint</t>
        </is>
      </c>
      <c r="V24" s="18" t="inlineStr">
        <is>
          <t>verneint</t>
        </is>
      </c>
      <c r="W24" s="18" t="inlineStr">
        <is>
          <t>verneint</t>
        </is>
      </c>
      <c r="X24" s="18" t="inlineStr">
        <is>
          <t>nicht erwähnt</t>
        </is>
      </c>
      <c r="Y24" s="18" t="n"/>
      <c r="Z24" s="18" t="inlineStr">
        <is>
          <t>Keine aktuellen Gelenkbeschwerden, Morgensteifigkeit 0 Minuten. TJC 0, SJC 0 und Patrick-Zeichen beidseits negativ; BASMI 0. Fortbestehende Abgeschlagenheit.</t>
        </is>
      </c>
      <c r="AA24" s="18" t="inlineStr">
        <is>
          <t>Adalimumab</t>
        </is>
      </c>
      <c r="AB24" s="18" t="inlineStr">
        <is>
          <t>Nicht beurteilbar</t>
        </is>
      </c>
      <c r="AC24" s="18" t="inlineStr">
        <is>
          <t>Gut kontrolliert</t>
        </is>
      </c>
      <c r="AD24" s="18" t="inlineStr">
        <is>
          <t>Adalimumab nach Therapiepause von Februar bis Mai 2020 wieder regelmäßig angewendet. Aktuell klinisch ohne erhöhte entzündliche Aktivität und ohne Gelenkbeschwerden, bei verbleibender Abgeschlagenheit. Fortführung empfohlen; die ausdrücklich positive Wirkungsbewertung stützt sich auf die PET-Befundbesserung.</t>
        </is>
      </c>
      <c r="AE24" s="18" t="inlineStr">
        <is>
          <t>Ansprechen nicht beurteilbar: Die ausdrückliche Wirkungsbewertung beruht auf PET-Befunden; gute aktuelle klinische Kontrolle ohne eigenständig beschriebenen klinischen Veränderungsnachweis reicht nicht zur Responseklassifikation.
CRP und BKS ohne ausdrücklich angegebenes Labordatum; BKS 1/2 mm gemäß Studienkonvention als 1 mm nach einer Stunde übernommen.
Die Angabe „Aktuell beschwerdefrei.“ stammt aus den klinischen Angaben zum PET/CT vom 31.08.2020; sie ist kein bildgebender Befund.
Die bildgebend beschriebene Enthesiopathie belegt keine klinische Enthesitis.
CRP-Auswahl: erster dokumentierter Messwert in der Briefreihenfolge; daraus kein genaues Labordatum abgeleitet.</t>
        </is>
      </c>
    </row>
    <row r="25" ht="75" customHeight="1">
      <c r="A25" s="13" t="n">
        <v>12</v>
      </c>
      <c r="B25" s="14" t="inlineStr">
        <is>
          <t>SpA</t>
        </is>
      </c>
      <c r="C25" s="14" t="inlineStr">
        <is>
          <t>Baseline</t>
        </is>
      </c>
      <c r="D25" s="15" t="n">
        <v>43619</v>
      </c>
      <c r="E25" s="15" t="n">
        <v>43594</v>
      </c>
      <c r="F25" s="13">
        <f>IF(E25="","",E25-D25)</f>
        <v/>
      </c>
      <c r="G25" s="16" t="n"/>
      <c r="H25" s="16" t="n"/>
      <c r="I25" s="16" t="n">
        <v>4</v>
      </c>
      <c r="J25" s="16" t="n">
        <v>2</v>
      </c>
      <c r="K25" s="16" t="n"/>
      <c r="L25" s="16" t="n"/>
      <c r="M25" s="16" t="n"/>
      <c r="N25" s="14" t="inlineStr">
        <is>
          <t>Ja</t>
        </is>
      </c>
      <c r="O25" s="16" t="n">
        <v>5.2</v>
      </c>
      <c r="P25" s="14" t="inlineStr">
        <is>
          <t>&lt;</t>
        </is>
      </c>
      <c r="Q25" s="14" t="inlineStr">
        <is>
          <t>mg/l</t>
        </is>
      </c>
      <c r="R25" s="16" t="n">
        <v>4</v>
      </c>
      <c r="S25" s="14" t="inlineStr">
        <is>
          <t>Methotrexat; Ibuprofen; Metamizol</t>
        </is>
      </c>
      <c r="T25" s="14" t="inlineStr">
        <is>
          <t>Zunehmende Schmerzen und MCP-Schwellungen beider Hände nach Absetzen von Prednisolon, Morgensteifigkeit etwa 45 Minuten. Zusätzlich bewegungsgebesserte Schmerzen im BWS-/Schulterbereich.</t>
        </is>
      </c>
      <c r="U25" s="14" t="inlineStr">
        <is>
          <t>vorhanden</t>
        </is>
      </c>
      <c r="V25" s="14" t="inlineStr">
        <is>
          <t>vorhanden</t>
        </is>
      </c>
      <c r="W25" s="14" t="inlineStr">
        <is>
          <t>vorhanden</t>
        </is>
      </c>
      <c r="X25" s="14" t="inlineStr">
        <is>
          <t>nicht erwähnt</t>
        </is>
      </c>
      <c r="Y25" s="14" t="inlineStr">
        <is>
          <t>Kleine Handgelenke und MCP-Gelenke beidseits; BWS-/Schulterbereich.</t>
        </is>
      </c>
      <c r="Z25" s="14" t="inlineStr">
        <is>
          <t>TJC 4, SJC 2; Morgensteifigkeit etwa 45 Minuten. Rückenbeschwerden bessern sich bei Bewegung sowie unter Ibuprofen oder Metamizol. Zusätzlich Müdigkeit und Haarausfall.</t>
        </is>
      </c>
      <c r="AA25" s="14" t="n"/>
      <c r="AB25" s="14" t="n"/>
      <c r="AC25" s="14" t="inlineStr">
        <is>
          <t>Aktiv</t>
        </is>
      </c>
      <c r="AD25" s="14" t="inlineStr">
        <is>
          <t>Nach Absetzen von Prednisolon zunehmende Arthralgien, Gelenkschwellungen und Morgensteifigkeit unter Methotrexat. Wegen persistierender entzündlicher Bildgebungsbefunde wird eine Eskalation auf Secukinumab empfohlen.</t>
        </is>
      </c>
      <c r="AE25" s="14" t="inlineStr">
        <is>
          <t>CRP und BKS ohne gesondertes Labordatum dokumentiert.
Die im PET beschriebene Ansatzsehnentendinitis ist kein klinischer Enthesitisnachweis.
CRP-Auswahl: erster dokumentierter Messwert in der Briefreihenfolge; daraus kein genaues Labordatum abgeleitet.</t>
        </is>
      </c>
    </row>
    <row r="26" ht="240" customHeight="1">
      <c r="A26" s="17" t="n">
        <v>12</v>
      </c>
      <c r="B26" s="18" t="inlineStr">
        <is>
          <t>SpA</t>
        </is>
      </c>
      <c r="C26" s="18" t="inlineStr">
        <is>
          <t>Follow-up</t>
        </is>
      </c>
      <c r="D26" s="19" t="n">
        <v>44067</v>
      </c>
      <c r="E26" s="19" t="n">
        <v>44048</v>
      </c>
      <c r="F26" s="17">
        <f>IF(E26="","",E26-D26)</f>
        <v/>
      </c>
      <c r="G26" s="20" t="n"/>
      <c r="H26" s="20" t="n">
        <v>2.93</v>
      </c>
      <c r="I26" s="20" t="n"/>
      <c r="J26" s="20" t="n"/>
      <c r="K26" s="20" t="n"/>
      <c r="L26" s="20" t="n"/>
      <c r="M26" s="20" t="n">
        <v>0.13</v>
      </c>
      <c r="N26" s="18" t="inlineStr">
        <is>
          <t>Ja</t>
        </is>
      </c>
      <c r="O26" s="20" t="n">
        <v>5.2</v>
      </c>
      <c r="P26" s="18" t="inlineStr">
        <is>
          <t>&lt;</t>
        </is>
      </c>
      <c r="Q26" s="18" t="inlineStr">
        <is>
          <t>mg/l</t>
        </is>
      </c>
      <c r="R26" s="20" t="n">
        <v>1</v>
      </c>
      <c r="S26" s="18" t="inlineStr">
        <is>
          <t>Secukinumab; Metamizol; Ibuprofen</t>
        </is>
      </c>
      <c r="T26" s="18" t="inlineStr">
        <is>
          <t>Leicht besser werdende Handbeschwerden ohne aktuelle Schwellungen. Chronische bewegungsabhängige BWS-Schmerzen bei bekannten degenerativen Veränderungen und Skoliose sowie ausgeprägte Abgeschlagenheit.</t>
        </is>
      </c>
      <c r="U26" s="18" t="inlineStr">
        <is>
          <t>vorhanden</t>
        </is>
      </c>
      <c r="V26" s="18" t="inlineStr">
        <is>
          <t>vorhanden</t>
        </is>
      </c>
      <c r="W26" s="18" t="inlineStr">
        <is>
          <t>verneint</t>
        </is>
      </c>
      <c r="X26" s="18" t="inlineStr">
        <is>
          <t>verneint</t>
        </is>
      </c>
      <c r="Y26" s="18" t="inlineStr">
        <is>
          <t>Hand; BWS-betonter Rücken.</t>
        </is>
      </c>
      <c r="Z26" s="18" t="inlineStr">
        <is>
          <t>Kein Gelenkdruckschmerz, keine Schwellungen und kein klinischer Hinweis auf Enthesitis. Morgensteifigkeit unter 15 Minuten. Rückenbeschwerden bewegungsabhängig bei degenerativen Veränderungen und Skoliose; keine gesicherte entzündliche Zuordnung. Keine aktuellen psoriasiformen Hautläsionen.</t>
        </is>
      </c>
      <c r="AA26" s="18" t="inlineStr">
        <is>
          <t>Methotrexat</t>
        </is>
      </c>
      <c r="AB26" s="18" t="inlineStr">
        <is>
          <t>Keines</t>
        </is>
      </c>
      <c r="AC26" s="18" t="inlineStr">
        <is>
          <t>Unklar</t>
        </is>
      </c>
      <c r="AD26" s="18" t="inlineStr">
        <is>
          <t>Methotrexat wurde wegen unzureichender Wirkung und zunehmenden Haarausfalls als frühere Therapie dokumentiert. Unter Secukinumab 150 mg monatlich seit 10/2019 weitgehend stabiler klinischer Befund mit leicht besser werdenden Handbeschwerden; ein klar zugeordnetes klinisches Ansprechen auf Secukinumab bleibt offen. Physiotherapie und Metamizol lindern Beschwerden. Wegen gemischter entzündlicher MRT-Entwicklung ist eine Erhöhung auf 300 mg monatlich vorgesehen.</t>
        </is>
      </c>
      <c r="AE26" s="18" t="inlineStr">
        <is>
          <t>Ansprechen Keines bezieht sich auf das ausdrücklich dokumentierte Methotrexat-Versagen, nicht auf Secukinumab.
Die leichte Besserung der Handbeschwerden ist keiner Therapie eindeutig zugeordnet; zugleich werden Physiotherapie und Metamizol als hilfreich beschrieben.
Krankheitszustand Unklar: weitgehend stabiler klinischer Befund ohne ausdrückliche Aussage zu guter Kontrolle oder aktueller klinisch entzündlicher Aktivität; MRT-Aktivität allein genügt nicht.
CRP und BKS ohne gesondertes Labordatum dokumentiert.
Keine Schwellungen und kein Druckschmerz wurden nicht in standardisierte SJC- oder TJC-Werte umgerechnet.
Methotrexat und Prednisolon stehen zusätzlich in der Therapiehistorie; daraus wird keine laufende Einnahme abgeleitet.
CRP-Auswahl: erster dokumentierter Messwert in der Briefreihenfolge; daraus kein genaues Labordatum abgeleitet.</t>
        </is>
      </c>
    </row>
    <row r="27" ht="120" customHeight="1">
      <c r="A27" s="13" t="n">
        <v>13</v>
      </c>
      <c r="B27" s="14" t="inlineStr">
        <is>
          <t>SpA</t>
        </is>
      </c>
      <c r="C27" s="14" t="inlineStr">
        <is>
          <t>Baseline</t>
        </is>
      </c>
      <c r="D27" s="15" t="n">
        <v>43493</v>
      </c>
      <c r="E27" s="15" t="n">
        <v>43430</v>
      </c>
      <c r="F27" s="13">
        <f>IF(E27="","",E27-D27)</f>
        <v/>
      </c>
      <c r="G27" s="16" t="n"/>
      <c r="H27" s="16" t="n"/>
      <c r="I27" s="16" t="n"/>
      <c r="J27" s="16" t="n"/>
      <c r="K27" s="16" t="n"/>
      <c r="L27" s="16" t="n"/>
      <c r="M27" s="16" t="n"/>
      <c r="N27" s="14" t="inlineStr">
        <is>
          <t>Ja</t>
        </is>
      </c>
      <c r="O27" s="16" t="n">
        <v>37.9</v>
      </c>
      <c r="P27" s="14" t="inlineStr">
        <is>
          <t>=</t>
        </is>
      </c>
      <c r="Q27" s="14" t="inlineStr">
        <is>
          <t>mg/l</t>
        </is>
      </c>
      <c r="R27" s="16" t="n"/>
      <c r="S27" s="14" t="n"/>
      <c r="T27" s="14" t="inlineStr">
        <is>
          <t>Ausgeprägte Fersen- und Achillessehnenbeschwerden mit Bewegungseinschränkung trotz NSAR; Morgensteifigkeit 15–20 Minuten.</t>
        </is>
      </c>
      <c r="U27" s="14" t="inlineStr">
        <is>
          <t>verneint</t>
        </is>
      </c>
      <c r="V27" s="14" t="inlineStr">
        <is>
          <t>nicht erwähnt</t>
        </is>
      </c>
      <c r="W27" s="14" t="inlineStr">
        <is>
          <t>verneint</t>
        </is>
      </c>
      <c r="X27" s="14" t="inlineStr">
        <is>
          <t>unklar</t>
        </is>
      </c>
      <c r="Y27" s="14" t="inlineStr">
        <is>
          <t>Linke Ferse und Achillessehnen beidseits.</t>
        </is>
      </c>
      <c r="Z27" s="14" t="inlineStr">
        <is>
          <t>Druckschmerz über beiden Achillessehnen bei linksseitigem Fersensporn; keine sichere klinische Enthesenzuordnung. Keine synovitische Gelenkschwellung, Wirbelsäule frei beweglich, Finger-Boden-Abstand 0. Morgensteifigkeit 15–20 Minuten.</t>
        </is>
      </c>
      <c r="AA27" s="14" t="n"/>
      <c r="AB27" s="14" t="n"/>
      <c r="AC27" s="14" t="inlineStr">
        <is>
          <t>Unklar</t>
        </is>
      </c>
      <c r="AD27" s="14" t="inlineStr">
        <is>
          <t>Unter NSAR Linderung, jedoch weiterhin deutliche Beschwerden und Bewegungseinschränkung; Ibuprofen ohne ausreichende Wirkung. Bei Bestätigung der vermuteten Spondylarthropathie und persistierenden Entzündungszeichen ist eine Umstellung auf Etoricoxib vorgesehen.</t>
        </is>
      </c>
      <c r="AE27" s="14" t="inlineStr">
        <is>
          <t>CRP ohne gesondertes Messdatum im Brief dokumentiert.
Achillessehnendruckschmerz ist nicht ausdrücklich am Sehnenansatz lokalisiert; Enthesitis daher unklar.
Entzündliche Ursache der Beschwerden bei Verdachtsdiagnose noch nicht abschließend gesichert; aktueller Krankheitszustand deshalb unklar.
CRP-Auswahl: erster dokumentierter Messwert in der Briefreihenfolge; daraus kein genaues Labordatum abgeleitet.</t>
        </is>
      </c>
    </row>
    <row r="28" ht="225" customHeight="1">
      <c r="A28" s="17" t="n">
        <v>13</v>
      </c>
      <c r="B28" s="18" t="inlineStr">
        <is>
          <t>SpA</t>
        </is>
      </c>
      <c r="C28" s="18" t="inlineStr">
        <is>
          <t>Follow-up</t>
        </is>
      </c>
      <c r="D28" s="19" t="n">
        <v>44060</v>
      </c>
      <c r="E28" s="19" t="n">
        <v>44098</v>
      </c>
      <c r="F28" s="17">
        <f>IF(E28="","",E28-D28)</f>
        <v/>
      </c>
      <c r="G28" s="20" t="n"/>
      <c r="H28" s="20" t="n">
        <v>1.63</v>
      </c>
      <c r="I28" s="20" t="n">
        <v>0</v>
      </c>
      <c r="J28" s="20" t="n">
        <v>0</v>
      </c>
      <c r="K28" s="20" t="n"/>
      <c r="L28" s="20" t="n"/>
      <c r="M28" s="20" t="n">
        <v>0.13</v>
      </c>
      <c r="N28" s="18" t="inlineStr">
        <is>
          <t>Ja</t>
        </is>
      </c>
      <c r="O28" s="20" t="n">
        <v>10.5</v>
      </c>
      <c r="P28" s="18" t="inlineStr">
        <is>
          <t>=</t>
        </is>
      </c>
      <c r="Q28" s="18" t="inlineStr">
        <is>
          <t>mg/l</t>
        </is>
      </c>
      <c r="R28" s="20" t="n">
        <v>29</v>
      </c>
      <c r="S28" s="18" t="inlineStr">
        <is>
          <t>Secukinumab; Ibuprofen</t>
        </is>
      </c>
      <c r="T28" s="18" t="inlineStr">
        <is>
          <t>Deutlich gebesserte Fußbeschwerden mit zeitweise beinahe vollständiger Beschwerdefreiheit. Aktuell leichter Druckschmerz plantar rechts und an der linken Ferse, ohne druckschmerzhafte oder geschwollene Gelenke im Gelenkstatus.</t>
        </is>
      </c>
      <c r="U28" s="18" t="inlineStr">
        <is>
          <t>nicht erwähnt</t>
        </is>
      </c>
      <c r="V28" s="18" t="inlineStr">
        <is>
          <t>verneint</t>
        </is>
      </c>
      <c r="W28" s="18" t="inlineStr">
        <is>
          <t>verneint</t>
        </is>
      </c>
      <c r="X28" s="18" t="inlineStr">
        <is>
          <t>vorhanden</t>
        </is>
      </c>
      <c r="Y28" s="18" t="inlineStr">
        <is>
          <t>Plantar rechts und linke Ferse.</t>
        </is>
      </c>
      <c r="Z28" s="18" t="inlineStr">
        <is>
          <t>Leichter Druckschmerz der Enthesen plantar rechts und an der linken Ferse ohne erkennbare Schwellung. TJC 0 und SJC 0; Fußbeschwerden bei Plantarfasziitis und bekanntem Fersensporn deutlich gebessert. Die Patientin führt die Besserung auch auf berufliche Entlastung durch vermehrtes Sitzen zurück.</t>
        </is>
      </c>
      <c r="AA28" s="18" t="inlineStr">
        <is>
          <t>Secukinumab 300 mg monatlich</t>
        </is>
      </c>
      <c r="AB28" s="18" t="inlineStr">
        <is>
          <t>Deutlich</t>
        </is>
      </c>
      <c r="AC28" s="18" t="inlineStr">
        <is>
          <t>Unklar</t>
        </is>
      </c>
      <c r="AD28" s="18" t="inlineStr">
        <is>
          <t>Ärztlich gutes klinisches Ansprechen unter Secukinumab 300 mg monatlich; Fußbeschwerden deutlich gebessert, zeitweise beinahe beschwerdefrei. Leichte entheseale Restbeschwerden bestehen, mit zusätzlicher Besserung durch berufliche Entlastung. Methotrexat war unzureichend wirksam und wurde bei Übelkeit abgesetzt; Tofacitinib zeigte kein Ansprechen. Secukinumab soll fortgeführt werden.</t>
        </is>
      </c>
      <c r="AE28" s="18" t="inlineStr">
        <is>
          <t>CRP und BKS ohne gesondertes Messdatum dokumentiert; BKS nach Studienkonvention als erster Wert 29 mm nach einer Stunde übernommen.
Gutes klinisches Therapieansprechen ist ausdrücklich ärztlich dokumentiert; die Patientin nennt zusätzlich berufliche Entlastung als Ursache der Besserung.
Keine ausdrückliche aktuelle Remission oder gute Krankheitskontrolle dokumentiert. Die entzündliche gegenüber mechanischer Ursache der leichten enthesealen Restbeschwerden bleibt unklar; Krankheitszustand daher Unklar.
Pregabalin ist ohne dokumentierte Bedeutung für die Symptomkontrolle genannt und deshalb nicht in die Medikamentliste übernommen.
CRP-Auswahl: erster dokumentierter Messwert in der Briefreihenfolge; daraus kein genaues Labordatum abgeleitet.</t>
        </is>
      </c>
    </row>
    <row r="29" ht="135" customHeight="1">
      <c r="A29" s="13" t="n">
        <v>14</v>
      </c>
      <c r="B29" s="14" t="inlineStr">
        <is>
          <t>SpA</t>
        </is>
      </c>
      <c r="C29" s="14" t="inlineStr">
        <is>
          <t>Baseline</t>
        </is>
      </c>
      <c r="D29" s="15" t="n">
        <v>43493</v>
      </c>
      <c r="E29" s="15" t="n">
        <v>43473</v>
      </c>
      <c r="F29" s="13">
        <f>IF(E29="","",E29-D29)</f>
        <v/>
      </c>
      <c r="G29" s="16" t="n"/>
      <c r="H29" s="16" t="n"/>
      <c r="I29" s="16" t="n"/>
      <c r="J29" s="16" t="n"/>
      <c r="K29" s="16" t="n"/>
      <c r="L29" s="16" t="n"/>
      <c r="M29" s="16" t="n"/>
      <c r="N29" s="14" t="inlineStr">
        <is>
          <t>Ja</t>
        </is>
      </c>
      <c r="O29" s="16" t="n">
        <v>10.5</v>
      </c>
      <c r="P29" s="14" t="inlineStr">
        <is>
          <t>=</t>
        </is>
      </c>
      <c r="Q29" s="14" t="inlineStr">
        <is>
          <t>mg/l</t>
        </is>
      </c>
      <c r="R29" s="16" t="n"/>
      <c r="S29" s="14" t="n"/>
      <c r="T29" s="14" t="inlineStr">
        <is>
          <t>Vermehrte axiale Schmerzen und ausgeprägte Bewegungseinschränkungen nach Absetzen von Adalimumab.</t>
        </is>
      </c>
      <c r="U29" s="14" t="inlineStr">
        <is>
          <t>vorhanden</t>
        </is>
      </c>
      <c r="V29" s="14" t="inlineStr">
        <is>
          <t>verneint</t>
        </is>
      </c>
      <c r="W29" s="14" t="inlineStr">
        <is>
          <t>verneint</t>
        </is>
      </c>
      <c r="X29" s="14" t="inlineStr">
        <is>
          <t>nicht erwähnt</t>
        </is>
      </c>
      <c r="Y29" s="14" t="inlineStr">
        <is>
          <t>Wirbelsäule, insbesondere HWS.</t>
        </is>
      </c>
      <c r="Z29" s="14" t="inlineStr">
        <is>
          <t>Schmerzskala 8/10. HWS-Rotation beidseits 10°, Finger-Boden-Abstand &gt;30 cm. Peripher keine synovitischen Schwellungen und kein Druckschmerz.</t>
        </is>
      </c>
      <c r="AA29" s="14" t="n"/>
      <c r="AB29" s="14" t="n"/>
      <c r="AC29" s="14" t="inlineStr">
        <is>
          <t>Aktiv</t>
        </is>
      </c>
      <c r="AD29" s="14" t="inlineStr">
        <is>
          <t>Adalimumab seit Oktober wegen Transaminasenanstiegs abgesetzt; anschließend wieder vermehrte axiale Beschwerden und aggravierte Akne. Bei aktueller klinischer Aktivität Umstellung auf Secukinumab nach erneuter Transaminasenkontrolle und dokumentiertem Rückgang geplant.</t>
        </is>
      </c>
      <c r="AE29" s="14" t="inlineStr">
        <is>
          <t>Keine laufende rheumatologische Therapie nach Absetzen von Adalimumab und vor geplantem Secukinumab-Beginn dokumentiert; die Dauermedikationsliste ist insoweit widersprüchlich.
Das CRP-Labordatum ist nicht gesondert angegeben.
Die Verneinung peripherer Gelenkbeschwerden bezieht sich auf den dokumentierten fehlenden Druckschmerz; eine gesonderte subjektive Beschwerdeangabe fehlt.
CRP-Auswahl: erster dokumentierter Messwert in der Briefreihenfolge; daraus kein genaues Labordatum abgeleitet.</t>
        </is>
      </c>
    </row>
    <row r="30" ht="135" customHeight="1">
      <c r="A30" s="17" t="n">
        <v>14</v>
      </c>
      <c r="B30" s="18" t="inlineStr">
        <is>
          <t>SpA</t>
        </is>
      </c>
      <c r="C30" s="18" t="inlineStr">
        <is>
          <t>Follow-up</t>
        </is>
      </c>
      <c r="D30" s="19" t="n">
        <v>44060</v>
      </c>
      <c r="E30" s="19" t="n">
        <v>44109</v>
      </c>
      <c r="F30" s="17">
        <f>IF(E30="","",E30-D30)</f>
        <v/>
      </c>
      <c r="G30" s="20" t="n"/>
      <c r="H30" s="20" t="n"/>
      <c r="I30" s="20" t="n"/>
      <c r="J30" s="20" t="n"/>
      <c r="K30" s="20" t="n"/>
      <c r="L30" s="20" t="n"/>
      <c r="M30" s="20" t="n"/>
      <c r="N30" s="18" t="inlineStr">
        <is>
          <t>Ja</t>
        </is>
      </c>
      <c r="O30" s="20" t="n">
        <v>5.2</v>
      </c>
      <c r="P30" s="18" t="inlineStr">
        <is>
          <t>&lt;</t>
        </is>
      </c>
      <c r="Q30" s="18" t="inlineStr">
        <is>
          <t>mg/l</t>
        </is>
      </c>
      <c r="R30" s="20" t="n"/>
      <c r="S30" s="18" t="inlineStr">
        <is>
          <t>Secukinumab</t>
        </is>
      </c>
      <c r="T30" s="18" t="inlineStr">
        <is>
          <t>Persistierende tiefsitzende Rückenschmerzen, rechtsbetont; peripher keine Einschränkungen.</t>
        </is>
      </c>
      <c r="U30" s="18" t="inlineStr">
        <is>
          <t>vorhanden</t>
        </is>
      </c>
      <c r="V30" s="18" t="inlineStr">
        <is>
          <t>verneint</t>
        </is>
      </c>
      <c r="W30" s="18" t="inlineStr">
        <is>
          <t>verneint</t>
        </is>
      </c>
      <c r="X30" s="18" t="inlineStr">
        <is>
          <t>verneint</t>
        </is>
      </c>
      <c r="Y30" s="18" t="inlineStr">
        <is>
          <t>Tiefer Rücken, LWS und rechtes ISG.</t>
        </is>
      </c>
      <c r="Z30" s="18" t="inlineStr">
        <is>
          <t>Diskreter Druckschmerz an LWS und rechtem ISG. Periphere Gelenke ohne Druckschmerz oder Schwellung; keine Enthesitis.</t>
        </is>
      </c>
      <c r="AA30" s="18" t="inlineStr">
        <is>
          <t>Secukinumab 150 mg pro Monat</t>
        </is>
      </c>
      <c r="AB30" s="18" t="inlineStr">
        <is>
          <t>Nicht beurteilbar</t>
        </is>
      </c>
      <c r="AC30" s="18" t="inlineStr">
        <is>
          <t>Aktiv</t>
        </is>
      </c>
      <c r="AD30" s="18" t="inlineStr">
        <is>
          <t>Unter Secukinumab 150 mg pro Monat weiterhin klinisch aktive Grunderkrankung mit rechtsbetonten axialen Beschwerden, peripher ohne Einschränkungen. Dosissteigerung auf 300 mg pro Monat empfohlen; in der Diagnosenliste ab Dezember 2020 angegeben. Ein klinisches Besserungsausmaß oder ausdrückliches Therapieversagen ist nicht dokumentiert.</t>
        </is>
      </c>
      <c r="AE30" s="18" t="inlineStr">
        <is>
          <t>Ansprechen nicht beurteilbar: Persistierende Aktivität und die empfohlene Dosissteigerung belegen kein bestimmtes klinisches Veränderungsausmaß und kein ausdrücklich dokumentiertes Therapieversagen.
Das CRP-Labordatum ist nicht gesondert angegeben.
Die Dosissteigerung ab Dezember 2020 ist vom Referenzbesuch am 05.10.2020 zeitlich zu unterscheiden.
CRP-Auswahl: erster dokumentierter Messwert in der Briefreihenfolge; daraus kein genaues Labordatum abgeleitet.</t>
        </is>
      </c>
    </row>
    <row r="31" ht="90" customHeight="1">
      <c r="A31" s="13" t="n">
        <v>15</v>
      </c>
      <c r="B31" s="14" t="inlineStr">
        <is>
          <t>SpA</t>
        </is>
      </c>
      <c r="C31" s="14" t="inlineStr">
        <is>
          <t>Baseline</t>
        </is>
      </c>
      <c r="D31" s="15" t="n">
        <v>43430</v>
      </c>
      <c r="E31" s="15" t="n">
        <v>43391</v>
      </c>
      <c r="F31" s="13">
        <f>IF(E31="","",E31-D31)</f>
        <v/>
      </c>
      <c r="G31" s="16" t="n"/>
      <c r="H31" s="16" t="n"/>
      <c r="I31" s="16" t="n">
        <v>0</v>
      </c>
      <c r="J31" s="16" t="n">
        <v>0</v>
      </c>
      <c r="K31" s="16" t="n"/>
      <c r="L31" s="16" t="n">
        <v>0</v>
      </c>
      <c r="M31" s="16" t="n"/>
      <c r="N31" s="14" t="inlineStr">
        <is>
          <t>Ja</t>
        </is>
      </c>
      <c r="O31" s="16" t="n">
        <v>5.1</v>
      </c>
      <c r="P31" s="14" t="inlineStr">
        <is>
          <t>&lt;</t>
        </is>
      </c>
      <c r="Q31" s="14" t="inlineStr">
        <is>
          <t>mg/l</t>
        </is>
      </c>
      <c r="R31" s="16" t="n">
        <v>28</v>
      </c>
      <c r="S31" s="14" t="n"/>
      <c r="T31" s="14" t="inlineStr">
        <is>
          <t>Entzündlicher Rückenschmerz mit ausgeprägter Einschränkung der Wirbelsäulenbeweglichkeit und unzureichender Kontrolle unter NSAR.</t>
        </is>
      </c>
      <c r="U31" s="14" t="inlineStr">
        <is>
          <t>vorhanden</t>
        </is>
      </c>
      <c r="V31" s="14" t="inlineStr">
        <is>
          <t>verneint</t>
        </is>
      </c>
      <c r="W31" s="14" t="inlineStr">
        <is>
          <t>verneint</t>
        </is>
      </c>
      <c r="X31" s="14" t="inlineStr">
        <is>
          <t>verneint</t>
        </is>
      </c>
      <c r="Y31" s="14" t="inlineStr">
        <is>
          <t>Wirbelsäule.</t>
        </is>
      </c>
      <c r="Z31" s="14" t="inlineStr">
        <is>
          <t>Finger-Boden-Abstand 40 cm, Kinn-Jugulum-Abstand &gt;5 cm, Hinterhaupt-Wand-Abstand &gt;10 cm. Periphere Gelenke ohne Druckschmerz oder synovitische Schwellung; untersuchte Enthesen ohne Druckschmerz.</t>
        </is>
      </c>
      <c r="AA31" s="14" t="n"/>
      <c r="AB31" s="14" t="n"/>
      <c r="AC31" s="14" t="inlineStr">
        <is>
          <t>Aktiv</t>
        </is>
      </c>
      <c r="AD31" s="14" t="inlineStr">
        <is>
          <t>Langjährige NSAR-Therapie mit Schmerzlinderung, aber unzureichender Erkrankungskontrolle und fortschreitender axialer Entzündung; Einleitung von Secukinumab vorgesehen.</t>
        </is>
      </c>
      <c r="AE31" s="14" t="inlineStr">
        <is>
          <t>Laborwerte einschließlich CRP und BKS ohne eigenes Messdatum; kein Messdatum aus dem klinischen Referenztermin abgeleitet.
BKS 28/49 gemäß Studienkonvention als BSG nach einer Stunde mit 28 mm übernommen.
CRP-Auswahl: erster dokumentierter Messwert in der Briefreihenfolge; daraus kein genaues Labordatum abgeleitet.</t>
        </is>
      </c>
    </row>
    <row r="32" ht="180" customHeight="1">
      <c r="A32" s="17" t="n">
        <v>15</v>
      </c>
      <c r="B32" s="18" t="inlineStr">
        <is>
          <t>SpA</t>
        </is>
      </c>
      <c r="C32" s="18" t="inlineStr">
        <is>
          <t>Follow-up</t>
        </is>
      </c>
      <c r="D32" s="19" t="n">
        <v>43654</v>
      </c>
      <c r="E32" s="19" t="n">
        <v>43640</v>
      </c>
      <c r="F32" s="17">
        <f>IF(E32="","",E32-D32)</f>
        <v/>
      </c>
      <c r="G32" s="20" t="n"/>
      <c r="H32" s="20" t="n"/>
      <c r="I32" s="20" t="n">
        <v>0</v>
      </c>
      <c r="J32" s="20" t="n">
        <v>0</v>
      </c>
      <c r="K32" s="20" t="n"/>
      <c r="L32" s="20" t="n">
        <v>0</v>
      </c>
      <c r="M32" s="20" t="n"/>
      <c r="N32" s="18" t="inlineStr">
        <is>
          <t>Ja</t>
        </is>
      </c>
      <c r="O32" s="20" t="n">
        <v>5.2</v>
      </c>
      <c r="P32" s="18" t="inlineStr">
        <is>
          <t>&lt;</t>
        </is>
      </c>
      <c r="Q32" s="18" t="inlineStr">
        <is>
          <t>mg/l</t>
        </is>
      </c>
      <c r="R32" s="20" t="n"/>
      <c r="S32" s="18" t="inlineStr">
        <is>
          <t>Secukinumab</t>
        </is>
      </c>
      <c r="T32" s="18" t="inlineStr">
        <is>
          <t>Trotz Besserung weiterhin schlafraubende axiale Schmerzen und ausgeprägte Bewegungs- und Leistungseinschränkungen. Zusätzlich sensible Beschwerden am linken Oberschenkel und an beiden Kleinfingern.</t>
        </is>
      </c>
      <c r="U32" s="18" t="inlineStr">
        <is>
          <t>vorhanden</t>
        </is>
      </c>
      <c r="V32" s="18" t="inlineStr">
        <is>
          <t>unklar</t>
        </is>
      </c>
      <c r="W32" s="18" t="inlineStr">
        <is>
          <t>verneint</t>
        </is>
      </c>
      <c r="X32" s="18" t="inlineStr">
        <is>
          <t>verneint</t>
        </is>
      </c>
      <c r="Y32" s="18" t="inlineStr">
        <is>
          <t>Wirbelsäule, insbesondere HWS; sensible Beschwerden am linken Oberschenkel und an beiden Kleinfingern.</t>
        </is>
      </c>
      <c r="Z32" s="18" t="inlineStr">
        <is>
          <t>Axiale Schmerzen beim Liegen mit Schlafstörung und Tagesmüdigkeit; Überkopfarbeiten nicht möglich, Kopfhebung und manuelle Fähigkeiten eingeschränkt. HWS-Brennen nach zehn Minuten Fahrrad- oder Motorradfahren; Schmerzen bei Sitzen oder Stehen über 30 Minuten. Finger-Boden-Abstand 40 cm, Kinn-Jugulum-Abstand &gt;5 cm, Hinterhaupt-Wand-Abstand &gt;10 cm. Keine peripheren Druckschmerzen oder synovitischen Schwellungen; untersuchte Enthesen ohne Druckschmerz. Periphere Arthralgien gebessert, aktueller Restumfang unklar.</t>
        </is>
      </c>
      <c r="AA32" s="18" t="inlineStr">
        <is>
          <t>Secukinumab</t>
        </is>
      </c>
      <c r="AB32" s="18" t="inlineStr">
        <is>
          <t>Partiell</t>
        </is>
      </c>
      <c r="AC32" s="18" t="inlineStr">
        <is>
          <t>Aktiv</t>
        </is>
      </c>
      <c r="AD32" s="18" t="inlineStr">
        <is>
          <t>Unter Secukinumab seit Dezember 2018 deutliche Besserung axialer Schmerzen und peripherer Arthralgien, jedoch weiterhin relevante axiale Beschwerden und klinische Aktivität. Deshalb Fortführung mit empfohlener Dosissteigerung auf 300 mg alle vier Wochen; zusätzliche Bewegungseinschränkungen durch Verknöcherungen.</t>
        </is>
      </c>
      <c r="AE32" s="18" t="inlineStr">
        <is>
          <t>CRP ohne eigenes Messdatum; kein Messdatum aus dem klinischen Referenztermin abgeleitet.
Periphere Arthralgien anamnestisch deutlich gebessert, aber aktuelle Restbeschwerden nicht eindeutig beschrieben; zugleich Diagnoseangabe ohne bisherige periphere Gelenkbeteiligung.
Partielles Ansprechen wegen klinischer Besserung bei verbleibenden relevanten axialen Beschwerden und ausdrücklich persistierender klinischer Aktivität.
Bildgebende Ansatzsehnenveränderungen ohne klinischen Enthesitisnachweis nicht als klinische Enthesitis übernommen.
CRP-Auswahl: erster dokumentierter Messwert in der Briefreihenfolge; daraus kein genaues Labordatum abgeleitet.</t>
        </is>
      </c>
    </row>
    <row r="33" ht="120" customHeight="1">
      <c r="A33" s="13" t="n">
        <v>16</v>
      </c>
      <c r="B33" s="14" t="inlineStr">
        <is>
          <t>SpA</t>
        </is>
      </c>
      <c r="C33" s="14" t="inlineStr">
        <is>
          <t>Baseline</t>
        </is>
      </c>
      <c r="D33" s="15" t="n">
        <v>43423</v>
      </c>
      <c r="E33" s="15" t="n">
        <v>43392</v>
      </c>
      <c r="F33" s="13">
        <f>IF(E33="","",E33-D33)</f>
        <v/>
      </c>
      <c r="G33" s="16" t="n"/>
      <c r="H33" s="16" t="n"/>
      <c r="I33" s="16" t="n"/>
      <c r="J33" s="16" t="n"/>
      <c r="K33" s="16" t="n"/>
      <c r="L33" s="16" t="n"/>
      <c r="M33" s="16" t="n"/>
      <c r="N33" s="14" t="inlineStr">
        <is>
          <t>Ja</t>
        </is>
      </c>
      <c r="O33" s="16" t="n">
        <v>10.9</v>
      </c>
      <c r="P33" s="14" t="inlineStr">
        <is>
          <t>=</t>
        </is>
      </c>
      <c r="Q33" s="14" t="inlineStr">
        <is>
          <t>mg/l</t>
        </is>
      </c>
      <c r="R33" s="16" t="n">
        <v>21</v>
      </c>
      <c r="S33" s="14" t="inlineStr">
        <is>
          <t>Secukinumab</t>
        </is>
      </c>
      <c r="T33" s="14" t="inlineStr">
        <is>
          <t>Zunehmende Steifigkeit der peripheren und axialen Gelenke sowie rezidivierende axiale und entheseale Beschwerden unter NSAR.</t>
        </is>
      </c>
      <c r="U33" s="14" t="inlineStr">
        <is>
          <t>vorhanden</t>
        </is>
      </c>
      <c r="V33" s="14" t="inlineStr">
        <is>
          <t>vorhanden</t>
        </is>
      </c>
      <c r="W33" s="14" t="inlineStr">
        <is>
          <t>verneint</t>
        </is>
      </c>
      <c r="X33" s="14" t="inlineStr">
        <is>
          <t>vorhanden</t>
        </is>
      </c>
      <c r="Y33" s="14" t="inlineStr">
        <is>
          <t>Axiale und periphere Gelenke sowie Enthesen, klinisch nicht näher lokalisiert.</t>
        </is>
      </c>
      <c r="Z33" s="14" t="inlineStr">
        <is>
          <t>Morgensteifigkeit etwa 30 Minuten. Keine geschwollenen oder druckschmerzhaften Gelenke; entheseale Beschwerden ohne nähere klinische Lokalisation.</t>
        </is>
      </c>
      <c r="AA33" s="14" t="n"/>
      <c r="AB33" s="14" t="n"/>
      <c r="AC33" s="14" t="inlineStr">
        <is>
          <t>Aktiv</t>
        </is>
      </c>
      <c r="AD33" s="14" t="inlineStr">
        <is>
          <t>Trotz mehrmonatiger Behandlung mit verschiedenen NSAR weiterhin klinische Aktivität bei unzureichender Erkrankungskontrolle. Umstellung auf Secukinumab empfohlen; im Diagnosenteil seit November 2018 als aktuelle Therapie geführt.</t>
        </is>
      </c>
      <c r="AE33" s="14" t="inlineStr">
        <is>
          <t>Laborwerte und BKS ohne eigenes Messdatum; keine automatische Zuordnung zum klinischen Referenztermin.
Therapiebeginn mit Secukinumab seit 11/18 liegt nach dem dokumentierten Besuch am 19.10.2018.
Klinisch keine Gelenkschwellungen; die separat beschriebene MRT-Synovialitis wird nicht als klinische Synovitis gewertet.
CRP-Auswahl: erster dokumentierter Messwert in der Briefreihenfolge; daraus kein genaues Labordatum abgeleitet.</t>
        </is>
      </c>
    </row>
    <row r="34" ht="195" customHeight="1">
      <c r="A34" s="17" t="n">
        <v>16</v>
      </c>
      <c r="B34" s="18" t="inlineStr">
        <is>
          <t>SpA</t>
        </is>
      </c>
      <c r="C34" s="18" t="inlineStr">
        <is>
          <t>Follow-up</t>
        </is>
      </c>
      <c r="D34" s="19" t="n">
        <v>43682</v>
      </c>
      <c r="E34" s="19" t="n">
        <v>43641</v>
      </c>
      <c r="F34" s="17">
        <f>IF(E34="","",E34-D34)</f>
        <v/>
      </c>
      <c r="G34" s="20" t="n"/>
      <c r="H34" s="20" t="n"/>
      <c r="I34" s="20" t="n"/>
      <c r="J34" s="20" t="n"/>
      <c r="K34" s="20" t="n"/>
      <c r="L34" s="20" t="n"/>
      <c r="M34" s="20" t="n"/>
      <c r="N34" s="18" t="inlineStr">
        <is>
          <t>Ja</t>
        </is>
      </c>
      <c r="O34" s="20" t="n">
        <v>5.2</v>
      </c>
      <c r="P34" s="18" t="inlineStr">
        <is>
          <t>&lt;</t>
        </is>
      </c>
      <c r="Q34" s="18" t="inlineStr">
        <is>
          <t>mg/l</t>
        </is>
      </c>
      <c r="R34" s="20" t="n">
        <v>11</v>
      </c>
      <c r="S34" s="18" t="inlineStr">
        <is>
          <t>Secukinumab; Ibuprofen</t>
        </is>
      </c>
      <c r="T34" s="18" t="inlineStr">
        <is>
          <t>Weitgehende Beschwerdefreiheit unter Secukinumab mit gelegentlichen leichten Beschwerden am linken Handgelenk. Keine Morgensteifigkeit oder Wirbelsäulen- und Beckenschmerzen.</t>
        </is>
      </c>
      <c r="U34" s="18" t="inlineStr">
        <is>
          <t>verneint</t>
        </is>
      </c>
      <c r="V34" s="18" t="inlineStr">
        <is>
          <t>vorhanden</t>
        </is>
      </c>
      <c r="W34" s="18" t="inlineStr">
        <is>
          <t>verneint</t>
        </is>
      </c>
      <c r="X34" s="18" t="inlineStr">
        <is>
          <t>verneint</t>
        </is>
      </c>
      <c r="Y34" s="18" t="inlineStr">
        <is>
          <t>Linkes Handgelenk.</t>
        </is>
      </c>
      <c r="Z34" s="18" t="inlineStr">
        <is>
          <t>Gelegentlich leichte Beschwerden am linken Handgelenk unklarer Ursache, keine weiteren Gelenkbeschwerden. Keine geschwollenen oder druckschmerzhaften Gelenke, kein Druckschmerz an Wirbelsäule und ISG sowie keine druckschmerzhaften Enthesen.</t>
        </is>
      </c>
      <c r="AA34" s="18" t="inlineStr">
        <is>
          <t>Secukinumab</t>
        </is>
      </c>
      <c r="AB34" s="18" t="inlineStr">
        <is>
          <t>Deutlich</t>
        </is>
      </c>
      <c r="AC34" s="18" t="inlineStr">
        <is>
          <t>Gut kontrolliert</t>
        </is>
      </c>
      <c r="AD34" s="18" t="inlineStr">
        <is>
          <t>Unter Secukinumab seit November 2018 Rückgang der zuvor axialen, peripheren und enthesealen Beschwerden bis zur weitgehenden Beschwerdefreiheit; lediglich gelegentliche leichte Beschwerden am linken Handgelenk ohne klinische Entzündungszeichen. Unveränderte Fortführung empfohlen; wegen grenzwertig erhöhter Leberwerte NSAR vermeiden.</t>
        </is>
      </c>
      <c r="AE34" s="18" t="inlineStr">
        <is>
          <t>Laborwerte und BKS ohne eigenes Messdatum; keine automatische Zuordnung zum klinischen Referenztermin.
Deutliches klinisches Ansprechen anhand der weitgehenden Beschwerdefreiheit unter Secukinumab im Vergleich zur symptomatischen Baseline; nicht aus dem PET-Befund abgeleitet.
Ursache der gelegentlichen leichten Handgelenkbeschwerden nicht geklärt; keine gesicherte verbleibende entzündliche Aktivität.
Die Formulierung „Z.n. Secukinumabtherapie“ im PET-Befund belegt kein Absetzen; klinisch wird die unveränderte Fortführung der aktuellen Therapie empfohlen.
CRP-Auswahl: erster dokumentierter Messwert in der Briefreihenfolge; daraus kein genaues Labordatum abgeleitet.</t>
        </is>
      </c>
    </row>
  </sheetData>
  <autoFilter ref="A2:AE34"/>
  <mergeCells count="5">
    <mergeCell ref="A1:F1"/>
    <mergeCell ref="AA1:AE1"/>
    <mergeCell ref="G1:M1"/>
    <mergeCell ref="T1:Z1"/>
    <mergeCell ref="N1:R1"/>
  </mergeCells>
  <dataValidations count="8">
    <dataValidation sqref="U3:U34" showDropDown="0" showInputMessage="0" showErrorMessage="0" allowBlank="1" type="list">
      <formula1>"vorhanden,verneint,unklar,nicht erwähnt"</formula1>
    </dataValidation>
    <dataValidation sqref="V3:V34" showDropDown="0" showInputMessage="0" showErrorMessage="0" allowBlank="1" type="list">
      <formula1>"vorhanden,verneint,unklar,nicht erwähnt"</formula1>
    </dataValidation>
    <dataValidation sqref="W3:W34" showDropDown="0" showInputMessage="0" showErrorMessage="0" allowBlank="1" type="list">
      <formula1>"vorhanden,verneint,unklar,nicht erwähnt"</formula1>
    </dataValidation>
    <dataValidation sqref="X3:X34" showDropDown="0" showInputMessage="0" showErrorMessage="0" allowBlank="1" type="list">
      <formula1>"vorhanden,verneint,unklar,nicht erwähnt"</formula1>
    </dataValidation>
    <dataValidation sqref="P3:P34" showDropDown="0" showInputMessage="0" showErrorMessage="0" allowBlank="1" type="list">
      <formula1>"=,&lt;,&lt;=,&gt;,&gt;="</formula1>
    </dataValidation>
    <dataValidation sqref="N3:N34" showDropDown="0" showInputMessage="0" showErrorMessage="0" allowBlank="1" type="list">
      <formula1>"Ja,Nein"</formula1>
    </dataValidation>
    <dataValidation sqref="AB3:AB34" showDropDown="0" showInputMessage="0" showErrorMessage="0" allowBlank="1" type="list">
      <formula1>"Deutlich,Partiell,Keines,Nicht beurteilbar"</formula1>
    </dataValidation>
    <dataValidation sqref="AC3:AC34" showDropDown="0" showInputMessage="0" showErrorMessage="0" allowBlank="1" type="list">
      <formula1>"Remission,Gut kontrolliert,Aktiv,Unklar"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40" customWidth="1" min="11" max="11"/>
    <col width="40" customWidth="1" min="12" max="12"/>
    <col width="65" customWidth="1" min="13" max="13"/>
    <col width="65" customWidth="1" min="14" max="14"/>
  </cols>
  <sheetData>
    <row r="1" ht="40" customHeight="1">
      <c r="A1" s="21" t="inlineStr">
        <is>
          <t>Patient</t>
        </is>
      </c>
      <c r="B1" s="21" t="inlineStr">
        <is>
          <t>Erkrankung</t>
        </is>
      </c>
      <c r="C1" s="21" t="inlineStr">
        <is>
          <t>Zeitpunkt</t>
        </is>
      </c>
      <c r="D1" s="21" t="inlineStr">
        <is>
          <t>Wirkstoff</t>
        </is>
      </c>
      <c r="E1" s="21" t="inlineStr">
        <is>
          <t>Dosis</t>
        </is>
      </c>
      <c r="F1" s="21" t="inlineStr">
        <is>
          <t>Dosiseinheit</t>
        </is>
      </c>
      <c r="G1" s="21" t="inlineStr">
        <is>
          <t>Intervallzahl</t>
        </is>
      </c>
      <c r="H1" s="21" t="inlineStr">
        <is>
          <t>Intervalleinheit</t>
        </is>
      </c>
      <c r="I1" s="21" t="inlineStr">
        <is>
          <t>Bedarf</t>
        </is>
      </c>
      <c r="J1" s="21" t="inlineStr">
        <is>
          <t>Status</t>
        </is>
      </c>
      <c r="K1" s="21" t="inlineStr">
        <is>
          <t>Dosierung (Original)</t>
        </is>
      </c>
      <c r="L1" s="21" t="inlineStr">
        <is>
          <t>Quelle</t>
        </is>
      </c>
      <c r="M1" s="21" t="inlineStr">
        <is>
          <t>Originalbeleg</t>
        </is>
      </c>
      <c r="N1" s="21" t="inlineStr">
        <is>
          <t>Hinweise</t>
        </is>
      </c>
    </row>
    <row r="2">
      <c r="A2" s="22" t="n">
        <v>1</v>
      </c>
      <c r="B2" s="23" t="inlineStr">
        <is>
          <t>SpA</t>
        </is>
      </c>
      <c r="C2" s="23" t="inlineStr">
        <is>
          <t>Baseline</t>
        </is>
      </c>
      <c r="D2" s="23" t="inlineStr">
        <is>
          <t>Ibuprofen</t>
        </is>
      </c>
      <c r="E2" s="22" t="n">
        <v>300</v>
      </c>
      <c r="F2" s="23" t="inlineStr">
        <is>
          <t>mg</t>
        </is>
      </c>
      <c r="G2" s="22" t="n">
        <v>1</v>
      </c>
      <c r="H2" s="23" t="inlineStr">
        <is>
          <t>Tage</t>
        </is>
      </c>
      <c r="I2" s="23" t="inlineStr">
        <is>
          <t>Nein</t>
        </is>
      </c>
      <c r="J2" s="23" t="inlineStr">
        <is>
          <t>laufend</t>
        </is>
      </c>
      <c r="K2" s="23" t="inlineStr">
        <is>
          <t>aktuell Ibuprofen 300 mg/Tag</t>
        </is>
      </c>
      <c r="L2" s="23" t="inlineStr">
        <is>
          <t>1_Baseline.docx</t>
        </is>
      </c>
      <c r="M2" s="23" t="inlineStr">
        <is>
          <t>aktuell Ibuprofen 300 mg/Tag</t>
        </is>
      </c>
      <c r="N2" s="23" t="n"/>
    </row>
    <row r="3">
      <c r="A3" s="22" t="n">
        <v>1</v>
      </c>
      <c r="B3" s="23" t="inlineStr">
        <is>
          <t>SpA</t>
        </is>
      </c>
      <c r="C3" s="23" t="inlineStr">
        <is>
          <t>Baseline</t>
        </is>
      </c>
      <c r="D3" s="23" t="inlineStr">
        <is>
          <t>Secukinumab</t>
        </is>
      </c>
      <c r="E3" s="22" t="n">
        <v>150</v>
      </c>
      <c r="F3" s="23" t="inlineStr">
        <is>
          <t>mg</t>
        </is>
      </c>
      <c r="G3" s="23" t="n"/>
      <c r="H3" s="23" t="n"/>
      <c r="I3" s="23" t="inlineStr">
        <is>
          <t>Nein</t>
        </is>
      </c>
      <c r="J3" s="23" t="inlineStr">
        <is>
          <t>unklar</t>
        </is>
      </c>
      <c r="K3" s="23" t="inlineStr">
        <is>
          <t>Cosentyx 150 mg 5 x wöchentlich, dann danach alle 4 Wochen</t>
        </is>
      </c>
      <c r="L3" s="23" t="inlineStr">
        <is>
          <t>1_Baseline.docx</t>
        </is>
      </c>
      <c r="M3" s="23" t="inlineStr">
        <is>
          <t>Therapiebeginn mit Secukinumab 12/2020
Nach Kostenzusage der Krankenkasse und zusätzlicher Ganzkörperuntersuchung mittels FAPI-PET  wird die Erstgabe der Basistherapie Secukinumab in unserer Sprechstunde erfolgen.
Cosentyx 150 mg 5 x wöchentlich, dann danach alle 4 Wochen</t>
        </is>
      </c>
      <c r="N3" s="23" t="inlineStr">
        <is>
          <t>Diagnosen nennen einen Therapiebeginn 12/2020, der Beurteilungstext beschreibt die Erstgabe als zukünftig; tatsächlicher Beginn innerhalb der Baseline-Episode nicht eindeutig.
Initialschema und anschließendes Erhaltungsintervall im Original erhalten.</t>
        </is>
      </c>
    </row>
    <row r="4">
      <c r="A4" s="22" t="n">
        <v>1</v>
      </c>
      <c r="B4" s="23" t="inlineStr">
        <is>
          <t>SpA</t>
        </is>
      </c>
      <c r="C4" s="23" t="inlineStr">
        <is>
          <t>Baseline</t>
        </is>
      </c>
      <c r="D4" s="23" t="inlineStr">
        <is>
          <t>Etoricoxib</t>
        </is>
      </c>
      <c r="E4" s="22" t="n">
        <v>90</v>
      </c>
      <c r="F4" s="23" t="inlineStr">
        <is>
          <t>mg</t>
        </is>
      </c>
      <c r="G4" s="23" t="n"/>
      <c r="H4" s="23" t="n"/>
      <c r="I4" s="23" t="inlineStr">
        <is>
          <t>Ja</t>
        </is>
      </c>
      <c r="J4" s="23" t="inlineStr">
        <is>
          <t>geplant</t>
        </is>
      </c>
      <c r="K4" s="23" t="inlineStr">
        <is>
          <t>Arcoxia 90 mg 1-0-0 b.B.</t>
        </is>
      </c>
      <c r="L4" s="23" t="inlineStr">
        <is>
          <t>1_Baseline.docx</t>
        </is>
      </c>
      <c r="M4" s="23" t="inlineStr">
        <is>
          <t>Arcoxia 90 mg 1-0-0 b.B.</t>
        </is>
      </c>
      <c r="N4" s="23" t="inlineStr">
        <is>
          <t>Als Bedarfsmedikation empfohlen.</t>
        </is>
      </c>
    </row>
    <row r="5">
      <c r="A5" s="22" t="n">
        <v>1</v>
      </c>
      <c r="B5" s="23" t="inlineStr">
        <is>
          <t>SpA</t>
        </is>
      </c>
      <c r="C5" s="23" t="inlineStr">
        <is>
          <t>Baseline</t>
        </is>
      </c>
      <c r="D5" s="23" t="inlineStr">
        <is>
          <t>Prednisolon</t>
        </is>
      </c>
      <c r="E5" s="23" t="n"/>
      <c r="F5" s="23" t="n"/>
      <c r="G5" s="23" t="n"/>
      <c r="H5" s="23" t="n"/>
      <c r="I5" s="23" t="inlineStr">
        <is>
          <t>Unklar</t>
        </is>
      </c>
      <c r="J5" s="23" t="inlineStr">
        <is>
          <t>beendet</t>
        </is>
      </c>
      <c r="K5" s="23" t="inlineStr">
        <is>
          <t>i.a. Applikation von Prednisolon</t>
        </is>
      </c>
      <c r="L5" s="23" t="inlineStr">
        <is>
          <t>1_Baseline.docx</t>
        </is>
      </c>
      <c r="M5" s="23" t="inlineStr">
        <is>
          <t>Punktion Kniegelenk 25.11.2020 mit i.a. Applikation von Prednisolon und Entnahme von 50 ml seröser Flüssigkeit
Punktion des Gelenks mit i.a. Installation mit Volon 40 mg sowie Entnahme von 50 ml seröser Flüssigkeit.</t>
        </is>
      </c>
      <c r="N5" s="23" t="inlineStr">
        <is>
          <t>Einmalige intraartikuläre Behandlung am 25.11.2020.
Widersprüchliche Präparatangabe: Prednisolon gegenüber Volon 40 mg. Die 40 mg werden Prednisolon nicht zugeordnet; keine zusätzliche gesicherte Steroidgabe abgeleitet.</t>
        </is>
      </c>
    </row>
    <row r="6">
      <c r="A6" s="22" t="n">
        <v>1</v>
      </c>
      <c r="B6" s="23" t="inlineStr">
        <is>
          <t>SpA</t>
        </is>
      </c>
      <c r="C6" s="23" t="inlineStr">
        <is>
          <t>Follow-up</t>
        </is>
      </c>
      <c r="D6" s="23" t="inlineStr">
        <is>
          <t>Secukinumab</t>
        </is>
      </c>
      <c r="E6" s="22" t="n">
        <v>150</v>
      </c>
      <c r="F6" s="23" t="inlineStr">
        <is>
          <t>mg</t>
        </is>
      </c>
      <c r="G6" s="22" t="n">
        <v>1</v>
      </c>
      <c r="H6" s="23" t="inlineStr">
        <is>
          <t>Monate</t>
        </is>
      </c>
      <c r="I6" s="23" t="inlineStr">
        <is>
          <t>Nein</t>
        </is>
      </c>
      <c r="J6" s="23" t="inlineStr">
        <is>
          <t>laufend</t>
        </is>
      </c>
      <c r="K6" s="23" t="inlineStr">
        <is>
          <t>Cosentyx 150 mg 1 x Monat; Cosentyx 150 mg 1 x alle 4 Wochen</t>
        </is>
      </c>
      <c r="L6" s="23" t="inlineStr">
        <is>
          <t>1_FollowUp.docx</t>
        </is>
      </c>
      <c r="M6" s="23" t="inlineStr">
        <is>
          <t>Cosentyx 150 mg 1 x Monat
Cosentyx 150 mg 1 x alle 4 Wochen
Das neue Medikament wird gut vertragen und regelmäßig eingenommen.
Unter einer Basistherapie mit Secukinumab ist der Patient beschwerdefrei.</t>
        </is>
      </c>
      <c r="N6" s="23" t="inlineStr">
        <is>
          <t>Aktuelle Dauermedikation monatlich; Therapieempfehlung alle 4 Wochen. Beide Angaben unverändert erhalten, nicht gleichgesetzt.</t>
        </is>
      </c>
    </row>
    <row r="7">
      <c r="A7" s="22" t="n">
        <v>1</v>
      </c>
      <c r="B7" s="23" t="inlineStr">
        <is>
          <t>SpA</t>
        </is>
      </c>
      <c r="C7" s="23" t="inlineStr">
        <is>
          <t>Follow-up</t>
        </is>
      </c>
      <c r="D7" s="23" t="inlineStr">
        <is>
          <t>Etoricoxib</t>
        </is>
      </c>
      <c r="E7" s="22" t="n">
        <v>90</v>
      </c>
      <c r="F7" s="23" t="inlineStr">
        <is>
          <t>mg</t>
        </is>
      </c>
      <c r="G7" s="23" t="n"/>
      <c r="H7" s="23" t="n"/>
      <c r="I7" s="23" t="inlineStr">
        <is>
          <t>Ja</t>
        </is>
      </c>
      <c r="J7" s="23" t="inlineStr">
        <is>
          <t>geplant</t>
        </is>
      </c>
      <c r="K7" s="23" t="inlineStr">
        <is>
          <t>Arcoxia 90 mg 1-0-0 b. B.</t>
        </is>
      </c>
      <c r="L7" s="23" t="inlineStr">
        <is>
          <t>1_FollowUp.docx</t>
        </is>
      </c>
      <c r="M7" s="23" t="inlineStr">
        <is>
          <t>Arcoxia 90 mg 1-0-0 b. B.
NSAR müssen nicht eingenommen werden.</t>
        </is>
      </c>
      <c r="N7" s="23" t="inlineStr">
        <is>
          <t>Weiterhin als Bedarfsmedikation empfohlen; aktuell kein Einnahmebedarf.</t>
        </is>
      </c>
    </row>
    <row r="8">
      <c r="A8" s="22" t="n">
        <v>2</v>
      </c>
      <c r="B8" s="23" t="inlineStr">
        <is>
          <t>SpA</t>
        </is>
      </c>
      <c r="C8" s="23" t="inlineStr">
        <is>
          <t>Baseline</t>
        </is>
      </c>
      <c r="D8" s="23" t="inlineStr">
        <is>
          <t>Certolizumab</t>
        </is>
      </c>
      <c r="E8" s="22" t="n">
        <v>200</v>
      </c>
      <c r="F8" s="23" t="inlineStr">
        <is>
          <t>mg</t>
        </is>
      </c>
      <c r="G8" s="22" t="n">
        <v>14</v>
      </c>
      <c r="H8" s="23" t="inlineStr">
        <is>
          <t>Tage</t>
        </is>
      </c>
      <c r="I8" s="23" t="inlineStr">
        <is>
          <t>Nein</t>
        </is>
      </c>
      <c r="J8" s="23" t="inlineStr">
        <is>
          <t>laufend</t>
        </is>
      </c>
      <c r="K8" s="23" t="inlineStr">
        <is>
          <t>Certolizumab 200 mg alle 14 Tage s.c.</t>
        </is>
      </c>
      <c r="L8" s="23" t="inlineStr">
        <is>
          <t>2_Baseline.docx</t>
        </is>
      </c>
      <c r="M8" s="23" t="inlineStr">
        <is>
          <t>Certolizumab 200 mg alle 14 Tage s.c.</t>
        </is>
      </c>
      <c r="N8" s="23" t="n"/>
    </row>
    <row r="9">
      <c r="A9" s="22" t="n">
        <v>2</v>
      </c>
      <c r="B9" s="23" t="inlineStr">
        <is>
          <t>SpA</t>
        </is>
      </c>
      <c r="C9" s="23" t="inlineStr">
        <is>
          <t>Baseline</t>
        </is>
      </c>
      <c r="D9" s="23" t="inlineStr">
        <is>
          <t>Etoricoxib</t>
        </is>
      </c>
      <c r="E9" s="22" t="n">
        <v>90</v>
      </c>
      <c r="F9" s="23" t="inlineStr">
        <is>
          <t>mg</t>
        </is>
      </c>
      <c r="G9" s="22" t="n">
        <v>1</v>
      </c>
      <c r="H9" s="23" t="inlineStr">
        <is>
          <t>Tage</t>
        </is>
      </c>
      <c r="I9" s="23" t="inlineStr">
        <is>
          <t>Nein</t>
        </is>
      </c>
      <c r="J9" s="23" t="inlineStr">
        <is>
          <t>laufend</t>
        </is>
      </c>
      <c r="K9" s="23" t="inlineStr">
        <is>
          <t>Arcoxia 90mg 1-0-0</t>
        </is>
      </c>
      <c r="L9" s="23" t="inlineStr">
        <is>
          <t>2_Baseline.docx</t>
        </is>
      </c>
      <c r="M9" s="23" t="inlineStr">
        <is>
          <t>Arcoxia 90mg 1-0-0</t>
        </is>
      </c>
      <c r="N9" s="23" t="n"/>
    </row>
    <row r="10">
      <c r="A10" s="22" t="n">
        <v>2</v>
      </c>
      <c r="B10" s="23" t="inlineStr">
        <is>
          <t>SpA</t>
        </is>
      </c>
      <c r="C10" s="23" t="inlineStr">
        <is>
          <t>Baseline</t>
        </is>
      </c>
      <c r="D10" s="23" t="inlineStr">
        <is>
          <t>Secukinumab</t>
        </is>
      </c>
      <c r="E10" s="23" t="n"/>
      <c r="F10" s="23" t="n"/>
      <c r="G10" s="23" t="n"/>
      <c r="H10" s="23" t="n"/>
      <c r="I10" s="23" t="inlineStr">
        <is>
          <t>Unklar</t>
        </is>
      </c>
      <c r="J10" s="23" t="inlineStr">
        <is>
          <t>geplant</t>
        </is>
      </c>
      <c r="K10" s="23" t="n"/>
      <c r="L10" s="23" t="inlineStr">
        <is>
          <t>2_Baseline.docx</t>
        </is>
      </c>
      <c r="M10" s="23" t="inlineStr">
        <is>
          <t>Wir empfehlen daher eine Therapieumstellung auf Secukinumab im Rahmen der E-BIO-Studie.</t>
        </is>
      </c>
      <c r="N10" s="23" t="n"/>
    </row>
    <row r="11">
      <c r="A11" s="22" t="n">
        <v>2</v>
      </c>
      <c r="B11" s="23" t="inlineStr">
        <is>
          <t>SpA</t>
        </is>
      </c>
      <c r="C11" s="23" t="inlineStr">
        <is>
          <t>Baseline</t>
        </is>
      </c>
      <c r="D11" s="23" t="inlineStr">
        <is>
          <t>Cortison, nicht näher bezeichnet</t>
        </is>
      </c>
      <c r="E11" s="23" t="n"/>
      <c r="F11" s="23" t="n"/>
      <c r="G11" s="23" t="n"/>
      <c r="H11" s="23" t="n"/>
      <c r="I11" s="23" t="inlineStr">
        <is>
          <t>Unklar</t>
        </is>
      </c>
      <c r="J11" s="23" t="inlineStr">
        <is>
          <t>geplant</t>
        </is>
      </c>
      <c r="K11" s="23" t="inlineStr">
        <is>
          <t>orales Cortison-Schema für 8d</t>
        </is>
      </c>
      <c r="L11" s="23" t="inlineStr">
        <is>
          <t>2_Baseline.docx</t>
        </is>
      </c>
      <c r="M11" s="23" t="inlineStr">
        <is>
          <t>Therapievorschlag: Tägliche Nasenduschen, Unacid PD 375mg 2-0-2 für 10d, orales Cortison-Schema für 8d, Mometason-NS für 6 Wochen, Inhalationen und Schleimhautpflege,</t>
        </is>
      </c>
      <c r="N11" s="23" t="inlineStr">
        <is>
          <t>HNO-Therapievorschlag vom 16.12.2020 wegen Rhinosinusitis; Wirkstoff und Dosis nicht spezifiziert, Durchführung nicht bestätigt.</t>
        </is>
      </c>
    </row>
    <row r="12">
      <c r="A12" s="22" t="n">
        <v>2</v>
      </c>
      <c r="B12" s="23" t="inlineStr">
        <is>
          <t>SpA</t>
        </is>
      </c>
      <c r="C12" s="23" t="inlineStr">
        <is>
          <t>Follow-up</t>
        </is>
      </c>
      <c r="D12" s="23" t="inlineStr">
        <is>
          <t>Etoricoxib</t>
        </is>
      </c>
      <c r="E12" s="22" t="n">
        <v>90</v>
      </c>
      <c r="F12" s="23" t="inlineStr">
        <is>
          <t>mg</t>
        </is>
      </c>
      <c r="G12" s="22" t="n">
        <v>1</v>
      </c>
      <c r="H12" s="23" t="inlineStr">
        <is>
          <t>Tage</t>
        </is>
      </c>
      <c r="I12" s="23" t="inlineStr">
        <is>
          <t>Nein</t>
        </is>
      </c>
      <c r="J12" s="23" t="inlineStr">
        <is>
          <t>laufend</t>
        </is>
      </c>
      <c r="K12" s="23" t="inlineStr">
        <is>
          <t>Arcoxia 90mg 1-0-0</t>
        </is>
      </c>
      <c r="L12" s="23" t="inlineStr">
        <is>
          <t>2_FollowUp.docx</t>
        </is>
      </c>
      <c r="M12" s="23" t="inlineStr">
        <is>
          <t>Arcoxia 90mg 1-0-0</t>
        </is>
      </c>
      <c r="N12" s="23" t="n"/>
    </row>
    <row r="13">
      <c r="A13" s="22" t="n">
        <v>2</v>
      </c>
      <c r="B13" s="23" t="inlineStr">
        <is>
          <t>SpA</t>
        </is>
      </c>
      <c r="C13" s="23" t="inlineStr">
        <is>
          <t>Follow-up</t>
        </is>
      </c>
      <c r="D13" s="23" t="inlineStr">
        <is>
          <t>Secukinumab</t>
        </is>
      </c>
      <c r="E13" s="22" t="n">
        <v>300</v>
      </c>
      <c r="F13" s="23" t="inlineStr">
        <is>
          <t>mg</t>
        </is>
      </c>
      <c r="G13" s="22" t="n">
        <v>4</v>
      </c>
      <c r="H13" s="23" t="inlineStr">
        <is>
          <t>Wochen</t>
        </is>
      </c>
      <c r="I13" s="23" t="inlineStr">
        <is>
          <t>Nein</t>
        </is>
      </c>
      <c r="J13" s="23" t="inlineStr">
        <is>
          <t>beendet</t>
        </is>
      </c>
      <c r="K13" s="23" t="inlineStr">
        <is>
          <t>Secukinumab 300mg alle 4 Wochen; Aktuell unter 300mg Secukinumab/Mon.</t>
        </is>
      </c>
      <c r="L13" s="23" t="inlineStr">
        <is>
          <t>2_FollowUp.docx</t>
        </is>
      </c>
      <c r="M13" s="23" t="inlineStr">
        <is>
          <t>Secukinumab 300mg alle 4 Wochen
Aktuell unter 300mg Secukinumab/Mon. weiterhin zunehmende klinische Symptomatik.
Letzte Secukinumab 300mg Spritze verabreicht, da vor Start von Upadaxitinib Shingirx Impfung erfolgt sein sollte.</t>
        </is>
      </c>
      <c r="N13" s="23" t="inlineStr">
        <is>
          <t>Bei der Vorstellung noch angewendet, anschließend im Rahmen der Umstellung beendet; genaues Enddatum fehlt.
Abweichende Intervallangaben: alle vier Wochen in der Dauermedikation, monatlich im Verlauf; nicht gleichgesetzt.</t>
        </is>
      </c>
    </row>
    <row r="14">
      <c r="A14" s="22" t="n">
        <v>2</v>
      </c>
      <c r="B14" s="23" t="inlineStr">
        <is>
          <t>SpA</t>
        </is>
      </c>
      <c r="C14" s="23" t="inlineStr">
        <is>
          <t>Follow-up</t>
        </is>
      </c>
      <c r="D14" s="23" t="inlineStr">
        <is>
          <t>Upadacitinib</t>
        </is>
      </c>
      <c r="E14" s="22" t="n">
        <v>15</v>
      </c>
      <c r="F14" s="23" t="inlineStr">
        <is>
          <t>mg</t>
        </is>
      </c>
      <c r="G14" s="22" t="n">
        <v>1</v>
      </c>
      <c r="H14" s="23" t="inlineStr">
        <is>
          <t>Tage</t>
        </is>
      </c>
      <c r="I14" s="23" t="inlineStr">
        <is>
          <t>Nein</t>
        </is>
      </c>
      <c r="J14" s="23" t="inlineStr">
        <is>
          <t>laufend</t>
        </is>
      </c>
      <c r="K14" s="23" t="inlineStr">
        <is>
          <t>Upadacitinib 15mg 1-0-0 (seit 09/22, nach Shingrix Impfung)</t>
        </is>
      </c>
      <c r="L14" s="23" t="inlineStr">
        <is>
          <t>2_FollowUp.docx</t>
        </is>
      </c>
      <c r="M14" s="23" t="inlineStr">
        <is>
          <t>aktuelle Therapie: Upadacitinib 15mg 1-0-0 (seit 09/22, nach Shingrix Impfung)
Daher Therapieumstellung auf Upadacitinib 15mg 1-0-0 unter klinischen und serologischen Kontrollen nach Maßgabe der DGRH bepsrochen.</t>
        </is>
      </c>
      <c r="N14" s="23" t="inlineStr">
        <is>
          <t>Beim Referenzbesuch am 08.08.2022 geplant; laut offenbar aktualisiertem Diagnosenteil seit September 2022 laufend.</t>
        </is>
      </c>
    </row>
    <row r="15">
      <c r="A15" s="22" t="n">
        <v>2</v>
      </c>
      <c r="B15" s="23" t="inlineStr">
        <is>
          <t>SpA</t>
        </is>
      </c>
      <c r="C15" s="23" t="inlineStr">
        <is>
          <t>Follow-up</t>
        </is>
      </c>
      <c r="D15" s="23" t="inlineStr">
        <is>
          <t>Certolizumab</t>
        </is>
      </c>
      <c r="E15" s="23" t="n"/>
      <c r="F15" s="23" t="n"/>
      <c r="G15" s="23" t="n"/>
      <c r="H15" s="23" t="n"/>
      <c r="I15" s="23" t="inlineStr">
        <is>
          <t>Unklar</t>
        </is>
      </c>
      <c r="J15" s="23" t="inlineStr">
        <is>
          <t>beendet</t>
        </is>
      </c>
      <c r="K15" s="23" t="n"/>
      <c r="L15" s="23" t="inlineStr">
        <is>
          <t>2_FollowUp.docx</t>
        </is>
      </c>
      <c r="M15" s="23" t="inlineStr">
        <is>
          <t>Z.n. Certolizumab (10/18 bis 03/21, Wirkverlust)</t>
        </is>
      </c>
      <c r="N15" s="23" t="inlineStr">
        <is>
          <t>Vorbehandlung mit Wirkverlust bis März 2021; für den Therapieverlauf relevant, kein aktueller Status.</t>
        </is>
      </c>
    </row>
    <row r="16">
      <c r="A16" s="22" t="n">
        <v>3</v>
      </c>
      <c r="B16" s="23" t="inlineStr">
        <is>
          <t>SpA</t>
        </is>
      </c>
      <c r="C16" s="23" t="inlineStr">
        <is>
          <t>Baseline</t>
        </is>
      </c>
      <c r="D16" s="23" t="inlineStr">
        <is>
          <t>Secukinumab</t>
        </is>
      </c>
      <c r="E16" s="22" t="n">
        <v>150</v>
      </c>
      <c r="F16" s="23" t="inlineStr">
        <is>
          <t>mg</t>
        </is>
      </c>
      <c r="G16" s="22" t="n">
        <v>1</v>
      </c>
      <c r="H16" s="23" t="inlineStr">
        <is>
          <t>Monate</t>
        </is>
      </c>
      <c r="I16" s="23" t="inlineStr">
        <is>
          <t>Nein</t>
        </is>
      </c>
      <c r="J16" s="23" t="inlineStr">
        <is>
          <t>laufend</t>
        </is>
      </c>
      <c r="K16" s="23" t="inlineStr">
        <is>
          <t>Secukinumab 150mg/Monat</t>
        </is>
      </c>
      <c r="L16" s="23" t="inlineStr">
        <is>
          <t>3_Baseline.docx</t>
        </is>
      </c>
      <c r="M16" s="23" t="inlineStr">
        <is>
          <t>Klinisch zeigt sich auch unter Secukinumab 150mg/Monat eine persistierende Erkrankungsaktivität.
In diesem Fall sollte die Dosis des Secukinumab auf 300mg/Monat unter Kontrolle nach Maßgabe der DGRh erhöht werden.</t>
        </is>
      </c>
      <c r="N16" s="23" t="inlineStr">
        <is>
          <t>Bedingte Dosiserhöhung auf 300 mg monatlich empfohlen; noch nicht als umgesetzt dokumentiert.</t>
        </is>
      </c>
    </row>
    <row r="17">
      <c r="A17" s="22" t="n">
        <v>3</v>
      </c>
      <c r="B17" s="23" t="inlineStr">
        <is>
          <t>SpA</t>
        </is>
      </c>
      <c r="C17" s="23" t="inlineStr">
        <is>
          <t>Baseline</t>
        </is>
      </c>
      <c r="D17" s="23" t="inlineStr">
        <is>
          <t>Doxycyclin</t>
        </is>
      </c>
      <c r="E17" s="22" t="n">
        <v>100</v>
      </c>
      <c r="F17" s="23" t="inlineStr">
        <is>
          <t>mg</t>
        </is>
      </c>
      <c r="G17" s="23" t="n"/>
      <c r="H17" s="23" t="n"/>
      <c r="I17" s="23" t="inlineStr">
        <is>
          <t>Nein</t>
        </is>
      </c>
      <c r="J17" s="23" t="inlineStr">
        <is>
          <t>geplant</t>
        </is>
      </c>
      <c r="K17" s="23" t="inlineStr">
        <is>
          <t>Doxycyclin 100mg 1-0-1 (Vermeidung gleichzeitiger Einnahme von Milchprodukten und UV-Exposition) für 3 Wochen</t>
        </is>
      </c>
      <c r="L17" s="23" t="inlineStr">
        <is>
          <t>3_Baseline.docx</t>
        </is>
      </c>
      <c r="M17" s="23" t="inlineStr">
        <is>
          <t>In diesem Falle wäre eine erneute Antibiotika-Therapie mit Doxycyclin 100mg 1-0-1 (Vermeidung gleichzeitiger Einnahme von Milchprodukten und UV-Exposition) für 3 Wochen probatorisch sinnvoll.</t>
        </is>
      </c>
      <c r="N17" s="23" t="inlineStr">
        <is>
          <t>Bedingte probatorische Empfehlung; tatsächlicher Beginn nicht dokumentiert.
Zweimal tägliche Einnahme im Originalschema; kein gleichmäßiger Stundenabstand dokumentiert.</t>
        </is>
      </c>
    </row>
    <row r="18">
      <c r="A18" s="22" t="n">
        <v>3</v>
      </c>
      <c r="B18" s="23" t="inlineStr">
        <is>
          <t>SpA</t>
        </is>
      </c>
      <c r="C18" s="23" t="inlineStr">
        <is>
          <t>Follow-up</t>
        </is>
      </c>
      <c r="D18" s="23" t="inlineStr">
        <is>
          <t>Secukinumab</t>
        </is>
      </c>
      <c r="E18" s="22" t="n">
        <v>300</v>
      </c>
      <c r="F18" s="23" t="inlineStr">
        <is>
          <t>mg</t>
        </is>
      </c>
      <c r="G18" s="22" t="n">
        <v>4</v>
      </c>
      <c r="H18" s="23" t="inlineStr">
        <is>
          <t>Wochen</t>
        </is>
      </c>
      <c r="I18" s="23" t="inlineStr">
        <is>
          <t>Nein</t>
        </is>
      </c>
      <c r="J18" s="23" t="inlineStr">
        <is>
          <t>beendet</t>
        </is>
      </c>
      <c r="K18" s="23" t="inlineStr">
        <is>
          <t>Dosiserhöhung auf 300mg alle 4 Wo. (11/20-03/21 mit teilweise Ansprechen)</t>
        </is>
      </c>
      <c r="L18" s="23" t="inlineStr">
        <is>
          <t>3_FollowUp.docx</t>
        </is>
      </c>
      <c r="M18" s="23" t="inlineStr">
        <is>
          <t>bisherige Therapie: Adalimumab 03/2020-08/2020 (unzureichende Wirkung), Secukinumab 150 mg (seit 08/20), Dosiserhöhung auf 300mg alle 4 Wo. (11/20-03/21 mit teilweise Ansprechen)
Klinisch und radiographisch zeigt sich eine persistierende Aktivität unter 300mg Secukinumab pro Monat, auch wenn das FAPI PET/CT 02/21 ein partielles Ansprechen auf die bisherige immunsuppressive Therapie zeigt.</t>
        </is>
      </c>
      <c r="N18" s="23" t="inlineStr">
        <is>
          <t>Am Referenztermin noch laufend; im zusammenfassenden Brief bis März 2021 dokumentiert und anschließend umgestellt.
Intervall widersprüchlich als alle vier Wochen und pro Monat angegeben; strukturierte Angabe aus der ausdrücklich datierten Therapieübersicht übernommen.</t>
        </is>
      </c>
    </row>
    <row r="19">
      <c r="A19" s="22" t="n">
        <v>3</v>
      </c>
      <c r="B19" s="23" t="inlineStr">
        <is>
          <t>SpA</t>
        </is>
      </c>
      <c r="C19" s="23" t="inlineStr">
        <is>
          <t>Follow-up</t>
        </is>
      </c>
      <c r="D19" s="23" t="inlineStr">
        <is>
          <t>Upadacitinib</t>
        </is>
      </c>
      <c r="E19" s="22" t="n">
        <v>15</v>
      </c>
      <c r="F19" s="23" t="inlineStr">
        <is>
          <t>mg</t>
        </is>
      </c>
      <c r="G19" s="22" t="n">
        <v>1</v>
      </c>
      <c r="H19" s="23" t="inlineStr">
        <is>
          <t>Tage</t>
        </is>
      </c>
      <c r="I19" s="23" t="inlineStr">
        <is>
          <t>Nein</t>
        </is>
      </c>
      <c r="J19" s="23" t="inlineStr">
        <is>
          <t>laufend</t>
        </is>
      </c>
      <c r="K19" s="23" t="inlineStr">
        <is>
          <t>Upadacitinib 15mg 0-0-1</t>
        </is>
      </c>
      <c r="L19" s="23" t="inlineStr">
        <is>
          <t>3_FollowUp.docx</t>
        </is>
      </c>
      <c r="M19" s="23" t="inlineStr">
        <is>
          <t>aktuelle Therapie: Umstellung auf Upadacitinib 15mg 0-0-1 bei klinisch und radiographisch persistierender Aktivität 03/21
empfehlen wir eine Therapieumstellung auf Upadacitinib 15mg 1x/Tag, unter Kontrolle nach Maßgabe der DGRh.</t>
        </is>
      </c>
      <c r="N19" s="23" t="inlineStr">
        <is>
          <t>Als aktuelle Therapie ab März 2021 aufgeführt, somit nach Referenztermin und Scan; im Verlauf zugleich als Empfehlung formuliert.</t>
        </is>
      </c>
    </row>
    <row r="20">
      <c r="A20" s="22" t="n">
        <v>3</v>
      </c>
      <c r="B20" s="23" t="inlineStr">
        <is>
          <t>SpA</t>
        </is>
      </c>
      <c r="C20" s="23" t="inlineStr">
        <is>
          <t>Follow-up</t>
        </is>
      </c>
      <c r="D20" s="23" t="inlineStr">
        <is>
          <t>Antibiotikum, nicht benannt</t>
        </is>
      </c>
      <c r="E20" s="23" t="n"/>
      <c r="F20" s="23" t="n"/>
      <c r="G20" s="23" t="n"/>
      <c r="H20" s="23" t="n"/>
      <c r="I20" s="23" t="inlineStr">
        <is>
          <t>Unklar</t>
        </is>
      </c>
      <c r="J20" s="23" t="inlineStr">
        <is>
          <t>beendet</t>
        </is>
      </c>
      <c r="K20" s="23" t="inlineStr">
        <is>
          <t>Antibiotikatherapie über Wochen</t>
        </is>
      </c>
      <c r="L20" s="23" t="inlineStr">
        <is>
          <t>3_FollowUp.docx</t>
        </is>
      </c>
      <c r="M20" s="23" t="inlineStr">
        <is>
          <t>Antibiotikatherapie über Wochen ohne Besserung der Beschwerden.</t>
        </is>
      </c>
      <c r="N20" s="23" t="inlineStr">
        <is>
          <t>Wirkstoff, Dosierung und genaue Behandlungsdaten fehlen; keine Gleichsetzung mit der Baseline-Empfehlung.</t>
        </is>
      </c>
    </row>
    <row r="21">
      <c r="A21" s="22" t="n">
        <v>4</v>
      </c>
      <c r="B21" s="23" t="inlineStr">
        <is>
          <t>SpA</t>
        </is>
      </c>
      <c r="C21" s="23" t="inlineStr">
        <is>
          <t>Baseline</t>
        </is>
      </c>
      <c r="D21" s="23" t="inlineStr">
        <is>
          <t>Diclofenac</t>
        </is>
      </c>
      <c r="E21" s="22" t="n">
        <v>75</v>
      </c>
      <c r="F21" s="23" t="inlineStr">
        <is>
          <t>mg</t>
        </is>
      </c>
      <c r="G21" s="23" t="n"/>
      <c r="H21" s="23" t="n"/>
      <c r="I21" s="23" t="inlineStr">
        <is>
          <t>Nein</t>
        </is>
      </c>
      <c r="J21" s="23" t="inlineStr">
        <is>
          <t>laufend</t>
        </is>
      </c>
      <c r="K21" s="23" t="inlineStr">
        <is>
          <t>Diclofenac 75 mg 1-0-1</t>
        </is>
      </c>
      <c r="L21" s="23" t="inlineStr">
        <is>
          <t>4_Baseline.docx</t>
        </is>
      </c>
      <c r="M21" s="23" t="inlineStr">
        <is>
          <t>Diclofenac 75 mg 1-0-1</t>
        </is>
      </c>
      <c r="N21" s="23" t="n"/>
    </row>
    <row r="22">
      <c r="A22" s="22" t="n">
        <v>4</v>
      </c>
      <c r="B22" s="23" t="inlineStr">
        <is>
          <t>SpA</t>
        </is>
      </c>
      <c r="C22" s="23" t="inlineStr">
        <is>
          <t>Baseline</t>
        </is>
      </c>
      <c r="D22" s="23" t="inlineStr">
        <is>
          <t>Secukinumab</t>
        </is>
      </c>
      <c r="E22" s="23" t="n"/>
      <c r="F22" s="23" t="n"/>
      <c r="G22" s="23" t="n"/>
      <c r="H22" s="23" t="n"/>
      <c r="I22" s="23" t="inlineStr">
        <is>
          <t>Unklar</t>
        </is>
      </c>
      <c r="J22" s="23" t="inlineStr">
        <is>
          <t>geplant</t>
        </is>
      </c>
      <c r="K22" s="23" t="n"/>
      <c r="L22" s="23" t="inlineStr">
        <is>
          <t>4_Baseline.docx</t>
        </is>
      </c>
      <c r="M22" s="23" t="inlineStr">
        <is>
          <t>Zügiger Beginn eines Biologikums (vorzugsweise anti-TNF oder Secukinumab) nach erweiterter Bildgebung mittels FAPI-PET/CT</t>
        </is>
      </c>
      <c r="N22" s="23" t="inlineStr">
        <is>
          <t>Secukinumab ist eine genannte Option neben einer nicht näher bestimmten Anti-TNF-Therapie; keine endgültige Wirkstoffentscheidung dokumentiert.</t>
        </is>
      </c>
    </row>
    <row r="23">
      <c r="A23" s="22" t="n">
        <v>4</v>
      </c>
      <c r="B23" s="23" t="inlineStr">
        <is>
          <t>SpA</t>
        </is>
      </c>
      <c r="C23" s="23" t="inlineStr">
        <is>
          <t>Follow-up</t>
        </is>
      </c>
      <c r="D23" s="23" t="inlineStr">
        <is>
          <t>Ixekizumab</t>
        </is>
      </c>
      <c r="E23" s="22" t="n">
        <v>80</v>
      </c>
      <c r="F23" s="23" t="inlineStr">
        <is>
          <t>mg</t>
        </is>
      </c>
      <c r="G23" s="22" t="n">
        <v>4</v>
      </c>
      <c r="H23" s="23" t="inlineStr">
        <is>
          <t>Wochen</t>
        </is>
      </c>
      <c r="I23" s="23" t="inlineStr">
        <is>
          <t>Nein</t>
        </is>
      </c>
      <c r="J23" s="23" t="inlineStr">
        <is>
          <t>laufend</t>
        </is>
      </c>
      <c r="K23" s="23" t="inlineStr">
        <is>
          <t>Ixezikumab (Talz) 80 mg s.c. alle 4 Wo. (seit 10/2020)</t>
        </is>
      </c>
      <c r="L23" s="23" t="inlineStr">
        <is>
          <t>4_FollowUp.docx</t>
        </is>
      </c>
      <c r="M23" s="23" t="inlineStr">
        <is>
          <t>Ixezikumab (Talz) 80 mg s.c. alle 4 Wo. (seit 10/2020)</t>
        </is>
      </c>
      <c r="N23" s="23" t="inlineStr">
        <is>
          <t>Wirkstoffschreibweise zu Ixekizumab normalisiert; im Brief „Ixezikumab (Talz)“.</t>
        </is>
      </c>
    </row>
    <row r="24">
      <c r="A24" s="22" t="n">
        <v>5</v>
      </c>
      <c r="B24" s="23" t="inlineStr">
        <is>
          <t>SpA</t>
        </is>
      </c>
      <c r="C24" s="23" t="inlineStr">
        <is>
          <t>Baseline</t>
        </is>
      </c>
      <c r="D24" s="23" t="inlineStr">
        <is>
          <t>Ibuprofen</t>
        </is>
      </c>
      <c r="E24" s="22" t="n">
        <v>600</v>
      </c>
      <c r="F24" s="23" t="inlineStr">
        <is>
          <t>mg</t>
        </is>
      </c>
      <c r="G24" s="23" t="n"/>
      <c r="H24" s="23" t="n"/>
      <c r="I24" s="23" t="inlineStr">
        <is>
          <t>Nein</t>
        </is>
      </c>
      <c r="J24" s="23" t="inlineStr">
        <is>
          <t>laufend</t>
        </is>
      </c>
      <c r="K24" s="23" t="inlineStr">
        <is>
          <t>Ibuprofen 600 mg 3x tägl.</t>
        </is>
      </c>
      <c r="L24" s="23" t="inlineStr">
        <is>
          <t>5_Baseline.docx</t>
        </is>
      </c>
      <c r="M24" s="23" t="inlineStr">
        <is>
          <t>Ibuprofen 600 mg 3x tägl.
Aktuell feste Einnahme von Ibu 3x600 mg unter Einnahme von Pantoprazol.</t>
        </is>
      </c>
      <c r="N24" s="23" t="inlineStr">
        <is>
          <t>Dreimal täglich dokumentiert; kein gleichmäßiger Stundenabstand angegeben.</t>
        </is>
      </c>
    </row>
    <row r="25">
      <c r="A25" s="22" t="n">
        <v>5</v>
      </c>
      <c r="B25" s="23" t="inlineStr">
        <is>
          <t>SpA</t>
        </is>
      </c>
      <c r="C25" s="23" t="inlineStr">
        <is>
          <t>Baseline</t>
        </is>
      </c>
      <c r="D25" s="23" t="inlineStr">
        <is>
          <t>Certolizumab</t>
        </is>
      </c>
      <c r="E25" s="23" t="n"/>
      <c r="F25" s="23" t="n"/>
      <c r="G25" s="23" t="n"/>
      <c r="H25" s="23" t="n"/>
      <c r="I25" s="23" t="inlineStr">
        <is>
          <t>Unklar</t>
        </is>
      </c>
      <c r="J25" s="23" t="inlineStr">
        <is>
          <t>geplant</t>
        </is>
      </c>
      <c r="K25" s="23" t="inlineStr">
        <is>
          <t>Certolizumab, Wiederbeginn 08/2020</t>
        </is>
      </c>
      <c r="L25" s="23" t="inlineStr">
        <is>
          <t>5_Baseline.docx</t>
        </is>
      </c>
      <c r="M25" s="23" t="inlineStr">
        <is>
          <t>aktuelle Therapie: Certolizumab, Wiederbeginn 08/2020
Wir vereinbarten mit Herrn Schade den zeitnahen Wiederbeginn einer Therapie mit Certolizumab nach erfolgter, radiolog. Statuserhebung mittles FAPI-PET/CT.</t>
        </is>
      </c>
      <c r="N25" s="23" t="inlineStr">
        <is>
          <t>Bei der Vorstellung ohne Basistherapie; Wiederbeginn vereinbart. Die historischen Dosierungen werden nicht auf das geplante Regime übertragen.</t>
        </is>
      </c>
    </row>
    <row r="26">
      <c r="A26" s="22" t="n">
        <v>5</v>
      </c>
      <c r="B26" s="23" t="inlineStr">
        <is>
          <t>SpA</t>
        </is>
      </c>
      <c r="C26" s="23" t="inlineStr">
        <is>
          <t>Follow-up</t>
        </is>
      </c>
      <c r="D26" s="23" t="inlineStr">
        <is>
          <t>Certolizumab</t>
        </is>
      </c>
      <c r="E26" s="23" t="n"/>
      <c r="F26" s="23" t="n"/>
      <c r="G26" s="23" t="n"/>
      <c r="H26" s="23" t="n"/>
      <c r="I26" s="23" t="inlineStr">
        <is>
          <t>Nein</t>
        </is>
      </c>
      <c r="J26" s="23" t="inlineStr">
        <is>
          <t>laufend</t>
        </is>
      </c>
      <c r="K26" s="23" t="inlineStr">
        <is>
          <t>Certolizumab, Wiederbeginn 08/2020</t>
        </is>
      </c>
      <c r="L26" s="23" t="inlineStr">
        <is>
          <t>5_FollowUp.docx</t>
        </is>
      </c>
      <c r="M26" s="23" t="inlineStr">
        <is>
          <t>aktuelle Therapie: Certolizumab, Wiederbeginn 08/2020
VK bei axialer SpA, aktuell unter Cimzia.</t>
        </is>
      </c>
      <c r="N26" s="23" t="inlineStr">
        <is>
          <t>Aktuelle Dosis und Intervall fehlen; historische Dosierungen werden nicht übertragen.</t>
        </is>
      </c>
    </row>
    <row r="27">
      <c r="A27" s="22" t="n">
        <v>5</v>
      </c>
      <c r="B27" s="23" t="inlineStr">
        <is>
          <t>SpA</t>
        </is>
      </c>
      <c r="C27" s="23" t="inlineStr">
        <is>
          <t>Follow-up</t>
        </is>
      </c>
      <c r="D27" s="23" t="inlineStr">
        <is>
          <t>Ibuprofen</t>
        </is>
      </c>
      <c r="E27" s="22" t="n">
        <v>600</v>
      </c>
      <c r="F27" s="23" t="inlineStr">
        <is>
          <t>mg</t>
        </is>
      </c>
      <c r="G27" s="23" t="n"/>
      <c r="H27" s="23" t="n"/>
      <c r="I27" s="23" t="inlineStr">
        <is>
          <t>Nein</t>
        </is>
      </c>
      <c r="J27" s="23" t="inlineStr">
        <is>
          <t>laufend</t>
        </is>
      </c>
      <c r="K27" s="23" t="inlineStr">
        <is>
          <t>Ibuprofen 600 mg 3x tägl.</t>
        </is>
      </c>
      <c r="L27" s="23" t="inlineStr">
        <is>
          <t>5_FollowUp.docx</t>
        </is>
      </c>
      <c r="M27" s="23" t="inlineStr">
        <is>
          <t>Dauermedikation:
Ibuprofen 600 mg 3x tägl.</t>
        </is>
      </c>
      <c r="N27" s="23" t="inlineStr">
        <is>
          <t>Als Dauermedikation aufgeführt; dreimal täglich ohne dokumentierten gleichmäßigen Stundenabstand.</t>
        </is>
      </c>
    </row>
    <row r="28">
      <c r="A28" s="22" t="n">
        <v>6</v>
      </c>
      <c r="B28" s="23" t="inlineStr">
        <is>
          <t>SpA</t>
        </is>
      </c>
      <c r="C28" s="23" t="inlineStr">
        <is>
          <t>Baseline</t>
        </is>
      </c>
      <c r="D28" s="23" t="inlineStr">
        <is>
          <t>Etoricoxib</t>
        </is>
      </c>
      <c r="E28" s="22" t="n">
        <v>90</v>
      </c>
      <c r="F28" s="23" t="inlineStr">
        <is>
          <t>mg</t>
        </is>
      </c>
      <c r="G28" s="23" t="n"/>
      <c r="H28" s="23" t="n"/>
      <c r="I28" s="23" t="inlineStr">
        <is>
          <t>Unklar</t>
        </is>
      </c>
      <c r="J28" s="23" t="inlineStr">
        <is>
          <t>beendet</t>
        </is>
      </c>
      <c r="K28" s="23" t="inlineStr">
        <is>
          <t>Etoricoxib 90 mg von 03/2020-05/2020 (keine ausreichende Wirkung)</t>
        </is>
      </c>
      <c r="L28" s="23" t="inlineStr">
        <is>
          <t>6_Baseline.docx</t>
        </is>
      </c>
      <c r="M28" s="23" t="inlineStr">
        <is>
          <t>Etoricoxib 90 mg von 03/2020-05/2020 (keine ausreichende Wirkung)</t>
        </is>
      </c>
      <c r="N28" s="23" t="n"/>
    </row>
    <row r="29">
      <c r="A29" s="22" t="n">
        <v>6</v>
      </c>
      <c r="B29" s="23" t="inlineStr">
        <is>
          <t>SpA</t>
        </is>
      </c>
      <c r="C29" s="23" t="inlineStr">
        <is>
          <t>Baseline</t>
        </is>
      </c>
      <c r="D29" s="23" t="inlineStr">
        <is>
          <t>Ibuprofen</t>
        </is>
      </c>
      <c r="E29" s="22" t="n">
        <v>600</v>
      </c>
      <c r="F29" s="23" t="inlineStr">
        <is>
          <t>mg</t>
        </is>
      </c>
      <c r="G29" s="23" t="n"/>
      <c r="H29" s="23" t="n"/>
      <c r="I29" s="23" t="inlineStr">
        <is>
          <t>Nein</t>
        </is>
      </c>
      <c r="J29" s="23" t="inlineStr">
        <is>
          <t>unklar</t>
        </is>
      </c>
      <c r="K29" s="23" t="inlineStr">
        <is>
          <t>Ibuprofen 600 mg 1-1-1 für mehr als sechs Wochen (ohne ausreichende Wirkung)</t>
        </is>
      </c>
      <c r="L29" s="23" t="inlineStr">
        <is>
          <t>6_Baseline.docx</t>
        </is>
      </c>
      <c r="M29" s="23" t="inlineStr">
        <is>
          <t>Ibuprofen 600 mg 1-1-1 für mehr als sechs Wochen (ohne ausreichende Wirkung)</t>
        </is>
      </c>
      <c r="N29" s="23" t="inlineStr">
        <is>
          <t>Unter bisheriger Therapie aufgeführt; Fortführung zum Besuch nicht eindeutig dokumentiert.</t>
        </is>
      </c>
    </row>
    <row r="30">
      <c r="A30" s="22" t="n">
        <v>6</v>
      </c>
      <c r="B30" s="23" t="inlineStr">
        <is>
          <t>SpA</t>
        </is>
      </c>
      <c r="C30" s="23" t="inlineStr">
        <is>
          <t>Baseline</t>
        </is>
      </c>
      <c r="D30" s="23" t="inlineStr">
        <is>
          <t>Methotrexat</t>
        </is>
      </c>
      <c r="E30" s="22" t="n">
        <v>15</v>
      </c>
      <c r="F30" s="23" t="inlineStr">
        <is>
          <t>mg</t>
        </is>
      </c>
      <c r="G30" s="22" t="n">
        <v>1</v>
      </c>
      <c r="H30" s="23" t="inlineStr">
        <is>
          <t>Wochen</t>
        </is>
      </c>
      <c r="I30" s="23" t="inlineStr">
        <is>
          <t>Nein</t>
        </is>
      </c>
      <c r="J30" s="23" t="inlineStr">
        <is>
          <t>geplant</t>
        </is>
      </c>
      <c r="K30" s="23" t="inlineStr">
        <is>
          <t>MTX 15mg 1x/pro Woche</t>
        </is>
      </c>
      <c r="L30" s="23" t="inlineStr">
        <is>
          <t>6_Baseline.docx</t>
        </is>
      </c>
      <c r="M30" s="23" t="inlineStr">
        <is>
          <t>Aufgrund der rez. periph. Gelenkaffektion empfehlen wir den Beginn einer immunsuppressiven Basistherapie mittels MTX 15mg 1x/pro Woche + Folsäure 5mg am Folgetag.</t>
        </is>
      </c>
      <c r="N30" s="23" t="n"/>
    </row>
    <row r="31">
      <c r="A31" s="22" t="n">
        <v>6</v>
      </c>
      <c r="B31" s="23" t="inlineStr">
        <is>
          <t>SpA</t>
        </is>
      </c>
      <c r="C31" s="23" t="inlineStr">
        <is>
          <t>Baseline</t>
        </is>
      </c>
      <c r="D31" s="23" t="inlineStr">
        <is>
          <t>Folsäure</t>
        </is>
      </c>
      <c r="E31" s="22" t="n">
        <v>5</v>
      </c>
      <c r="F31" s="23" t="inlineStr">
        <is>
          <t>mg</t>
        </is>
      </c>
      <c r="G31" s="22" t="n">
        <v>1</v>
      </c>
      <c r="H31" s="23" t="inlineStr">
        <is>
          <t>Wochen</t>
        </is>
      </c>
      <c r="I31" s="23" t="inlineStr">
        <is>
          <t>Nein</t>
        </is>
      </c>
      <c r="J31" s="23" t="inlineStr">
        <is>
          <t>geplant</t>
        </is>
      </c>
      <c r="K31" s="23" t="inlineStr">
        <is>
          <t>Folsäure 5mg am Folgetag</t>
        </is>
      </c>
      <c r="L31" s="23" t="inlineStr">
        <is>
          <t>6_Baseline.docx</t>
        </is>
      </c>
      <c r="M31" s="23" t="inlineStr">
        <is>
          <t>Aufgrund der rez. periph. Gelenkaffektion empfehlen wir den Beginn einer immunsuppressiven Basistherapie mittels MTX 15mg 1x/pro Woche + Folsäure 5mg am Folgetag.</t>
        </is>
      </c>
      <c r="N31" s="23" t="n"/>
    </row>
    <row r="32">
      <c r="A32" s="22" t="n">
        <v>6</v>
      </c>
      <c r="B32" s="23" t="inlineStr">
        <is>
          <t>SpA</t>
        </is>
      </c>
      <c r="C32" s="23" t="inlineStr">
        <is>
          <t>Baseline</t>
        </is>
      </c>
      <c r="D32" s="23" t="inlineStr">
        <is>
          <t>Prednisolon</t>
        </is>
      </c>
      <c r="E32" s="23" t="n"/>
      <c r="F32" s="23" t="n"/>
      <c r="G32" s="23" t="n"/>
      <c r="H32" s="23" t="n"/>
      <c r="I32" s="23" t="inlineStr">
        <is>
          <t>Nein</t>
        </is>
      </c>
      <c r="J32" s="23" t="inlineStr">
        <is>
          <t>geplant</t>
        </is>
      </c>
      <c r="K32" s="23" t="inlineStr">
        <is>
          <t>beginnend mit 20mg 1-0-0 für eine Woche, dann wochenweise Reduktion um 2,5mg bis zum vollständigen Ausschleichen</t>
        </is>
      </c>
      <c r="L32" s="23" t="inlineStr">
        <is>
          <t>6_Baseline.docx</t>
        </is>
      </c>
      <c r="M32" s="23" t="inlineStr">
        <is>
          <t>Zusätzlich empfehlen wir zur akuten Therapie der Daktylitis einen Prednisolonstoß, beginnend mit 20mg 1-0-0 für eine Woche, dann wochenweise Reduktion um 2,5mg bis zum vollständigen Ausschleichen.</t>
        </is>
      </c>
      <c r="N32" s="23" t="inlineStr">
        <is>
          <t>Ausschleichschema; keine konstante Dauerdosis.</t>
        </is>
      </c>
    </row>
    <row r="33">
      <c r="A33" s="22" t="n">
        <v>6</v>
      </c>
      <c r="B33" s="23" t="inlineStr">
        <is>
          <t>SpA</t>
        </is>
      </c>
      <c r="C33" s="23" t="inlineStr">
        <is>
          <t>Follow-up</t>
        </is>
      </c>
      <c r="D33" s="23" t="inlineStr">
        <is>
          <t>Adalimumab</t>
        </is>
      </c>
      <c r="E33" s="22" t="n">
        <v>40</v>
      </c>
      <c r="F33" s="23" t="inlineStr">
        <is>
          <t>mg</t>
        </is>
      </c>
      <c r="G33" s="22" t="n">
        <v>2</v>
      </c>
      <c r="H33" s="23" t="inlineStr">
        <is>
          <t>Wochen</t>
        </is>
      </c>
      <c r="I33" s="23" t="inlineStr">
        <is>
          <t>Nein</t>
        </is>
      </c>
      <c r="J33" s="23" t="inlineStr">
        <is>
          <t>laufend</t>
        </is>
      </c>
      <c r="K33" s="23" t="inlineStr">
        <is>
          <t>Adalimumab 40mg alle 2 Wo. seit 8/20</t>
        </is>
      </c>
      <c r="L33" s="23" t="inlineStr">
        <is>
          <t>6_FollowUp.docx</t>
        </is>
      </c>
      <c r="M33" s="23" t="inlineStr">
        <is>
          <t>Adalimumab 40mg alle 2 Wo. seit 8/20</t>
        </is>
      </c>
      <c r="N33" s="23" t="n"/>
    </row>
    <row r="34">
      <c r="A34" s="22" t="n">
        <v>6</v>
      </c>
      <c r="B34" s="23" t="inlineStr">
        <is>
          <t>SpA</t>
        </is>
      </c>
      <c r="C34" s="23" t="inlineStr">
        <is>
          <t>Follow-up</t>
        </is>
      </c>
      <c r="D34" s="23" t="inlineStr">
        <is>
          <t>Methotrexat</t>
        </is>
      </c>
      <c r="E34" s="22" t="n">
        <v>15</v>
      </c>
      <c r="F34" s="23" t="inlineStr">
        <is>
          <t>mg</t>
        </is>
      </c>
      <c r="G34" s="22" t="n">
        <v>1</v>
      </c>
      <c r="H34" s="23" t="inlineStr">
        <is>
          <t>Wochen</t>
        </is>
      </c>
      <c r="I34" s="23" t="inlineStr">
        <is>
          <t>Nein</t>
        </is>
      </c>
      <c r="J34" s="23" t="inlineStr">
        <is>
          <t>pausiert</t>
        </is>
      </c>
      <c r="K34" s="23" t="inlineStr">
        <is>
          <t>Methotrexat 15 mg pro woche (seit 05/2020)</t>
        </is>
      </c>
      <c r="L34" s="23" t="inlineStr">
        <is>
          <t>6_FollowUp.docx</t>
        </is>
      </c>
      <c r="M34" s="23" t="inlineStr">
        <is>
          <t>aktuelle Therapie: Methotrexat 15 mg pro woche (seit 05/2020); Folsäure 5 mg am folgen Tag; Adalimumab 40mg alle 2 Wochen (seit 08/20)
Methotrexat 15 mg bis ca. Anfang Juni 2020 (selbstständig abgesetzt)
Gemeinsam wurde mit dem Patienten entschieden MTX zu pausieren.</t>
        </is>
      </c>
      <c r="N34" s="23" t="inlineStr">
        <is>
          <t>Die Auflistung als aktuelle Therapie widerspricht der ausdrücklich dokumentierten Einnahmepause; maßgeblich ist die abschließende Entscheidung zur Pause.
Therapiehistorie nennt Anfang Juni 2020; die Anamnese nennt Anfang Juni ohne Jahresangabe. Absetzjahr nicht eindeutig.</t>
        </is>
      </c>
    </row>
    <row r="35">
      <c r="A35" s="22" t="n">
        <v>6</v>
      </c>
      <c r="B35" s="23" t="inlineStr">
        <is>
          <t>SpA</t>
        </is>
      </c>
      <c r="C35" s="23" t="inlineStr">
        <is>
          <t>Follow-up</t>
        </is>
      </c>
      <c r="D35" s="23" t="inlineStr">
        <is>
          <t>Folsäure</t>
        </is>
      </c>
      <c r="E35" s="22" t="n">
        <v>5</v>
      </c>
      <c r="F35" s="23" t="inlineStr">
        <is>
          <t>mg</t>
        </is>
      </c>
      <c r="G35" s="22" t="n">
        <v>1</v>
      </c>
      <c r="H35" s="23" t="inlineStr">
        <is>
          <t>Wochen</t>
        </is>
      </c>
      <c r="I35" s="23" t="inlineStr">
        <is>
          <t>Nein</t>
        </is>
      </c>
      <c r="J35" s="23" t="inlineStr">
        <is>
          <t>unklar</t>
        </is>
      </c>
      <c r="K35" s="23" t="inlineStr">
        <is>
          <t>Folsäure 5 mg am folgen Tag</t>
        </is>
      </c>
      <c r="L35" s="23" t="inlineStr">
        <is>
          <t>6_FollowUp.docx</t>
        </is>
      </c>
      <c r="M35" s="23" t="inlineStr">
        <is>
          <t>aktuelle Therapie: Methotrexat 15 mg pro woche (seit 05/2020); Folsäure 5 mg am folgen Tag; Adalimumab 40mg alle 2 Wochen (seit 08/20)</t>
        </is>
      </c>
      <c r="N35" s="23" t="inlineStr">
        <is>
          <t>Als Begleitmedikation zu wöchentlichem Methotrexat aufgeführt; Fortführung nach Methotrexat-Pause nicht geklärt.</t>
        </is>
      </c>
    </row>
    <row r="36">
      <c r="A36" s="22" t="n">
        <v>7</v>
      </c>
      <c r="B36" s="23" t="inlineStr">
        <is>
          <t>SpA</t>
        </is>
      </c>
      <c r="C36" s="23" t="inlineStr">
        <is>
          <t>Baseline</t>
        </is>
      </c>
      <c r="D36" s="23" t="inlineStr">
        <is>
          <t>Adalimumab</t>
        </is>
      </c>
      <c r="E36" s="22" t="n">
        <v>40</v>
      </c>
      <c r="F36" s="23" t="inlineStr">
        <is>
          <t>mg</t>
        </is>
      </c>
      <c r="G36" s="22" t="n">
        <v>2</v>
      </c>
      <c r="H36" s="23" t="inlineStr">
        <is>
          <t>Wochen</t>
        </is>
      </c>
      <c r="I36" s="23" t="inlineStr">
        <is>
          <t>Nein</t>
        </is>
      </c>
      <c r="J36" s="23" t="inlineStr">
        <is>
          <t>laufend</t>
        </is>
      </c>
      <c r="K36" s="23" t="inlineStr">
        <is>
          <t>Adalimumab 40 mg/2 Wochen s.c. seit 05/2020</t>
        </is>
      </c>
      <c r="L36" s="23" t="inlineStr">
        <is>
          <t>7_Baseline.docx</t>
        </is>
      </c>
      <c r="M36" s="23" t="inlineStr">
        <is>
          <t>Adalimumab 40 mg/2 Wochen s.c. seit 05/2020
Beginn einer Therapie mit Adalimumab 40 mg alle 2 Wochen subkutan</t>
        </is>
      </c>
      <c r="N36" s="23" t="inlineStr">
        <is>
          <t>Als aktuelle Therapie seit Mai 2020 dokumentiert; im selben Brief wird die Einleitung beschrieben. Beginn nach dem Referenzbesuch vom 30.04.2020.</t>
        </is>
      </c>
    </row>
    <row r="37">
      <c r="A37" s="22" t="n">
        <v>7</v>
      </c>
      <c r="B37" s="23" t="inlineStr">
        <is>
          <t>SpA</t>
        </is>
      </c>
      <c r="C37" s="23" t="inlineStr">
        <is>
          <t>Baseline</t>
        </is>
      </c>
      <c r="D37" s="23" t="inlineStr">
        <is>
          <t>Methocarbamol</t>
        </is>
      </c>
      <c r="E37" s="22" t="n">
        <v>750</v>
      </c>
      <c r="F37" s="23" t="inlineStr">
        <is>
          <t>mg</t>
        </is>
      </c>
      <c r="G37" s="23" t="n"/>
      <c r="H37" s="23" t="n"/>
      <c r="I37" s="23" t="inlineStr">
        <is>
          <t>Ja</t>
        </is>
      </c>
      <c r="J37" s="23" t="inlineStr">
        <is>
          <t>laufend</t>
        </is>
      </c>
      <c r="K37" s="23" t="inlineStr">
        <is>
          <t>Methocarbamol 750 mg b. Bed.</t>
        </is>
      </c>
      <c r="L37" s="23" t="inlineStr">
        <is>
          <t>7_Baseline.docx</t>
        </is>
      </c>
      <c r="M37" s="23" t="inlineStr">
        <is>
          <t>Methocarbamol 750 mg b. Bed.</t>
        </is>
      </c>
      <c r="N37" s="23" t="n"/>
    </row>
    <row r="38">
      <c r="A38" s="22" t="n">
        <v>7</v>
      </c>
      <c r="B38" s="23" t="inlineStr">
        <is>
          <t>SpA</t>
        </is>
      </c>
      <c r="C38" s="23" t="inlineStr">
        <is>
          <t>Baseline</t>
        </is>
      </c>
      <c r="D38" s="23" t="inlineStr">
        <is>
          <t>Ibuprofen</t>
        </is>
      </c>
      <c r="E38" s="23" t="n"/>
      <c r="F38" s="23" t="n"/>
      <c r="G38" s="23" t="n"/>
      <c r="H38" s="23" t="n"/>
      <c r="I38" s="23" t="inlineStr">
        <is>
          <t>Ja</t>
        </is>
      </c>
      <c r="J38" s="23" t="inlineStr">
        <is>
          <t>laufend</t>
        </is>
      </c>
      <c r="K38" s="23" t="inlineStr">
        <is>
          <t>Ibuprofen bedarfsweise bei Schmerzen (max. 3-4x tgl.), unter Kontrollen der Leber- und Nierenfunktionsparameter bei regelmäßiger Einnahme</t>
        </is>
      </c>
      <c r="L38" s="23" t="inlineStr">
        <is>
          <t>7_Baseline.docx</t>
        </is>
      </c>
      <c r="M38" s="23" t="inlineStr">
        <is>
          <t>Ibuprofen bedarfsweise bei Schmerzen (max. 3-4x tgl.), unter Kontrollen der Leber- und Nierenfunktionsparameter bei regelmäßiger Einnahme
Z.n. Ibuprofen 600 mg fest für 8 Wochen, keine ausreichende Linderung</t>
        </is>
      </c>
      <c r="N38" s="23" t="inlineStr">
        <is>
          <t>Frühere feste Einnahme von 600 mg über acht Wochen beendet; diese Dosis ist der aktuellen Bedarfsverordnung nicht eindeutig zugeordnet.</t>
        </is>
      </c>
    </row>
    <row r="39">
      <c r="A39" s="22" t="n">
        <v>7</v>
      </c>
      <c r="B39" s="23" t="inlineStr">
        <is>
          <t>SpA</t>
        </is>
      </c>
      <c r="C39" s="23" t="inlineStr">
        <is>
          <t>Baseline</t>
        </is>
      </c>
      <c r="D39" s="23" t="inlineStr">
        <is>
          <t>Etoricoxib</t>
        </is>
      </c>
      <c r="E39" s="22" t="n">
        <v>60</v>
      </c>
      <c r="F39" s="23" t="inlineStr">
        <is>
          <t>mg</t>
        </is>
      </c>
      <c r="G39" s="23" t="n"/>
      <c r="H39" s="23" t="n"/>
      <c r="I39" s="23" t="inlineStr">
        <is>
          <t>Nein</t>
        </is>
      </c>
      <c r="J39" s="23" t="inlineStr">
        <is>
          <t>beendet</t>
        </is>
      </c>
      <c r="K39" s="23" t="inlineStr">
        <is>
          <t>Z.n. Etoricoxib 60 mg fest für 8 Wochen, kein Therapie-Ansprechen</t>
        </is>
      </c>
      <c r="L39" s="23" t="inlineStr">
        <is>
          <t>7_Baseline.docx</t>
        </is>
      </c>
      <c r="M39" s="23" t="inlineStr">
        <is>
          <t>Z.n. Etoricoxib 60 mg fest für 8 Wochen, kein Therapie-Ansprechen</t>
        </is>
      </c>
      <c r="N39" s="23" t="n"/>
    </row>
    <row r="40">
      <c r="A40" s="22" t="n">
        <v>7</v>
      </c>
      <c r="B40" s="23" t="inlineStr">
        <is>
          <t>SpA</t>
        </is>
      </c>
      <c r="C40" s="23" t="inlineStr">
        <is>
          <t>Follow-up</t>
        </is>
      </c>
      <c r="D40" s="23" t="inlineStr">
        <is>
          <t>Adalimumab</t>
        </is>
      </c>
      <c r="E40" s="22" t="n">
        <v>40</v>
      </c>
      <c r="F40" s="23" t="inlineStr">
        <is>
          <t>mg</t>
        </is>
      </c>
      <c r="G40" s="22" t="n">
        <v>2</v>
      </c>
      <c r="H40" s="23" t="inlineStr">
        <is>
          <t>Wochen</t>
        </is>
      </c>
      <c r="I40" s="23" t="inlineStr">
        <is>
          <t>Nein</t>
        </is>
      </c>
      <c r="J40" s="23" t="inlineStr">
        <is>
          <t>laufend</t>
        </is>
      </c>
      <c r="K40" s="23" t="inlineStr">
        <is>
          <t>Adalimumab 40 mg/2 Wochen s.c. seit 05/2020</t>
        </is>
      </c>
      <c r="L40" s="23" t="inlineStr">
        <is>
          <t>7_FollowUp.docx</t>
        </is>
      </c>
      <c r="M40" s="23" t="inlineStr">
        <is>
          <t>Adalimumab 40 mg/2 Wochen s.c. seit 05/2020
Wir empfehlen aktuell die unveränderte Fortsetzung der Therapie mit Adalimumab 40 mg s.c. alle 14 Tage und erbitten regelmäßige laborchemische Kontrollen gemäß der Richtlinien der DGRh.</t>
        </is>
      </c>
      <c r="N40" s="23" t="n"/>
    </row>
    <row r="41">
      <c r="A41" s="22" t="n">
        <v>7</v>
      </c>
      <c r="B41" s="23" t="inlineStr">
        <is>
          <t>SpA</t>
        </is>
      </c>
      <c r="C41" s="23" t="inlineStr">
        <is>
          <t>Follow-up</t>
        </is>
      </c>
      <c r="D41" s="23" t="inlineStr">
        <is>
          <t>Methocarbamol</t>
        </is>
      </c>
      <c r="E41" s="22" t="n">
        <v>750</v>
      </c>
      <c r="F41" s="23" t="inlineStr">
        <is>
          <t>mg</t>
        </is>
      </c>
      <c r="G41" s="23" t="n"/>
      <c r="H41" s="23" t="n"/>
      <c r="I41" s="23" t="inlineStr">
        <is>
          <t>Ja</t>
        </is>
      </c>
      <c r="J41" s="23" t="inlineStr">
        <is>
          <t>laufend</t>
        </is>
      </c>
      <c r="K41" s="23" t="inlineStr">
        <is>
          <t>Methocarbamol 750 mg b. Bed.</t>
        </is>
      </c>
      <c r="L41" s="23" t="inlineStr">
        <is>
          <t>7_FollowUp.docx</t>
        </is>
      </c>
      <c r="M41" s="23" t="inlineStr">
        <is>
          <t>Methocarbamol 750 mg b. Bed.
Einmalig seit der letzten Vorstellung sei Methocarbamol eingenommen worden.</t>
        </is>
      </c>
      <c r="N41" s="23" t="n"/>
    </row>
    <row r="42">
      <c r="A42" s="22" t="n">
        <v>8</v>
      </c>
      <c r="B42" s="23" t="inlineStr">
        <is>
          <t>SpA</t>
        </is>
      </c>
      <c r="C42" s="23" t="inlineStr">
        <is>
          <t>Baseline</t>
        </is>
      </c>
      <c r="D42" s="23" t="inlineStr">
        <is>
          <t>Diclofenac</t>
        </is>
      </c>
      <c r="E42" s="22" t="n">
        <v>75</v>
      </c>
      <c r="F42" s="23" t="inlineStr">
        <is>
          <t>mg</t>
        </is>
      </c>
      <c r="G42" s="23" t="n"/>
      <c r="H42" s="23" t="n"/>
      <c r="I42" s="23" t="inlineStr">
        <is>
          <t>Unklar</t>
        </is>
      </c>
      <c r="J42" s="23" t="inlineStr">
        <is>
          <t>laufend</t>
        </is>
      </c>
      <c r="K42" s="23" t="inlineStr">
        <is>
          <t>Diclofenac 75mg 1-0-1 (seit ca. 2 Wochen regelmäßig, aber vorher bei Bedarf)</t>
        </is>
      </c>
      <c r="L42" s="23" t="inlineStr">
        <is>
          <t>8_Baseline.docx</t>
        </is>
      </c>
      <c r="M42" s="23" t="inlineStr">
        <is>
          <t>Diclofenac 75mg 1-0-1 (seit ca. 2 Wochen regelmäßig, aber vorher bei Bedarf)
Aktuell bekomme er eine Therapie mit Diclofenac 75 mg 2 x Tag bei Bedarf.</t>
        </is>
      </c>
      <c r="N42" s="23" t="inlineStr">
        <is>
          <t>Widersprüchliche Angaben zur aktuellen regelmäßigen beziehungsweise bedarfsweisen Einnahme; zweimal täglich dokumentiert.</t>
        </is>
      </c>
    </row>
    <row r="43">
      <c r="A43" s="22" t="n">
        <v>8</v>
      </c>
      <c r="B43" s="23" t="inlineStr">
        <is>
          <t>SpA</t>
        </is>
      </c>
      <c r="C43" s="23" t="inlineStr">
        <is>
          <t>Baseline</t>
        </is>
      </c>
      <c r="D43" s="23" t="inlineStr">
        <is>
          <t>Adalimumab</t>
        </is>
      </c>
      <c r="E43" s="22" t="n">
        <v>40</v>
      </c>
      <c r="F43" s="23" t="inlineStr">
        <is>
          <t>mg</t>
        </is>
      </c>
      <c r="G43" s="22" t="n">
        <v>2</v>
      </c>
      <c r="H43" s="23" t="inlineStr">
        <is>
          <t>Wochen</t>
        </is>
      </c>
      <c r="I43" s="23" t="inlineStr">
        <is>
          <t>Nein</t>
        </is>
      </c>
      <c r="J43" s="23" t="inlineStr">
        <is>
          <t>geplant</t>
        </is>
      </c>
      <c r="K43" s="23" t="inlineStr">
        <is>
          <t>Adalimumab 40mg alle 2 Wochen</t>
        </is>
      </c>
      <c r="L43" s="23" t="inlineStr">
        <is>
          <t>8_Baseline.docx</t>
        </is>
      </c>
      <c r="M43" s="23" t="inlineStr">
        <is>
          <t>Wir rezeptierten nach Ausschluss einer latenten Tuberkulose und Hep B/C Adalimumab 40mg alle 2 Wochen.</t>
        </is>
      </c>
      <c r="N43" s="23" t="inlineStr">
        <is>
          <t>Therapiebeginn verordnet; eine bereits erfolgte erste Anwendung ist nicht dokumentiert.</t>
        </is>
      </c>
    </row>
    <row r="44">
      <c r="A44" s="22" t="n">
        <v>8</v>
      </c>
      <c r="B44" s="23" t="inlineStr">
        <is>
          <t>SpA</t>
        </is>
      </c>
      <c r="C44" s="23" t="inlineStr">
        <is>
          <t>Follow-up</t>
        </is>
      </c>
      <c r="D44" s="23" t="inlineStr">
        <is>
          <t>Adalimumab</t>
        </is>
      </c>
      <c r="E44" s="22" t="n">
        <v>40</v>
      </c>
      <c r="F44" s="23" t="inlineStr">
        <is>
          <t>mg</t>
        </is>
      </c>
      <c r="G44" s="22" t="n">
        <v>2</v>
      </c>
      <c r="H44" s="23" t="inlineStr">
        <is>
          <t>Wochen</t>
        </is>
      </c>
      <c r="I44" s="23" t="inlineStr">
        <is>
          <t>Nein</t>
        </is>
      </c>
      <c r="J44" s="23" t="inlineStr">
        <is>
          <t>laufend</t>
        </is>
      </c>
      <c r="K44" s="23" t="inlineStr">
        <is>
          <t>Adalimumab 40mg alle 2 Wo.</t>
        </is>
      </c>
      <c r="L44" s="23" t="inlineStr">
        <is>
          <t>8_FollowUp.docx</t>
        </is>
      </c>
      <c r="M44" s="23" t="inlineStr">
        <is>
          <t>Wir empfehlen daher eine Fortführung der Biologika-Therapie mit Adalimumab 40mg alle 2 Wo. unter regelm. Kontrollen nach Maßgabe der DGRh.</t>
        </is>
      </c>
      <c r="N44" s="23" t="n"/>
    </row>
    <row r="45">
      <c r="A45" s="22" t="n">
        <v>8</v>
      </c>
      <c r="B45" s="23" t="inlineStr">
        <is>
          <t>SpA</t>
        </is>
      </c>
      <c r="C45" s="23" t="inlineStr">
        <is>
          <t>Follow-up</t>
        </is>
      </c>
      <c r="D45" s="23" t="inlineStr">
        <is>
          <t>Diclofenac</t>
        </is>
      </c>
      <c r="E45" s="22" t="n">
        <v>75</v>
      </c>
      <c r="F45" s="23" t="inlineStr">
        <is>
          <t>mg</t>
        </is>
      </c>
      <c r="G45" s="23" t="n"/>
      <c r="H45" s="23" t="n"/>
      <c r="I45" s="23" t="inlineStr">
        <is>
          <t>Nein</t>
        </is>
      </c>
      <c r="J45" s="23" t="inlineStr">
        <is>
          <t>laufend</t>
        </is>
      </c>
      <c r="K45" s="23" t="inlineStr">
        <is>
          <t>Diclofenac 75 mg 1-0-1 (seit ca. 2 Wochen regelmäßig, aber vorher bei Bedarf)</t>
        </is>
      </c>
      <c r="L45" s="23" t="inlineStr">
        <is>
          <t>8_FollowUp.docx</t>
        </is>
      </c>
      <c r="M45" s="23" t="inlineStr">
        <is>
          <t>Diclofenac 75 mg 1-0-1 (seit ca. 2 Wochen regelmäßig, aber vorher bei Bedarf)</t>
        </is>
      </c>
      <c r="N45" s="23" t="inlineStr">
        <is>
          <t>Laut Dauermedikationsliste zweimal täglich.</t>
        </is>
      </c>
    </row>
    <row r="46">
      <c r="A46" s="22" t="n">
        <v>9</v>
      </c>
      <c r="B46" s="23" t="inlineStr">
        <is>
          <t>SpA</t>
        </is>
      </c>
      <c r="C46" s="23" t="inlineStr">
        <is>
          <t>Baseline</t>
        </is>
      </c>
      <c r="D46" s="23" t="inlineStr">
        <is>
          <t>Diclofenac</t>
        </is>
      </c>
      <c r="E46" s="23" t="n"/>
      <c r="F46" s="23" t="n"/>
      <c r="G46" s="23" t="n"/>
      <c r="H46" s="23" t="n"/>
      <c r="I46" s="23" t="inlineStr">
        <is>
          <t>Unklar</t>
        </is>
      </c>
      <c r="J46" s="23" t="inlineStr">
        <is>
          <t>laufend</t>
        </is>
      </c>
      <c r="K46" s="23" t="inlineStr">
        <is>
          <t>Diclofenac 2x tgl; Diclofenac (unbekannte Dosis) bei Bedarf</t>
        </is>
      </c>
      <c r="L46" s="23" t="inlineStr">
        <is>
          <t>9_Baseline.docx</t>
        </is>
      </c>
      <c r="M46" s="23" t="inlineStr">
        <is>
          <t>Diclofenac 2x tgl
Er nehme Diclofenac (unbekannte Dosis) bei Bedarf mit geringer Ansprache der Beschwerden auf die Therapie.</t>
        </is>
      </c>
      <c r="N46" s="23" t="inlineStr">
        <is>
          <t>Widersprüchliche Einnahmeangaben: zweimal täglich gegenüber bei Bedarf; Dosis unbekannt.</t>
        </is>
      </c>
    </row>
    <row r="47">
      <c r="A47" s="22" t="n">
        <v>9</v>
      </c>
      <c r="B47" s="23" t="inlineStr">
        <is>
          <t>SpA</t>
        </is>
      </c>
      <c r="C47" s="23" t="inlineStr">
        <is>
          <t>Baseline</t>
        </is>
      </c>
      <c r="D47" s="23" t="inlineStr">
        <is>
          <t>Etoricoxib</t>
        </is>
      </c>
      <c r="E47" s="22" t="n">
        <v>90</v>
      </c>
      <c r="F47" s="23" t="inlineStr">
        <is>
          <t>mg</t>
        </is>
      </c>
      <c r="G47" s="22" t="n">
        <v>1</v>
      </c>
      <c r="H47" s="23" t="inlineStr">
        <is>
          <t>Tage</t>
        </is>
      </c>
      <c r="I47" s="23" t="inlineStr">
        <is>
          <t>Nein</t>
        </is>
      </c>
      <c r="J47" s="23" t="inlineStr">
        <is>
          <t>laufend</t>
        </is>
      </c>
      <c r="K47" s="23" t="inlineStr">
        <is>
          <t>Arcoxia 90 mg 1-0-0 (seit 15.01.2020)</t>
        </is>
      </c>
      <c r="L47" s="23" t="inlineStr">
        <is>
          <t>9_Baseline.docx</t>
        </is>
      </c>
      <c r="M47" s="23" t="inlineStr">
        <is>
          <t>Arcoxia 90 mg 1-0-0 (seit 15.01.2020)
Eine Therapie mit einem zweiten NSAR (Arcoxia) wird eingeleitet.</t>
        </is>
      </c>
      <c r="N47" s="23" t="n"/>
    </row>
    <row r="48">
      <c r="A48" s="22" t="n">
        <v>9</v>
      </c>
      <c r="B48" s="23" t="inlineStr">
        <is>
          <t>SpA</t>
        </is>
      </c>
      <c r="C48" s="23" t="inlineStr">
        <is>
          <t>Baseline</t>
        </is>
      </c>
      <c r="D48" s="23" t="inlineStr">
        <is>
          <t>Isoniazid</t>
        </is>
      </c>
      <c r="E48" s="22" t="n">
        <v>300</v>
      </c>
      <c r="F48" s="23" t="inlineStr">
        <is>
          <t>mg</t>
        </is>
      </c>
      <c r="G48" s="22" t="n">
        <v>1</v>
      </c>
      <c r="H48" s="23" t="inlineStr">
        <is>
          <t>Tage</t>
        </is>
      </c>
      <c r="I48" s="23" t="inlineStr">
        <is>
          <t>Nein</t>
        </is>
      </c>
      <c r="J48" s="23" t="inlineStr">
        <is>
          <t>laufend</t>
        </is>
      </c>
      <c r="K48" s="23" t="inlineStr">
        <is>
          <t>Isoniazid 300 mg 1-0-0 (seit 15.01.2020); für insgesamt 9 Monate</t>
        </is>
      </c>
      <c r="L48" s="23" t="inlineStr">
        <is>
          <t>9_Baseline.docx</t>
        </is>
      </c>
      <c r="M48" s="23" t="inlineStr">
        <is>
          <t>Isoniazid 300 mg 1-0-0 (seit 15.01.2020)
Aufgrund der Positivität für Quantiferon TB wird eine Prophylaxe mit Isozid 300 mg 1-0-0 begonnen (für insgesamt 9 Monate).</t>
        </is>
      </c>
      <c r="N48" s="23" t="inlineStr">
        <is>
          <t>Tuberkuloseprophylaxe vor erwogener Biologikatherapie; laut Anamnese zuvor noch nicht begonnen, im Behandlungsplan neu eingeleitet.</t>
        </is>
      </c>
    </row>
    <row r="49">
      <c r="A49" s="22" t="n">
        <v>9</v>
      </c>
      <c r="B49" s="23" t="inlineStr">
        <is>
          <t>SpA</t>
        </is>
      </c>
      <c r="C49" s="23" t="inlineStr">
        <is>
          <t>Follow-up</t>
        </is>
      </c>
      <c r="D49" s="23" t="inlineStr">
        <is>
          <t>Secukinumab</t>
        </is>
      </c>
      <c r="E49" s="22" t="n">
        <v>150</v>
      </c>
      <c r="F49" s="23" t="inlineStr">
        <is>
          <t>mg</t>
        </is>
      </c>
      <c r="G49" s="22" t="n">
        <v>4</v>
      </c>
      <c r="H49" s="23" t="inlineStr">
        <is>
          <t>Wochen</t>
        </is>
      </c>
      <c r="I49" s="23" t="inlineStr">
        <is>
          <t>Nein</t>
        </is>
      </c>
      <c r="J49" s="23" t="inlineStr">
        <is>
          <t>laufend</t>
        </is>
      </c>
      <c r="K49" s="23" t="inlineStr">
        <is>
          <t>Secukinumab 150 mg 1alle 4 Wochen</t>
        </is>
      </c>
      <c r="L49" s="23" t="inlineStr">
        <is>
          <t>9_FollowUp.docx</t>
        </is>
      </c>
      <c r="M49" s="23" t="inlineStr">
        <is>
          <t>Secukinumab 150 mg 1alle 4 Wochen unter klinischen und serologischen Kontrollen nach Maßgabe der DGRh alle 3 Monate
Secukinumab 150 mg seit 19.02.2020
Bei guter Verträglichkeit im Verlauf kann eine Erhöhung von Secukinumab auf 300 mg/4 Wochen versucht werden.</t>
        </is>
      </c>
      <c r="N49" s="23" t="inlineStr">
        <is>
          <t>Erhöhung auf 300 mg alle 4 Wochen nur bedingt erwogen, nicht als umgesetzt dokumentiert.</t>
        </is>
      </c>
    </row>
    <row r="50">
      <c r="A50" s="22" t="n">
        <v>9</v>
      </c>
      <c r="B50" s="23" t="inlineStr">
        <is>
          <t>SpA</t>
        </is>
      </c>
      <c r="C50" s="23" t="inlineStr">
        <is>
          <t>Follow-up</t>
        </is>
      </c>
      <c r="D50" s="23" t="inlineStr">
        <is>
          <t>Diclofenac</t>
        </is>
      </c>
      <c r="E50" s="23" t="n"/>
      <c r="F50" s="23" t="n"/>
      <c r="G50" s="23" t="n"/>
      <c r="H50" s="23" t="n"/>
      <c r="I50" s="23" t="inlineStr">
        <is>
          <t>Ja</t>
        </is>
      </c>
      <c r="J50" s="23" t="inlineStr">
        <is>
          <t>laufend</t>
        </is>
      </c>
      <c r="K50" s="23" t="inlineStr">
        <is>
          <t>Diclofenac bei Bed.</t>
        </is>
      </c>
      <c r="L50" s="23" t="inlineStr">
        <is>
          <t>9_FollowUp.docx</t>
        </is>
      </c>
      <c r="M50" s="23" t="inlineStr">
        <is>
          <t>Diclofenac bei Bed.</t>
        </is>
      </c>
      <c r="N50" s="23" t="inlineStr">
        <is>
          <t>In der Dauermedikation aufgeführt; Umstellung beziehungsweise Absetzen bei empfohlener Ibuprofeneinnahme nicht ausdrücklich dokumentiert.</t>
        </is>
      </c>
    </row>
    <row r="51">
      <c r="A51" s="22" t="n">
        <v>9</v>
      </c>
      <c r="B51" s="23" t="inlineStr">
        <is>
          <t>SpA</t>
        </is>
      </c>
      <c r="C51" s="23" t="inlineStr">
        <is>
          <t>Follow-up</t>
        </is>
      </c>
      <c r="D51" s="23" t="inlineStr">
        <is>
          <t>Etoricoxib</t>
        </is>
      </c>
      <c r="E51" s="22" t="n">
        <v>90</v>
      </c>
      <c r="F51" s="23" t="inlineStr">
        <is>
          <t>mg</t>
        </is>
      </c>
      <c r="G51" s="22" t="n">
        <v>1</v>
      </c>
      <c r="H51" s="23" t="inlineStr">
        <is>
          <t>Tage</t>
        </is>
      </c>
      <c r="I51" s="23" t="inlineStr">
        <is>
          <t>Nein</t>
        </is>
      </c>
      <c r="J51" s="23" t="inlineStr">
        <is>
          <t>laufend</t>
        </is>
      </c>
      <c r="K51" s="23" t="inlineStr">
        <is>
          <t>Arcoxia 90 mg 1-0-0 (seit 15.01.2020)</t>
        </is>
      </c>
      <c r="L51" s="23" t="inlineStr">
        <is>
          <t>9_FollowUp.docx</t>
        </is>
      </c>
      <c r="M51" s="23" t="inlineStr">
        <is>
          <t>Arcoxia 90 mg 1-0-0 (seit 15.01.2020)</t>
        </is>
      </c>
      <c r="N51" s="23" t="inlineStr">
        <is>
          <t>Weiter in der Dauermedikation aufgeführt; Absetzen bei empfohlener Ibuprofeneinnahme nicht ausdrücklich dokumentiert.</t>
        </is>
      </c>
    </row>
    <row r="52">
      <c r="A52" s="22" t="n">
        <v>9</v>
      </c>
      <c r="B52" s="23" t="inlineStr">
        <is>
          <t>SpA</t>
        </is>
      </c>
      <c r="C52" s="23" t="inlineStr">
        <is>
          <t>Follow-up</t>
        </is>
      </c>
      <c r="D52" s="23" t="inlineStr">
        <is>
          <t>Ibuprofen</t>
        </is>
      </c>
      <c r="E52" s="22" t="n">
        <v>800</v>
      </c>
      <c r="F52" s="23" t="inlineStr">
        <is>
          <t>mg</t>
        </is>
      </c>
      <c r="G52" s="23" t="n"/>
      <c r="H52" s="23" t="n"/>
      <c r="I52" s="23" t="inlineStr">
        <is>
          <t>Nein</t>
        </is>
      </c>
      <c r="J52" s="23" t="inlineStr">
        <is>
          <t>geplant</t>
        </is>
      </c>
      <c r="K52" s="23" t="inlineStr">
        <is>
          <t>Ibuprofen 800 mg fest bei Rückenschmerzen (max. 3x tgl.).</t>
        </is>
      </c>
      <c r="L52" s="23" t="inlineStr">
        <is>
          <t>9_FollowUp.docx</t>
        </is>
      </c>
      <c r="M52" s="23" t="inlineStr">
        <is>
          <t>Ibuprofen 800 mg fest bei Rückenschmerzen (max. 3x tgl.).</t>
        </is>
      </c>
      <c r="N52" s="23" t="inlineStr">
        <is>
          <t>Feste Einnahme empfohlen; maximal dreimal täglich bezeichnet keine eindeutig festgelegte Einnahmefrequenz.</t>
        </is>
      </c>
    </row>
    <row r="53">
      <c r="A53" s="22" t="n">
        <v>9</v>
      </c>
      <c r="B53" s="23" t="inlineStr">
        <is>
          <t>SpA</t>
        </is>
      </c>
      <c r="C53" s="23" t="inlineStr">
        <is>
          <t>Follow-up</t>
        </is>
      </c>
      <c r="D53" s="23" t="inlineStr">
        <is>
          <t>Isoniazid</t>
        </is>
      </c>
      <c r="E53" s="22" t="n">
        <v>300</v>
      </c>
      <c r="F53" s="23" t="inlineStr">
        <is>
          <t>mg</t>
        </is>
      </c>
      <c r="G53" s="22" t="n">
        <v>1</v>
      </c>
      <c r="H53" s="23" t="inlineStr">
        <is>
          <t>Tage</t>
        </is>
      </c>
      <c r="I53" s="23" t="inlineStr">
        <is>
          <t>Nein</t>
        </is>
      </c>
      <c r="J53" s="23" t="inlineStr">
        <is>
          <t>laufend</t>
        </is>
      </c>
      <c r="K53" s="23" t="inlineStr">
        <is>
          <t>Isoniazid 300 mg 1-0-0 für insgesamt 9 Monate</t>
        </is>
      </c>
      <c r="L53" s="23" t="inlineStr">
        <is>
          <t>9_FollowUp.docx</t>
        </is>
      </c>
      <c r="M53" s="23" t="inlineStr">
        <is>
          <t>Isoniazid 300 mg 1-0-0 für insgesamt 9 Monate
Er nehme regelmäßig Isoniazid.</t>
        </is>
      </c>
      <c r="N53" s="23" t="inlineStr">
        <is>
          <t>Tuberkuloseprophylaxe unter Biologikatherapie.</t>
        </is>
      </c>
    </row>
    <row r="54">
      <c r="A54" s="22" t="n">
        <v>9</v>
      </c>
      <c r="B54" s="23" t="inlineStr">
        <is>
          <t>SpA</t>
        </is>
      </c>
      <c r="C54" s="23" t="inlineStr">
        <is>
          <t>Follow-up</t>
        </is>
      </c>
      <c r="D54" s="23" t="inlineStr">
        <is>
          <t>Pantoprazol</t>
        </is>
      </c>
      <c r="E54" s="22" t="n">
        <v>40</v>
      </c>
      <c r="F54" s="23" t="inlineStr">
        <is>
          <t>mg</t>
        </is>
      </c>
      <c r="G54" s="22" t="n">
        <v>1</v>
      </c>
      <c r="H54" s="23" t="inlineStr">
        <is>
          <t>Tage</t>
        </is>
      </c>
      <c r="I54" s="23" t="inlineStr">
        <is>
          <t>Nein</t>
        </is>
      </c>
      <c r="J54" s="23" t="inlineStr">
        <is>
          <t>laufend</t>
        </is>
      </c>
      <c r="K54" s="23" t="inlineStr">
        <is>
          <t>Pantoprazol 40 mg 1-0-0 (Magenschutz)</t>
        </is>
      </c>
      <c r="L54" s="23" t="inlineStr">
        <is>
          <t>9_FollowUp.docx</t>
        </is>
      </c>
      <c r="M54" s="23" t="inlineStr">
        <is>
          <t>Pantoprazol neu 05/2020
Zur besseren Verträglichkeit von Secukinumab verschrieben wir Pantoprazol 40 mg 1-0-0 (Magenschutz).</t>
        </is>
      </c>
      <c r="N54" s="23" t="n"/>
    </row>
    <row r="55">
      <c r="A55" s="22" t="n">
        <v>9</v>
      </c>
      <c r="B55" s="23" t="inlineStr">
        <is>
          <t>SpA</t>
        </is>
      </c>
      <c r="C55" s="23" t="inlineStr">
        <is>
          <t>Follow-up</t>
        </is>
      </c>
      <c r="D55" s="23" t="inlineStr">
        <is>
          <t>Vomex</t>
        </is>
      </c>
      <c r="E55" s="23" t="n"/>
      <c r="F55" s="23" t="n"/>
      <c r="G55" s="23" t="n"/>
      <c r="H55" s="23" t="n"/>
      <c r="I55" s="23" t="inlineStr">
        <is>
          <t>Ja</t>
        </is>
      </c>
      <c r="J55" s="23" t="inlineStr">
        <is>
          <t>geplant</t>
        </is>
      </c>
      <c r="K55" s="23" t="inlineStr">
        <is>
          <t>Vomex bei Übelkeit neu 05/2020</t>
        </is>
      </c>
      <c r="L55" s="23" t="inlineStr">
        <is>
          <t>9_FollowUp.docx</t>
        </is>
      </c>
      <c r="M55" s="23" t="inlineStr">
        <is>
          <t>Vomex bei Übelkeit neu 05/2020
Gegen die Übelkeit kann zudem Vomex eingenommen werden.</t>
        </is>
      </c>
      <c r="N55" s="23" t="inlineStr">
        <is>
          <t>Originalbezeichnung erhalten; tatsächliche Einnahme nicht bestätigt.</t>
        </is>
      </c>
    </row>
    <row r="56">
      <c r="A56" s="22" t="n">
        <v>10</v>
      </c>
      <c r="B56" s="23" t="inlineStr">
        <is>
          <t>SpA</t>
        </is>
      </c>
      <c r="C56" s="23" t="inlineStr">
        <is>
          <t>Baseline</t>
        </is>
      </c>
      <c r="D56" s="23" t="inlineStr">
        <is>
          <t>Certolizumab</t>
        </is>
      </c>
      <c r="E56" s="23" t="n"/>
      <c r="F56" s="23" t="n"/>
      <c r="G56" s="23" t="n"/>
      <c r="H56" s="23" t="n"/>
      <c r="I56" s="23" t="inlineStr">
        <is>
          <t>Unklar</t>
        </is>
      </c>
      <c r="J56" s="23" t="inlineStr">
        <is>
          <t>beendet</t>
        </is>
      </c>
      <c r="K56" s="23" t="n"/>
      <c r="L56" s="23" t="inlineStr">
        <is>
          <t>10_Baseline.docx</t>
        </is>
      </c>
      <c r="M56" s="23" t="inlineStr">
        <is>
          <t>Certolizumab (9/19-05/20, Wirkversagen)</t>
        </is>
      </c>
      <c r="N56" s="23" t="inlineStr">
        <is>
          <t>Bei der beschriebenen Vorstellung noch behandelt; laut fortgeschriebener Therapiehistorie im Mai 2020 wegen Wirkversagens beendet.</t>
        </is>
      </c>
    </row>
    <row r="57">
      <c r="A57" s="22" t="n">
        <v>10</v>
      </c>
      <c r="B57" s="23" t="inlineStr">
        <is>
          <t>SpA</t>
        </is>
      </c>
      <c r="C57" s="23" t="inlineStr">
        <is>
          <t>Baseline</t>
        </is>
      </c>
      <c r="D57" s="23" t="inlineStr">
        <is>
          <t>Secukinumab</t>
        </is>
      </c>
      <c r="E57" s="22" t="n">
        <v>300</v>
      </c>
      <c r="F57" s="23" t="inlineStr">
        <is>
          <t>mg</t>
        </is>
      </c>
      <c r="G57" s="22" t="n">
        <v>4</v>
      </c>
      <c r="H57" s="23" t="inlineStr">
        <is>
          <t>Wochen</t>
        </is>
      </c>
      <c r="I57" s="23" t="inlineStr">
        <is>
          <t>Nein</t>
        </is>
      </c>
      <c r="J57" s="23" t="inlineStr">
        <is>
          <t>laufend</t>
        </is>
      </c>
      <c r="K57" s="23" t="inlineStr">
        <is>
          <t>Secukinumab wird eindosierend verabreicht, zunächst in Woche 0, Woche 1, Woche 2 und Woche 3 jeweils 300mg (2 Spritzen, ab Woche 4 dann Intervallverlängerung mit 300mg alle 4 Wochen.</t>
        </is>
      </c>
      <c r="L57" s="23" t="inlineStr">
        <is>
          <t>10_Baseline.docx</t>
        </is>
      </c>
      <c r="M57" s="23" t="inlineStr">
        <is>
          <t>aktuelle Therapie: Secukinumab seit 05/20
Secukinumab wird eindosierend verabreicht, zunächst in Woche 0, Woche 1, Woche 2 und Woche 3 jeweils 300mg (2 Spritzen, ab Woche 4 dann Intervallverlängerung mit 300mg alle 4 Wochen.</t>
        </is>
      </c>
      <c r="N57" s="23" t="inlineStr">
        <is>
          <t>Intervallangabe betrifft die Erhaltungstherapie nach Eindosierung. Beginn laut Diagnoseabschnitt im Mai 2020, nach dem klinischen Referenztermin.</t>
        </is>
      </c>
    </row>
    <row r="58">
      <c r="A58" s="22" t="n">
        <v>10</v>
      </c>
      <c r="B58" s="23" t="inlineStr">
        <is>
          <t>SpA</t>
        </is>
      </c>
      <c r="C58" s="23" t="inlineStr">
        <is>
          <t>Baseline</t>
        </is>
      </c>
      <c r="D58" s="23" t="inlineStr">
        <is>
          <t>Diclofenac</t>
        </is>
      </c>
      <c r="E58" s="23" t="n"/>
      <c r="F58" s="23" t="n"/>
      <c r="G58" s="23" t="n"/>
      <c r="H58" s="23" t="n"/>
      <c r="I58" s="23" t="inlineStr">
        <is>
          <t>Ja</t>
        </is>
      </c>
      <c r="J58" s="23" t="inlineStr">
        <is>
          <t>laufend</t>
        </is>
      </c>
      <c r="K58" s="23" t="inlineStr">
        <is>
          <t>Diclofenac bei Bedarf</t>
        </is>
      </c>
      <c r="L58" s="23" t="inlineStr">
        <is>
          <t>10_Baseline.docx</t>
        </is>
      </c>
      <c r="M58" s="23" t="inlineStr">
        <is>
          <t>Dauermedikation:
Diclofenac bei Bedarf</t>
        </is>
      </c>
      <c r="N58" s="23" t="n"/>
    </row>
    <row r="59">
      <c r="A59" s="22" t="n">
        <v>10</v>
      </c>
      <c r="B59" s="23" t="inlineStr">
        <is>
          <t>SpA</t>
        </is>
      </c>
      <c r="C59" s="23" t="inlineStr">
        <is>
          <t>Baseline</t>
        </is>
      </c>
      <c r="D59" s="23" t="inlineStr">
        <is>
          <t>Prednisolon</t>
        </is>
      </c>
      <c r="E59" s="22" t="n">
        <v>20</v>
      </c>
      <c r="F59" s="23" t="inlineStr">
        <is>
          <t>mg</t>
        </is>
      </c>
      <c r="G59" s="22" t="n">
        <v>1</v>
      </c>
      <c r="H59" s="23" t="inlineStr">
        <is>
          <t>Tage</t>
        </is>
      </c>
      <c r="I59" s="23" t="inlineStr">
        <is>
          <t>Nein</t>
        </is>
      </c>
      <c r="J59" s="23" t="inlineStr">
        <is>
          <t>laufend</t>
        </is>
      </c>
      <c r="K59" s="23" t="inlineStr">
        <is>
          <t>20mg/Tag</t>
        </is>
      </c>
      <c r="L59" s="23" t="inlineStr">
        <is>
          <t>10_Baseline.docx</t>
        </is>
      </c>
      <c r="M59" s="23" t="inlineStr">
        <is>
          <t>Augenarzt hat lokale Steroidtherapie + systemische Prednisolontherapie mit 20mg/Tag begonnen.</t>
        </is>
      </c>
      <c r="N59" s="23" t="inlineStr">
        <is>
          <t>Zur Behandlung der neu aufgetretenen Uveitis begonnen; weitere Therapiedauer nicht angegeben.</t>
        </is>
      </c>
    </row>
    <row r="60">
      <c r="A60" s="22" t="n">
        <v>10</v>
      </c>
      <c r="B60" s="23" t="inlineStr">
        <is>
          <t>SpA</t>
        </is>
      </c>
      <c r="C60" s="23" t="inlineStr">
        <is>
          <t>Follow-up</t>
        </is>
      </c>
      <c r="D60" s="23" t="inlineStr">
        <is>
          <t>Secukinumab</t>
        </is>
      </c>
      <c r="E60" s="22" t="n">
        <v>300</v>
      </c>
      <c r="F60" s="23" t="inlineStr">
        <is>
          <t>mg</t>
        </is>
      </c>
      <c r="G60" s="22" t="n">
        <v>4</v>
      </c>
      <c r="H60" s="23" t="inlineStr">
        <is>
          <t>Wochen</t>
        </is>
      </c>
      <c r="I60" s="23" t="inlineStr">
        <is>
          <t>Nein</t>
        </is>
      </c>
      <c r="J60" s="23" t="inlineStr">
        <is>
          <t>laufend</t>
        </is>
      </c>
      <c r="K60" s="23" t="inlineStr">
        <is>
          <t>300 mg Secukinumab alle vier Wochen</t>
        </is>
      </c>
      <c r="L60" s="23" t="inlineStr">
        <is>
          <t>10_FollowUp.docx</t>
        </is>
      </c>
      <c r="M60" s="23" t="inlineStr">
        <is>
          <t>Klinisch und serologisch zeigt sich aktuell eine ausreichende Erkrankungskontrolle unter 300 mg Secukinumab alle vier Wochen.
Wir empfehlen daher eine Fortführung dieser pharmakologischen Therapie in Kombination mit physiotherapeutischer Beübung.</t>
        </is>
      </c>
      <c r="N60" s="23" t="n"/>
    </row>
    <row r="61">
      <c r="A61" s="22" t="n">
        <v>11</v>
      </c>
      <c r="B61" s="23" t="inlineStr">
        <is>
          <t>SpA</t>
        </is>
      </c>
      <c r="C61" s="23" t="inlineStr">
        <is>
          <t>Baseline</t>
        </is>
      </c>
      <c r="D61" s="23" t="inlineStr">
        <is>
          <t>Ibuprofen</t>
        </is>
      </c>
      <c r="E61" s="23" t="n"/>
      <c r="F61" s="23" t="n"/>
      <c r="G61" s="23" t="n"/>
      <c r="H61" s="23" t="n"/>
      <c r="I61" s="23" t="inlineStr">
        <is>
          <t>Nein</t>
        </is>
      </c>
      <c r="J61" s="23" t="inlineStr">
        <is>
          <t>laufend</t>
        </is>
      </c>
      <c r="K61" s="23" t="inlineStr">
        <is>
          <t>kontinuierlich über mehrere Wochen</t>
        </is>
      </c>
      <c r="L61" s="23" t="inlineStr">
        <is>
          <t>11_Baseline.docx</t>
        </is>
      </c>
      <c r="M61" s="23" t="inlineStr">
        <is>
          <t>bisherige Therapie: Ibuprofen und Etoricoxib kontinuierlich über mehrere Wochen ohne ausreichende Wirkung
Beschwerden seien persistierend unter Arcoxia und Ibuprofen trotz mehrwöchiger Einnahme.</t>
        </is>
      </c>
      <c r="N61" s="23" t="n"/>
    </row>
    <row r="62">
      <c r="A62" s="22" t="n">
        <v>11</v>
      </c>
      <c r="B62" s="23" t="inlineStr">
        <is>
          <t>SpA</t>
        </is>
      </c>
      <c r="C62" s="23" t="inlineStr">
        <is>
          <t>Baseline</t>
        </is>
      </c>
      <c r="D62" s="23" t="inlineStr">
        <is>
          <t>Etoricoxib</t>
        </is>
      </c>
      <c r="E62" s="23" t="n"/>
      <c r="F62" s="23" t="n"/>
      <c r="G62" s="23" t="n"/>
      <c r="H62" s="23" t="n"/>
      <c r="I62" s="23" t="inlineStr">
        <is>
          <t>Nein</t>
        </is>
      </c>
      <c r="J62" s="23" t="inlineStr">
        <is>
          <t>laufend</t>
        </is>
      </c>
      <c r="K62" s="23" t="inlineStr">
        <is>
          <t>kontinuierlich über mehrere Wochen</t>
        </is>
      </c>
      <c r="L62" s="23" t="inlineStr">
        <is>
          <t>11_Baseline.docx</t>
        </is>
      </c>
      <c r="M62" s="23" t="inlineStr">
        <is>
          <t>bisherige Therapie: Ibuprofen und Etoricoxib kontinuierlich über mehrere Wochen ohne ausreichende Wirkung
Beschwerden seien persistierend unter Arcoxia und Ibuprofen trotz mehrwöchiger Einnahme.</t>
        </is>
      </c>
      <c r="N62" s="23" t="n"/>
    </row>
    <row r="63">
      <c r="A63" s="22" t="n">
        <v>11</v>
      </c>
      <c r="B63" s="23" t="inlineStr">
        <is>
          <t>SpA</t>
        </is>
      </c>
      <c r="C63" s="23" t="inlineStr">
        <is>
          <t>Baseline</t>
        </is>
      </c>
      <c r="D63" s="23" t="inlineStr">
        <is>
          <t>Adalimumab</t>
        </is>
      </c>
      <c r="E63" s="22" t="n">
        <v>40</v>
      </c>
      <c r="F63" s="23" t="inlineStr">
        <is>
          <t>mg</t>
        </is>
      </c>
      <c r="G63" s="22" t="n">
        <v>2</v>
      </c>
      <c r="H63" s="23" t="inlineStr">
        <is>
          <t>Wochen</t>
        </is>
      </c>
      <c r="I63" s="23" t="inlineStr">
        <is>
          <t>Nein</t>
        </is>
      </c>
      <c r="J63" s="23" t="inlineStr">
        <is>
          <t>geplant</t>
        </is>
      </c>
      <c r="K63" s="23" t="inlineStr">
        <is>
          <t>Adalimumab 40mg s.c. alle 2 Wochen</t>
        </is>
      </c>
      <c r="L63" s="23" t="inlineStr">
        <is>
          <t>11_Baseline.docx</t>
        </is>
      </c>
      <c r="M63" s="23" t="inlineStr">
        <is>
          <t>Nach FAPI PET/CT Einleitung einer Therapie mit Adalimumab 40mg s.c. alle 2 Wochen unter Kontrolle nach Maßgabe der DGRh.</t>
        </is>
      </c>
      <c r="N63" s="23" t="n"/>
    </row>
    <row r="64">
      <c r="A64" s="22" t="n">
        <v>11</v>
      </c>
      <c r="B64" s="23" t="inlineStr">
        <is>
          <t>SpA</t>
        </is>
      </c>
      <c r="C64" s="23" t="inlineStr">
        <is>
          <t>Follow-up</t>
        </is>
      </c>
      <c r="D64" s="23" t="inlineStr">
        <is>
          <t>Adalimumab</t>
        </is>
      </c>
      <c r="E64" s="22" t="n">
        <v>40</v>
      </c>
      <c r="F64" s="23" t="inlineStr">
        <is>
          <t>mg</t>
        </is>
      </c>
      <c r="G64" s="22" t="n">
        <v>2</v>
      </c>
      <c r="H64" s="23" t="inlineStr">
        <is>
          <t>Wochen</t>
        </is>
      </c>
      <c r="I64" s="23" t="inlineStr">
        <is>
          <t>Nein</t>
        </is>
      </c>
      <c r="J64" s="23" t="inlineStr">
        <is>
          <t>laufend</t>
        </is>
      </c>
      <c r="K64" s="23" t="inlineStr">
        <is>
          <t>Adalimumab 40 mg/ 2 Wochen</t>
        </is>
      </c>
      <c r="L64" s="23" t="inlineStr">
        <is>
          <t>11_FollowUp.docx</t>
        </is>
      </c>
      <c r="M64" s="23" t="inlineStr">
        <is>
          <t>Adalimumab 40 mg/ 2 Wochen
aktuell: Adalimumab seit 09/19, Therapiepause 02/20-05/20, seither regelmäßige Einnahme</t>
        </is>
      </c>
      <c r="N64" s="23" t="inlineStr">
        <is>
          <t>Therapiepause Februar bis Mai 2020; aktuell wieder laufend.</t>
        </is>
      </c>
    </row>
    <row r="65">
      <c r="A65" s="22" t="n">
        <v>11</v>
      </c>
      <c r="B65" s="23" t="inlineStr">
        <is>
          <t>SpA</t>
        </is>
      </c>
      <c r="C65" s="23" t="inlineStr">
        <is>
          <t>Follow-up</t>
        </is>
      </c>
      <c r="D65" s="23" t="inlineStr">
        <is>
          <t>Ibuprofen</t>
        </is>
      </c>
      <c r="E65" s="23" t="n"/>
      <c r="F65" s="23" t="n"/>
      <c r="G65" s="23" t="n"/>
      <c r="H65" s="23" t="n"/>
      <c r="I65" s="23" t="inlineStr">
        <is>
          <t>Ja</t>
        </is>
      </c>
      <c r="J65" s="23" t="inlineStr">
        <is>
          <t>unklar</t>
        </is>
      </c>
      <c r="K65" s="23" t="inlineStr">
        <is>
          <t>Ibuprofen bei Bed.</t>
        </is>
      </c>
      <c r="L65" s="23" t="inlineStr">
        <is>
          <t>11_FollowUp.docx</t>
        </is>
      </c>
      <c r="M65" s="23" t="inlineStr">
        <is>
          <t>Ibuprofen bei Bed.</t>
        </is>
      </c>
      <c r="N65" s="23" t="inlineStr">
        <is>
          <t>Unter Therapiehistorie genannt; aktuelle Anwendung nicht eindeutig belegt.</t>
        </is>
      </c>
    </row>
    <row r="66">
      <c r="A66" s="22" t="n">
        <v>12</v>
      </c>
      <c r="B66" s="23" t="inlineStr">
        <is>
          <t>SpA</t>
        </is>
      </c>
      <c r="C66" s="23" t="inlineStr">
        <is>
          <t>Baseline</t>
        </is>
      </c>
      <c r="D66" s="23" t="inlineStr">
        <is>
          <t>Methotrexat</t>
        </is>
      </c>
      <c r="E66" s="22" t="n">
        <v>15</v>
      </c>
      <c r="F66" s="23" t="inlineStr">
        <is>
          <t>mg</t>
        </is>
      </c>
      <c r="G66" s="22" t="n">
        <v>1</v>
      </c>
      <c r="H66" s="23" t="inlineStr">
        <is>
          <t>Wochen</t>
        </is>
      </c>
      <c r="I66" s="23" t="inlineStr">
        <is>
          <t>Nein</t>
        </is>
      </c>
      <c r="J66" s="23" t="inlineStr">
        <is>
          <t>laufend</t>
        </is>
      </c>
      <c r="K66" s="23" t="inlineStr">
        <is>
          <t>MTX 15mg/Woche</t>
        </is>
      </c>
      <c r="L66" s="23" t="inlineStr">
        <is>
          <t>12_Baseline.docx</t>
        </is>
      </c>
      <c r="M66" s="23" t="inlineStr">
        <is>
          <t>Therapiehistorie: Med: MTX 15mg/Woche, Folsäure 5mg/Woche, Prednisolon 2mg
In Zusammenschau der Befunde bei persistierenden entzündlichen Veränderungen in der Bildgebung, trotz Therapie mit MTX empfehlen wir eine Eskalation der Therapie auf Biologica.</t>
        </is>
      </c>
      <c r="N66" s="23" t="n"/>
    </row>
    <row r="67">
      <c r="A67" s="22" t="n">
        <v>12</v>
      </c>
      <c r="B67" s="23" t="inlineStr">
        <is>
          <t>SpA</t>
        </is>
      </c>
      <c r="C67" s="23" t="inlineStr">
        <is>
          <t>Baseline</t>
        </is>
      </c>
      <c r="D67" s="23" t="inlineStr">
        <is>
          <t>Prednisolon</t>
        </is>
      </c>
      <c r="E67" s="22" t="n">
        <v>2</v>
      </c>
      <c r="F67" s="23" t="inlineStr">
        <is>
          <t>mg</t>
        </is>
      </c>
      <c r="G67" s="23" t="n"/>
      <c r="H67" s="23" t="n"/>
      <c r="I67" s="23" t="inlineStr">
        <is>
          <t>Unklar</t>
        </is>
      </c>
      <c r="J67" s="23" t="inlineStr">
        <is>
          <t>beendet</t>
        </is>
      </c>
      <c r="K67" s="23" t="inlineStr">
        <is>
          <t>Prednisolon 2mg</t>
        </is>
      </c>
      <c r="L67" s="23" t="inlineStr">
        <is>
          <t>12_Baseline.docx</t>
        </is>
      </c>
      <c r="M67" s="23" t="inlineStr">
        <is>
          <t>Therapiehistorie: Med: MTX 15mg/Woche, Folsäure 5mg/Woche, Prednisolon 2mg
Es wurde wie empfohlen die Prednisolondosis seit ca. 2 Wochen abgesetzt, darunter zunehmende Schmerzen in den kleinen Gelenke der Hände bds., auch Gelenkschwellungen in den MCPs.</t>
        </is>
      </c>
      <c r="N67" s="23" t="inlineStr">
        <is>
          <t>Die Dosis stammt aus der Therapiehistorie; seit etwa zwei Wochen abgesetzt.</t>
        </is>
      </c>
    </row>
    <row r="68">
      <c r="A68" s="22" t="n">
        <v>12</v>
      </c>
      <c r="B68" s="23" t="inlineStr">
        <is>
          <t>SpA</t>
        </is>
      </c>
      <c r="C68" s="23" t="inlineStr">
        <is>
          <t>Baseline</t>
        </is>
      </c>
      <c r="D68" s="23" t="inlineStr">
        <is>
          <t>Secukinumab</t>
        </is>
      </c>
      <c r="E68" s="22" t="n">
        <v>150</v>
      </c>
      <c r="F68" s="23" t="inlineStr">
        <is>
          <t>mg</t>
        </is>
      </c>
      <c r="G68" s="23" t="n"/>
      <c r="H68" s="23" t="n"/>
      <c r="I68" s="23" t="inlineStr">
        <is>
          <t>Nein</t>
        </is>
      </c>
      <c r="J68" s="23" t="inlineStr">
        <is>
          <t>geplant</t>
        </is>
      </c>
      <c r="K68" s="23" t="inlineStr">
        <is>
          <t>Secukinumab 150mg 1x/Wo., Woche 0, 1, 2, 3, 4, danach 150mg alle 4 Wochen</t>
        </is>
      </c>
      <c r="L68" s="23" t="inlineStr">
        <is>
          <t>12_Baseline.docx</t>
        </is>
      </c>
      <c r="M68" s="23" t="inlineStr">
        <is>
          <t>Wir empfehlen Secukinumab 150mg 1x/Wo., Woche 0, 1, 2, 3, 4, danach 150mg alle 4 Wochen.</t>
        </is>
      </c>
      <c r="N68" s="23" t="inlineStr">
        <is>
          <t>Wechselndes Intervall: zunächst wöchentlich in Woche 0 bis 4, anschließend alle vier Wochen.</t>
        </is>
      </c>
    </row>
    <row r="69">
      <c r="A69" s="22" t="n">
        <v>12</v>
      </c>
      <c r="B69" s="23" t="inlineStr">
        <is>
          <t>SpA</t>
        </is>
      </c>
      <c r="C69" s="23" t="inlineStr">
        <is>
          <t>Baseline</t>
        </is>
      </c>
      <c r="D69" s="23" t="inlineStr">
        <is>
          <t>Ibuprofen</t>
        </is>
      </c>
      <c r="E69" s="22" t="n">
        <v>400</v>
      </c>
      <c r="F69" s="23" t="inlineStr">
        <is>
          <t>mg</t>
        </is>
      </c>
      <c r="G69" s="23" t="n"/>
      <c r="H69" s="23" t="n"/>
      <c r="I69" s="23" t="inlineStr">
        <is>
          <t>Ja</t>
        </is>
      </c>
      <c r="J69" s="23" t="inlineStr">
        <is>
          <t>laufend</t>
        </is>
      </c>
      <c r="K69" s="23" t="inlineStr">
        <is>
          <t>Ibu. 400mg bei Bedarf</t>
        </is>
      </c>
      <c r="L69" s="23" t="inlineStr">
        <is>
          <t>12_Baseline.docx</t>
        </is>
      </c>
      <c r="M69" s="23" t="inlineStr">
        <is>
          <t>Felodipin 5mg, Cetirizin 10mg, Dekristol 20.000IE, Estradot Pflaster, Novalgin b.B. Ibu. 400mg bei Bedarf.</t>
        </is>
      </c>
      <c r="N69" s="23" t="n"/>
    </row>
    <row r="70">
      <c r="A70" s="22" t="n">
        <v>12</v>
      </c>
      <c r="B70" s="23" t="inlineStr">
        <is>
          <t>SpA</t>
        </is>
      </c>
      <c r="C70" s="23" t="inlineStr">
        <is>
          <t>Baseline</t>
        </is>
      </c>
      <c r="D70" s="23" t="inlineStr">
        <is>
          <t>Metamizol</t>
        </is>
      </c>
      <c r="E70" s="23" t="n"/>
      <c r="F70" s="23" t="n"/>
      <c r="G70" s="23" t="n"/>
      <c r="H70" s="23" t="n"/>
      <c r="I70" s="23" t="inlineStr">
        <is>
          <t>Ja</t>
        </is>
      </c>
      <c r="J70" s="23" t="inlineStr">
        <is>
          <t>laufend</t>
        </is>
      </c>
      <c r="K70" s="23" t="inlineStr">
        <is>
          <t>Novalgin b.B.</t>
        </is>
      </c>
      <c r="L70" s="23" t="inlineStr">
        <is>
          <t>12_Baseline.docx</t>
        </is>
      </c>
      <c r="M70" s="23" t="inlineStr">
        <is>
          <t>Felodipin 5mg, Cetirizin 10mg, Dekristol 20.000IE, Estradot Pflaster, Novalgin b.B. Ibu. 400mg bei Bedarf.</t>
        </is>
      </c>
      <c r="N70" s="23" t="n"/>
    </row>
    <row r="71">
      <c r="A71" s="22" t="n">
        <v>12</v>
      </c>
      <c r="B71" s="23" t="inlineStr">
        <is>
          <t>SpA</t>
        </is>
      </c>
      <c r="C71" s="23" t="inlineStr">
        <is>
          <t>Follow-up</t>
        </is>
      </c>
      <c r="D71" s="23" t="inlineStr">
        <is>
          <t>Methotrexat</t>
        </is>
      </c>
      <c r="E71" s="23" t="n"/>
      <c r="F71" s="23" t="n"/>
      <c r="G71" s="23" t="n"/>
      <c r="H71" s="23" t="n"/>
      <c r="I71" s="23" t="inlineStr">
        <is>
          <t>Unklar</t>
        </is>
      </c>
      <c r="J71" s="23" t="inlineStr">
        <is>
          <t>beendet</t>
        </is>
      </c>
      <c r="K71" s="23" t="n"/>
      <c r="L71" s="23" t="inlineStr">
        <is>
          <t>12_FollowUp.docx</t>
        </is>
      </c>
      <c r="M71" s="23" t="inlineStr">
        <is>
          <t>bisherige Therapie: MTX (unzureichende Wirkung, zunehmender Haarausfall)</t>
        </is>
      </c>
      <c r="N71" s="23" t="inlineStr">
        <is>
          <t>Als frühere, unzureichend wirksame Therapie beurteilt; historische Dosierung nicht als aktueller Status übernommen.</t>
        </is>
      </c>
    </row>
    <row r="72">
      <c r="A72" s="22" t="n">
        <v>12</v>
      </c>
      <c r="B72" s="23" t="inlineStr">
        <is>
          <t>SpA</t>
        </is>
      </c>
      <c r="C72" s="23" t="inlineStr">
        <is>
          <t>Follow-up</t>
        </is>
      </c>
      <c r="D72" s="23" t="inlineStr">
        <is>
          <t>Secukinumab</t>
        </is>
      </c>
      <c r="E72" s="22" t="n">
        <v>150</v>
      </c>
      <c r="F72" s="23" t="inlineStr">
        <is>
          <t>mg</t>
        </is>
      </c>
      <c r="G72" s="22" t="n">
        <v>1</v>
      </c>
      <c r="H72" s="23" t="inlineStr">
        <is>
          <t>Monate</t>
        </is>
      </c>
      <c r="I72" s="23" t="inlineStr">
        <is>
          <t>Nein</t>
        </is>
      </c>
      <c r="J72" s="23" t="inlineStr">
        <is>
          <t>laufend</t>
        </is>
      </c>
      <c r="K72" s="23" t="inlineStr">
        <is>
          <t>Secukinumab 150 mg pro Monat</t>
        </is>
      </c>
      <c r="L72" s="23" t="inlineStr">
        <is>
          <t>12_FollowUp.docx</t>
        </is>
      </c>
      <c r="M72" s="23" t="inlineStr">
        <is>
          <t>aktuelle Therapie: Secukinumab 150mg (seit 10/19)
Planmäßige WV bei PsA, DD periphere SpA unter Secukinumab 150 mg pro Monat.
Erhöhung der Secukinumab-Dosis auf 300 mg pro Monat unter Kontrollen nach Maßgabe der DGRh</t>
        </is>
      </c>
      <c r="N72" s="23" t="inlineStr">
        <is>
          <t>Geplante Dosiserhöhung auf 300 mg einmal monatlich; Umsetzung noch nicht dokumentiert.</t>
        </is>
      </c>
    </row>
    <row r="73">
      <c r="A73" s="22" t="n">
        <v>12</v>
      </c>
      <c r="B73" s="23" t="inlineStr">
        <is>
          <t>SpA</t>
        </is>
      </c>
      <c r="C73" s="23" t="inlineStr">
        <is>
          <t>Follow-up</t>
        </is>
      </c>
      <c r="D73" s="23" t="inlineStr">
        <is>
          <t>Metamizol</t>
        </is>
      </c>
      <c r="E73" s="23" t="n"/>
      <c r="F73" s="23" t="n"/>
      <c r="G73" s="23" t="n"/>
      <c r="H73" s="23" t="n"/>
      <c r="I73" s="23" t="inlineStr">
        <is>
          <t>Ja</t>
        </is>
      </c>
      <c r="J73" s="23" t="inlineStr">
        <is>
          <t>laufend</t>
        </is>
      </c>
      <c r="K73" s="23" t="inlineStr">
        <is>
          <t>Novalgin bei Bedarf</t>
        </is>
      </c>
      <c r="L73" s="23" t="inlineStr">
        <is>
          <t>12_FollowUp.docx</t>
        </is>
      </c>
      <c r="M73" s="23" t="inlineStr">
        <is>
          <t>Felodipin 5 mg, Cetirizin 10 mg, Dekristol 20.000 IE, Estradot Pflaster, Novalgin bei Bedarf, Ibuprofen 400 mg bei Bedarf.
Auch auf Novalgin sprächen die Beschwerden an.</t>
        </is>
      </c>
      <c r="N73" s="23" t="n"/>
    </row>
    <row r="74">
      <c r="A74" s="22" t="n">
        <v>12</v>
      </c>
      <c r="B74" s="23" t="inlineStr">
        <is>
          <t>SpA</t>
        </is>
      </c>
      <c r="C74" s="23" t="inlineStr">
        <is>
          <t>Follow-up</t>
        </is>
      </c>
      <c r="D74" s="23" t="inlineStr">
        <is>
          <t>Ibuprofen</t>
        </is>
      </c>
      <c r="E74" s="22" t="n">
        <v>400</v>
      </c>
      <c r="F74" s="23" t="inlineStr">
        <is>
          <t>mg</t>
        </is>
      </c>
      <c r="G74" s="23" t="n"/>
      <c r="H74" s="23" t="n"/>
      <c r="I74" s="23" t="inlineStr">
        <is>
          <t>Ja</t>
        </is>
      </c>
      <c r="J74" s="23" t="inlineStr">
        <is>
          <t>laufend</t>
        </is>
      </c>
      <c r="K74" s="23" t="inlineStr">
        <is>
          <t>Ibuprofen 400 mg bei Bedarf</t>
        </is>
      </c>
      <c r="L74" s="23" t="inlineStr">
        <is>
          <t>12_FollowUp.docx</t>
        </is>
      </c>
      <c r="M74" s="23" t="inlineStr">
        <is>
          <t>Felodipin 5 mg, Cetirizin 10 mg, Dekristol 20.000 IE, Estradot Pflaster, Novalgin bei Bedarf, Ibuprofen 400 mg bei Bedarf.</t>
        </is>
      </c>
      <c r="N74" s="23" t="n"/>
    </row>
    <row r="75">
      <c r="A75" s="22" t="n">
        <v>13</v>
      </c>
      <c r="B75" s="23" t="inlineStr">
        <is>
          <t>SpA</t>
        </is>
      </c>
      <c r="C75" s="23" t="inlineStr">
        <is>
          <t>Baseline</t>
        </is>
      </c>
      <c r="D75" s="23" t="inlineStr">
        <is>
          <t>Ibuprofen</t>
        </is>
      </c>
      <c r="E75" s="23" t="n"/>
      <c r="F75" s="23" t="n"/>
      <c r="G75" s="23" t="n"/>
      <c r="H75" s="23" t="n"/>
      <c r="I75" s="23" t="inlineStr">
        <is>
          <t>Unklar</t>
        </is>
      </c>
      <c r="J75" s="23" t="inlineStr">
        <is>
          <t>unklar</t>
        </is>
      </c>
      <c r="K75" s="23" t="n"/>
      <c r="L75" s="23" t="inlineStr">
        <is>
          <t>13_Baseline.docx</t>
        </is>
      </c>
      <c r="M75" s="23" t="inlineStr">
        <is>
          <t>bisherige Therapie: Ibuprofen ohne ausreichende Wirkung</t>
        </is>
      </c>
      <c r="N75" s="23" t="inlineStr">
        <is>
          <t>Aktuelle NSAR-Einnahme dokumentiert; ob weiterhin konkret Ibuprofen eingenommen wird, bleibt unklar.</t>
        </is>
      </c>
    </row>
    <row r="76">
      <c r="A76" s="22" t="n">
        <v>13</v>
      </c>
      <c r="B76" s="23" t="inlineStr">
        <is>
          <t>SpA</t>
        </is>
      </c>
      <c r="C76" s="23" t="inlineStr">
        <is>
          <t>Baseline</t>
        </is>
      </c>
      <c r="D76" s="23" t="inlineStr">
        <is>
          <t>Etoricoxib</t>
        </is>
      </c>
      <c r="E76" s="22" t="n">
        <v>90</v>
      </c>
      <c r="F76" s="23" t="inlineStr">
        <is>
          <t>mg</t>
        </is>
      </c>
      <c r="G76" s="22" t="n">
        <v>1</v>
      </c>
      <c r="H76" s="23" t="inlineStr">
        <is>
          <t>Tage</t>
        </is>
      </c>
      <c r="I76" s="23" t="inlineStr">
        <is>
          <t>Nein</t>
        </is>
      </c>
      <c r="J76" s="23" t="inlineStr">
        <is>
          <t>geplant</t>
        </is>
      </c>
      <c r="K76" s="23" t="inlineStr">
        <is>
          <t>Arcoxia 90mg 1-0-0 für 4 Wochen</t>
        </is>
      </c>
      <c r="L76" s="23" t="inlineStr">
        <is>
          <t>13_Baseline.docx</t>
        </is>
      </c>
      <c r="M76" s="23" t="inlineStr">
        <is>
          <t>Sollte sich hierbei der V.a. eine Spondylarthropathie mit peripherer Gelenkbeteiligung erhärten und persistierende Entzündungszeichen detektierbar sein, empfehlen wir eine Umstellung der NSAR-Thearpie auf Arcoxia 90mg 1-0-0 für 4 Wochen.</t>
        </is>
      </c>
      <c r="N76" s="23" t="inlineStr">
        <is>
          <t>Bedingte Therapieempfehlung; Beginn nicht dokumentiert.</t>
        </is>
      </c>
    </row>
    <row r="77">
      <c r="A77" s="22" t="n">
        <v>13</v>
      </c>
      <c r="B77" s="23" t="inlineStr">
        <is>
          <t>SpA</t>
        </is>
      </c>
      <c r="C77" s="23" t="inlineStr">
        <is>
          <t>Follow-up</t>
        </is>
      </c>
      <c r="D77" s="23" t="inlineStr">
        <is>
          <t>Secukinumab</t>
        </is>
      </c>
      <c r="E77" s="22" t="n">
        <v>300</v>
      </c>
      <c r="F77" s="23" t="inlineStr">
        <is>
          <t>mg</t>
        </is>
      </c>
      <c r="G77" s="22" t="n">
        <v>1</v>
      </c>
      <c r="H77" s="23" t="inlineStr">
        <is>
          <t>Monate</t>
        </is>
      </c>
      <c r="I77" s="23" t="inlineStr">
        <is>
          <t>Nein</t>
        </is>
      </c>
      <c r="J77" s="23" t="inlineStr">
        <is>
          <t>laufend</t>
        </is>
      </c>
      <c r="K77" s="23" t="inlineStr">
        <is>
          <t>Secukinumab 150 mg 1x/Monat seit 10/2019, erhöht auf 300 mg 1x/Monat 06/2020</t>
        </is>
      </c>
      <c r="L77" s="23" t="inlineStr">
        <is>
          <t>13_FollowUp.docx</t>
        </is>
      </c>
      <c r="M77" s="23" t="inlineStr">
        <is>
          <t>Secukinumab 150 mg 1x/Monat seit 10/2019, erhöht auf 300 mg 1x/Monat 06/2020</t>
        </is>
      </c>
      <c r="N77" s="23" t="n"/>
    </row>
    <row r="78">
      <c r="A78" s="22" t="n">
        <v>13</v>
      </c>
      <c r="B78" s="23" t="inlineStr">
        <is>
          <t>SpA</t>
        </is>
      </c>
      <c r="C78" s="23" t="inlineStr">
        <is>
          <t>Follow-up</t>
        </is>
      </c>
      <c r="D78" s="23" t="inlineStr">
        <is>
          <t>Ibuprofen</t>
        </is>
      </c>
      <c r="E78" s="22" t="n">
        <v>600</v>
      </c>
      <c r="F78" s="23" t="inlineStr">
        <is>
          <t>mg</t>
        </is>
      </c>
      <c r="G78" s="23" t="n"/>
      <c r="H78" s="23" t="n"/>
      <c r="I78" s="23" t="inlineStr">
        <is>
          <t>Ja</t>
        </is>
      </c>
      <c r="J78" s="23" t="inlineStr">
        <is>
          <t>laufend</t>
        </is>
      </c>
      <c r="K78" s="23" t="inlineStr">
        <is>
          <t>Ibuprofen bei Bedarf 600 mg</t>
        </is>
      </c>
      <c r="L78" s="23" t="inlineStr">
        <is>
          <t>13_FollowUp.docx</t>
        </is>
      </c>
      <c r="M78" s="23" t="inlineStr">
        <is>
          <t>Ibuprofen bei Bedarf 600 mg</t>
        </is>
      </c>
      <c r="N78" s="23" t="n"/>
    </row>
    <row r="79">
      <c r="A79" s="22" t="n">
        <v>13</v>
      </c>
      <c r="B79" s="23" t="inlineStr">
        <is>
          <t>SpA</t>
        </is>
      </c>
      <c r="C79" s="23" t="inlineStr">
        <is>
          <t>Follow-up</t>
        </is>
      </c>
      <c r="D79" s="23" t="inlineStr">
        <is>
          <t>Methotrexat</t>
        </is>
      </c>
      <c r="E79" s="23" t="n"/>
      <c r="F79" s="23" t="n"/>
      <c r="G79" s="23" t="n"/>
      <c r="H79" s="23" t="n"/>
      <c r="I79" s="23" t="inlineStr">
        <is>
          <t>Unklar</t>
        </is>
      </c>
      <c r="J79" s="23" t="inlineStr">
        <is>
          <t>beendet</t>
        </is>
      </c>
      <c r="K79" s="23" t="n"/>
      <c r="L79" s="23" t="inlineStr">
        <is>
          <t>13_FollowUp.docx</t>
        </is>
      </c>
      <c r="M79" s="23" t="inlineStr">
        <is>
          <t>Z. n. Methotrexat 03/2019-07/2019, abgesetzt bei Übelkeit
Methotrexat (seit 03/2019, unzureichende Wirkung und Übelkeit)</t>
        </is>
      </c>
      <c r="N79" s="23" t="n"/>
    </row>
    <row r="80">
      <c r="A80" s="22" t="n">
        <v>13</v>
      </c>
      <c r="B80" s="23" t="inlineStr">
        <is>
          <t>SpA</t>
        </is>
      </c>
      <c r="C80" s="23" t="inlineStr">
        <is>
          <t>Follow-up</t>
        </is>
      </c>
      <c r="D80" s="23" t="inlineStr">
        <is>
          <t>Tofacitinib</t>
        </is>
      </c>
      <c r="E80" s="23" t="n"/>
      <c r="F80" s="23" t="n"/>
      <c r="G80" s="23" t="n"/>
      <c r="H80" s="23" t="n"/>
      <c r="I80" s="23" t="inlineStr">
        <is>
          <t>Unklar</t>
        </is>
      </c>
      <c r="J80" s="23" t="inlineStr">
        <is>
          <t>beendet</t>
        </is>
      </c>
      <c r="K80" s="23" t="n"/>
      <c r="L80" s="23" t="inlineStr">
        <is>
          <t>13_FollowUp.docx</t>
        </is>
      </c>
      <c r="M80" s="23" t="inlineStr">
        <is>
          <t>Z. n. Tofacitinib 07/2019-09/2019, kein Ansprechen</t>
        </is>
      </c>
      <c r="N80" s="23" t="n"/>
    </row>
    <row r="81">
      <c r="A81" s="22" t="n">
        <v>14</v>
      </c>
      <c r="B81" s="23" t="inlineStr">
        <is>
          <t>SpA</t>
        </is>
      </c>
      <c r="C81" s="23" t="inlineStr">
        <is>
          <t>Baseline</t>
        </is>
      </c>
      <c r="D81" s="23" t="inlineStr">
        <is>
          <t>Adalimumab</t>
        </is>
      </c>
      <c r="E81" s="22" t="n">
        <v>40</v>
      </c>
      <c r="F81" s="23" t="inlineStr">
        <is>
          <t>mg</t>
        </is>
      </c>
      <c r="G81" s="22" t="n">
        <v>2</v>
      </c>
      <c r="H81" s="23" t="inlineStr">
        <is>
          <t>Wochen</t>
        </is>
      </c>
      <c r="I81" s="23" t="inlineStr">
        <is>
          <t>Nein</t>
        </is>
      </c>
      <c r="J81" s="23" t="inlineStr">
        <is>
          <t>beendet</t>
        </is>
      </c>
      <c r="K81" s="23" t="inlineStr">
        <is>
          <t>Adalimumb 40 mg alle zwei Wochen (06/18)</t>
        </is>
      </c>
      <c r="L81" s="23" t="inlineStr">
        <is>
          <t>14_Baseline.docx</t>
        </is>
      </c>
      <c r="M81" s="23" t="inlineStr">
        <is>
          <t>Einleitung einer Therapie mit Adalimumb 40 mg alle zwei Wochen (06/18)
Zuletzt begonnene Therapie mit Humira wurde abgesetzt aufgrund Transaminasenanstieg.
Therapie seit Oktober abgesetzt, nun wieder vermehrt axiale Schmerzen und Bewegungseinschränkungen.</t>
        </is>
      </c>
      <c r="N81" s="23" t="inlineStr">
        <is>
          <t>Die Dauermedikationsliste nennt weiterhin Humira; der ausdrückliche Absetzbericht ist für den aktuellen Status maßgeblich.</t>
        </is>
      </c>
    </row>
    <row r="82">
      <c r="A82" s="22" t="n">
        <v>14</v>
      </c>
      <c r="B82" s="23" t="inlineStr">
        <is>
          <t>SpA</t>
        </is>
      </c>
      <c r="C82" s="23" t="inlineStr">
        <is>
          <t>Baseline</t>
        </is>
      </c>
      <c r="D82" s="23" t="inlineStr">
        <is>
          <t>Secukinumab</t>
        </is>
      </c>
      <c r="E82" s="22" t="n">
        <v>150</v>
      </c>
      <c r="F82" s="23" t="inlineStr">
        <is>
          <t>mg</t>
        </is>
      </c>
      <c r="G82" s="22" t="n">
        <v>4</v>
      </c>
      <c r="H82" s="23" t="inlineStr">
        <is>
          <t>Wochen</t>
        </is>
      </c>
      <c r="I82" s="23" t="inlineStr">
        <is>
          <t>Nein</t>
        </is>
      </c>
      <c r="J82" s="23" t="inlineStr">
        <is>
          <t>geplant</t>
        </is>
      </c>
      <c r="K82" s="23" t="inlineStr">
        <is>
          <t>Sekucinumab 150mg s.c. in Woche 0, 1, 2, 3, 4, dann weitere Gaben im 4-Wochen-Abstand</t>
        </is>
      </c>
      <c r="L82" s="23" t="inlineStr">
        <is>
          <t>14_Baseline.docx</t>
        </is>
      </c>
      <c r="M82" s="23" t="inlineStr">
        <is>
          <t>Aufgrund des Transaminasenanstiegs unter Adalimumab erfolgt nun die Umstellung auf Sekucinumab 150mg s.c. in Woche 0, 1, 2, 3, 4, dann weitere Gaben im 4-Wochen-Abstand.
Aktuell wurde dem Pat. empfohlen, die Transaminasen vor Beginn der neuen immunsuppressiven Therapie erneut zu kontrollieren und bei dokumentiertem Rückgang der erhöhten Werte mit der neuen Therapie zu beginnen.</t>
        </is>
      </c>
      <c r="N82" s="23" t="inlineStr">
        <is>
          <t>Das strukturierte Intervall beschreibt die geplante Erhaltungstherapie; die Aufsättigung steht in der Originaldosierung.</t>
        </is>
      </c>
    </row>
    <row r="83">
      <c r="A83" s="22" t="n">
        <v>14</v>
      </c>
      <c r="B83" s="23" t="inlineStr">
        <is>
          <t>SpA</t>
        </is>
      </c>
      <c r="C83" s="23" t="inlineStr">
        <is>
          <t>Follow-up</t>
        </is>
      </c>
      <c r="D83" s="23" t="inlineStr">
        <is>
          <t>Secukinumab</t>
        </is>
      </c>
      <c r="E83" s="22" t="n">
        <v>150</v>
      </c>
      <c r="F83" s="23" t="inlineStr">
        <is>
          <t>mg</t>
        </is>
      </c>
      <c r="G83" s="22" t="n">
        <v>1</v>
      </c>
      <c r="H83" s="23" t="inlineStr">
        <is>
          <t>Monate</t>
        </is>
      </c>
      <c r="I83" s="23" t="inlineStr">
        <is>
          <t>Nein</t>
        </is>
      </c>
      <c r="J83" s="23" t="inlineStr">
        <is>
          <t>laufend</t>
        </is>
      </c>
      <c r="K83" s="23" t="inlineStr">
        <is>
          <t>150mg Secukinumab pro Monat; Dosissteigerung auf 300mg/Monat</t>
        </is>
      </c>
      <c r="L83" s="23" t="inlineStr">
        <is>
          <t>14_FollowUp.docx</t>
        </is>
      </c>
      <c r="M83" s="23" t="inlineStr">
        <is>
          <t>Unter 150mg Secukinumab pro Monat erscheint die rheumatologische Grunderkrankung weiterhin aktiv.
Wir empfehlen daher eine Dosissteigerung auf 300mg/Monat unter weiterhin klinischen und serologischen Kontrollen nach Maßgabe der DGRH.
Secukinumab seit 2/19, Dosissteigerung auf 300mg/Monat ab 12/20
Cosentyx alle 4 Wochen</t>
        </is>
      </c>
      <c r="N83" s="23" t="inlineStr">
        <is>
          <t>150 mg pro Monat als aktuelle Dosierung übernommen; Erhöhung auf 300 mg pro Monat empfohlen und ab Dezember 2020 angegeben.
Abweichende Intervallangaben: Dauermedikationsliste alle 4 Wochen, Beurteilung pro Monat. Die Angaben wurden nicht gleichgesetzt.</t>
        </is>
      </c>
    </row>
    <row r="84">
      <c r="A84" s="22" t="n">
        <v>15</v>
      </c>
      <c r="B84" s="23" t="inlineStr">
        <is>
          <t>SpA</t>
        </is>
      </c>
      <c r="C84" s="23" t="inlineStr">
        <is>
          <t>Baseline</t>
        </is>
      </c>
      <c r="D84" s="23" t="inlineStr">
        <is>
          <t>Secukinumab</t>
        </is>
      </c>
      <c r="E84" s="23" t="n"/>
      <c r="F84" s="23" t="n"/>
      <c r="G84" s="23" t="n"/>
      <c r="H84" s="23" t="n"/>
      <c r="I84" s="23" t="inlineStr">
        <is>
          <t>Unklar</t>
        </is>
      </c>
      <c r="J84" s="23" t="inlineStr">
        <is>
          <t>geplant</t>
        </is>
      </c>
      <c r="K84" s="23" t="n"/>
      <c r="L84" s="23" t="inlineStr">
        <is>
          <t>15_Baseline.docx</t>
        </is>
      </c>
      <c r="M84" s="23" t="inlineStr">
        <is>
          <t>aktuelle Therapie: Einleitung Secukinumab</t>
        </is>
      </c>
      <c r="N84" s="23" t="inlineStr">
        <is>
          <t>Einleitung genannt; tatsächlicher Behandlungsbeginn in dieser Briefgruppe nicht belegt.</t>
        </is>
      </c>
    </row>
    <row r="85">
      <c r="A85" s="22" t="n">
        <v>15</v>
      </c>
      <c r="B85" s="23" t="inlineStr">
        <is>
          <t>SpA</t>
        </is>
      </c>
      <c r="C85" s="23" t="inlineStr">
        <is>
          <t>Baseline</t>
        </is>
      </c>
      <c r="D85" s="23" t="inlineStr">
        <is>
          <t>Ibuprofen</t>
        </is>
      </c>
      <c r="E85" s="23" t="n"/>
      <c r="F85" s="23" t="n"/>
      <c r="G85" s="23" t="n"/>
      <c r="H85" s="23" t="n"/>
      <c r="I85" s="23" t="inlineStr">
        <is>
          <t>Unklar</t>
        </is>
      </c>
      <c r="J85" s="23" t="inlineStr">
        <is>
          <t>beendet</t>
        </is>
      </c>
      <c r="K85" s="23" t="n"/>
      <c r="L85" s="23" t="inlineStr">
        <is>
          <t>15_Baseline.docx</t>
        </is>
      </c>
      <c r="M85" s="23" t="inlineStr">
        <is>
          <t>bisherige Therapie: Ibuprofen, Diclofenac Retard (jeweils über mehrere Monate ohne ausreichende Wirkung)</t>
        </is>
      </c>
      <c r="N85" s="23" t="inlineStr">
        <is>
          <t>Als bisherige Therapie aufgeführt; genauer Absetzzeitpunkt nicht genannt.</t>
        </is>
      </c>
    </row>
    <row r="86">
      <c r="A86" s="22" t="n">
        <v>15</v>
      </c>
      <c r="B86" s="23" t="inlineStr">
        <is>
          <t>SpA</t>
        </is>
      </c>
      <c r="C86" s="23" t="inlineStr">
        <is>
          <t>Baseline</t>
        </is>
      </c>
      <c r="D86" s="23" t="inlineStr">
        <is>
          <t>Diclofenac</t>
        </is>
      </c>
      <c r="E86" s="23" t="n"/>
      <c r="F86" s="23" t="n"/>
      <c r="G86" s="23" t="n"/>
      <c r="H86" s="23" t="n"/>
      <c r="I86" s="23" t="inlineStr">
        <is>
          <t>Unklar</t>
        </is>
      </c>
      <c r="J86" s="23" t="inlineStr">
        <is>
          <t>beendet</t>
        </is>
      </c>
      <c r="K86" s="23" t="inlineStr">
        <is>
          <t>Diclofenac Retard</t>
        </is>
      </c>
      <c r="L86" s="23" t="inlineStr">
        <is>
          <t>15_Baseline.docx</t>
        </is>
      </c>
      <c r="M86" s="23" t="inlineStr">
        <is>
          <t>bisherige Therapie: Ibuprofen, Diclofenac Retard (jeweils über mehrere Monate ohne ausreichende Wirkung)</t>
        </is>
      </c>
      <c r="N86" s="23" t="inlineStr">
        <is>
          <t>Als bisherige Therapie aufgeführt; genauer Absetzzeitpunkt nicht genannt.</t>
        </is>
      </c>
    </row>
    <row r="87">
      <c r="A87" s="22" t="n">
        <v>15</v>
      </c>
      <c r="B87" s="23" t="inlineStr">
        <is>
          <t>SpA</t>
        </is>
      </c>
      <c r="C87" s="23" t="inlineStr">
        <is>
          <t>Follow-up</t>
        </is>
      </c>
      <c r="D87" s="23" t="inlineStr">
        <is>
          <t>Secukinumab</t>
        </is>
      </c>
      <c r="E87" s="23" t="n"/>
      <c r="F87" s="23" t="n"/>
      <c r="G87" s="23" t="n"/>
      <c r="H87" s="23" t="n"/>
      <c r="I87" s="23" t="inlineStr">
        <is>
          <t>Nein</t>
        </is>
      </c>
      <c r="J87" s="23" t="inlineStr">
        <is>
          <t>laufend</t>
        </is>
      </c>
      <c r="K87" s="23" t="inlineStr">
        <is>
          <t>Steigerung der Dosis auf 300mg alle 4 Wochen</t>
        </is>
      </c>
      <c r="L87" s="23" t="inlineStr">
        <is>
          <t>15_FollowUp.docx</t>
        </is>
      </c>
      <c r="M87" s="23" t="inlineStr">
        <is>
          <t>aktuelle Therapie: Secukinumab seit 12/18;
Wir empfehlen daher die Fortführung der Therapie mit Secukinumab allerdings mit Steigerung der Dosis auf 300mg alle 4 Wochen.</t>
        </is>
      </c>
      <c r="N87" s="23" t="inlineStr">
        <is>
          <t>Laufende Dosis und bisheriges Intervall nicht angegeben. 300 mg alle vier Wochen sind als empfohlene Dosissteigerung dokumentiert; Umsetzung nicht belegt.</t>
        </is>
      </c>
    </row>
    <row r="88">
      <c r="A88" s="22" t="n">
        <v>16</v>
      </c>
      <c r="B88" s="23" t="inlineStr">
        <is>
          <t>SpA</t>
        </is>
      </c>
      <c r="C88" s="23" t="inlineStr">
        <is>
          <t>Baseline</t>
        </is>
      </c>
      <c r="D88" s="23" t="inlineStr">
        <is>
          <t>Secukinumab</t>
        </is>
      </c>
      <c r="E88" s="23" t="n"/>
      <c r="F88" s="23" t="n"/>
      <c r="G88" s="23" t="n"/>
      <c r="H88" s="23" t="n"/>
      <c r="I88" s="23" t="inlineStr">
        <is>
          <t>Unklar</t>
        </is>
      </c>
      <c r="J88" s="23" t="inlineStr">
        <is>
          <t>laufend</t>
        </is>
      </c>
      <c r="K88" s="23" t="inlineStr">
        <is>
          <t>nach DGRh-Eindosierungsschema</t>
        </is>
      </c>
      <c r="L88" s="23" t="inlineStr">
        <is>
          <t>16_Baseline.docx</t>
        </is>
      </c>
      <c r="M88" s="23" t="inlineStr">
        <is>
          <t>aktuelle Therapie: Secukinumab (seit 11/18)
Aufgrund der enthesialen Beteiligung empfehlen wir Secukinumab nach DGRh-Eindosierungsschema (wurde dem Patienten mitgegeben) und unter regelmäßigen Kontrollen nach Maßgabe der DGRh.</t>
        </is>
      </c>
      <c r="N88" s="23" t="inlineStr">
        <is>
          <t>Beim Besuch am 19.10.2018 erst empfohlen; im selben Brief seit 11/18 als aktuelle Therapie dokumentiert. Konkrete Dosis und Intervalle fehlen.</t>
        </is>
      </c>
    </row>
    <row r="89">
      <c r="A89" s="22" t="n">
        <v>16</v>
      </c>
      <c r="B89" s="23" t="inlineStr">
        <is>
          <t>SpA</t>
        </is>
      </c>
      <c r="C89" s="23" t="inlineStr">
        <is>
          <t>Baseline</t>
        </is>
      </c>
      <c r="D89" s="23" t="inlineStr">
        <is>
          <t>Ibuprofen</t>
        </is>
      </c>
      <c r="E89" s="23" t="n"/>
      <c r="F89" s="23" t="n"/>
      <c r="G89" s="23" t="n"/>
      <c r="H89" s="23" t="n"/>
      <c r="I89" s="23" t="inlineStr">
        <is>
          <t>Unklar</t>
        </is>
      </c>
      <c r="J89" s="23" t="inlineStr">
        <is>
          <t>beendet</t>
        </is>
      </c>
      <c r="K89" s="23" t="n"/>
      <c r="L89" s="23" t="inlineStr">
        <is>
          <t>16_Baseline.docx</t>
        </is>
      </c>
      <c r="M89" s="23" t="inlineStr">
        <is>
          <t>Rez. weiterhin axiale Beschwerden als auch an den Enthesen unter NSAR, zunächst Ibuprofen, dann Diclofenac, dann Arcoxia für mehrere Wochen.</t>
        </is>
      </c>
      <c r="N89" s="23" t="inlineStr">
        <is>
          <t>Durch nachfolgende NSAR abgelöste Behandlung; kein genaues Enddatum.</t>
        </is>
      </c>
    </row>
    <row r="90">
      <c r="A90" s="22" t="n">
        <v>16</v>
      </c>
      <c r="B90" s="23" t="inlineStr">
        <is>
          <t>SpA</t>
        </is>
      </c>
      <c r="C90" s="23" t="inlineStr">
        <is>
          <t>Baseline</t>
        </is>
      </c>
      <c r="D90" s="23" t="inlineStr">
        <is>
          <t>Diclofenac</t>
        </is>
      </c>
      <c r="E90" s="23" t="n"/>
      <c r="F90" s="23" t="n"/>
      <c r="G90" s="23" t="n"/>
      <c r="H90" s="23" t="n"/>
      <c r="I90" s="23" t="inlineStr">
        <is>
          <t>Unklar</t>
        </is>
      </c>
      <c r="J90" s="23" t="inlineStr">
        <is>
          <t>beendet</t>
        </is>
      </c>
      <c r="K90" s="23" t="n"/>
      <c r="L90" s="23" t="inlineStr">
        <is>
          <t>16_Baseline.docx</t>
        </is>
      </c>
      <c r="M90" s="23" t="inlineStr">
        <is>
          <t>Rez. weiterhin axiale Beschwerden als auch an den Enthesen unter NSAR, zunächst Ibuprofen, dann Diclofenac, dann Arcoxia für mehrere Wochen.</t>
        </is>
      </c>
      <c r="N90" s="23" t="inlineStr">
        <is>
          <t>Durch Arcoxia abgelöste Behandlung; kein genaues Enddatum.</t>
        </is>
      </c>
    </row>
    <row r="91">
      <c r="A91" s="22" t="n">
        <v>16</v>
      </c>
      <c r="B91" s="23" t="inlineStr">
        <is>
          <t>SpA</t>
        </is>
      </c>
      <c r="C91" s="23" t="inlineStr">
        <is>
          <t>Baseline</t>
        </is>
      </c>
      <c r="D91" s="23" t="inlineStr">
        <is>
          <t>Etoricoxib</t>
        </is>
      </c>
      <c r="E91" s="23" t="n"/>
      <c r="F91" s="23" t="n"/>
      <c r="G91" s="23" t="n"/>
      <c r="H91" s="23" t="n"/>
      <c r="I91" s="23" t="inlineStr">
        <is>
          <t>Unklar</t>
        </is>
      </c>
      <c r="J91" s="23" t="inlineStr">
        <is>
          <t>unklar</t>
        </is>
      </c>
      <c r="K91" s="23" t="n"/>
      <c r="L91" s="23" t="inlineStr">
        <is>
          <t>16_Baseline.docx</t>
        </is>
      </c>
      <c r="M91" s="23" t="inlineStr">
        <is>
          <t>bisherige Therapie: Ibuprofen, Diclofenac, Arcoxia (ohne ausreichende Wirkung)
Rez. weiterhin axiale Beschwerden als auch an den Enthesen unter NSAR, zunächst Ibuprofen, dann Diclofenac, dann Arcoxia für mehrere Wochen.</t>
        </is>
      </c>
      <c r="N91" s="23" t="inlineStr">
        <is>
          <t>Als letzte NSAR-Behandlung genannt; Fortführung oder Absetzen bei Umstellung auf Secukinumab nicht eindeutig dokumentiert.</t>
        </is>
      </c>
    </row>
    <row r="92">
      <c r="A92" s="22" t="n">
        <v>16</v>
      </c>
      <c r="B92" s="23" t="inlineStr">
        <is>
          <t>SpA</t>
        </is>
      </c>
      <c r="C92" s="23" t="inlineStr">
        <is>
          <t>Follow-up</t>
        </is>
      </c>
      <c r="D92" s="23" t="inlineStr">
        <is>
          <t>Secukinumab</t>
        </is>
      </c>
      <c r="E92" s="23" t="n"/>
      <c r="F92" s="23" t="n"/>
      <c r="G92" s="23" t="n"/>
      <c r="H92" s="23" t="n"/>
      <c r="I92" s="23" t="inlineStr">
        <is>
          <t>Unklar</t>
        </is>
      </c>
      <c r="J92" s="23" t="inlineStr">
        <is>
          <t>laufend</t>
        </is>
      </c>
      <c r="K92" s="23" t="n"/>
      <c r="L92" s="23" t="inlineStr">
        <is>
          <t>16_FollowUp.docx</t>
        </is>
      </c>
      <c r="M92" s="23" t="inlineStr">
        <is>
          <t>aktuelle Therapie: Secukinumab (seit 11/18)
Aktuell bei gutem Befund klinisch u. laborchemisch empfehlen wir die unveränderte Fortführung der aktuellen Therapie.</t>
        </is>
      </c>
      <c r="N92" s="23" t="n"/>
    </row>
    <row r="93">
      <c r="A93" s="22" t="n">
        <v>16</v>
      </c>
      <c r="B93" s="23" t="inlineStr">
        <is>
          <t>SpA</t>
        </is>
      </c>
      <c r="C93" s="23" t="inlineStr">
        <is>
          <t>Follow-up</t>
        </is>
      </c>
      <c r="D93" s="23" t="inlineStr">
        <is>
          <t>Ibuprofen</t>
        </is>
      </c>
      <c r="E93" s="22" t="n">
        <v>600</v>
      </c>
      <c r="F93" s="23" t="inlineStr">
        <is>
          <t>mg</t>
        </is>
      </c>
      <c r="G93" s="23" t="n"/>
      <c r="H93" s="23" t="n"/>
      <c r="I93" s="23" t="inlineStr">
        <is>
          <t>Ja</t>
        </is>
      </c>
      <c r="J93" s="23" t="inlineStr">
        <is>
          <t>laufend</t>
        </is>
      </c>
      <c r="K93" s="23" t="inlineStr">
        <is>
          <t>Ibu 600mg b.B.</t>
        </is>
      </c>
      <c r="L93" s="23" t="inlineStr">
        <is>
          <t>16_FollowUp.docx</t>
        </is>
      </c>
      <c r="M93" s="23" t="inlineStr">
        <is>
          <t>Ibu 600mg b.B.
Bei grenzwertig erhöhten Leberwerten bitten wir das Vermeiden von Alkohol und NSAR und regelm. Kontrollen beim Hausarzt.</t>
        </is>
      </c>
      <c r="N93" s="23" t="inlineStr">
        <is>
          <t>Als Bedarfsmedikation aufgeführt; zugleich wird wegen erhöhter Leberwerte empfohlen, NSAR zu vermeiden. Ein erfolgtes Absetzen ist nicht dokumentiert.</t>
        </is>
      </c>
    </row>
  </sheetData>
  <autoFilter ref="A1:N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2026-10-20T16:56:32Z</dcterms:created>
  <dcterms:modified xmlns:dcterms="http://purl.org/dc/terms/" xmlns:xsi="http://www.w3.org/2001/XMLSchema-instance" xsi:type="dcterms:W3CDTF">2026-10-20T16:56:32Z</dcterms:modified>
</cp:coreProperties>
</file>