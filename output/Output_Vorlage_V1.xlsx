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in/PycharmProjects/fapi_pet/"/>
    </mc:Choice>
  </mc:AlternateContent>
  <xr:revisionPtr revIDLastSave="0" documentId="13_ncr:1_{CDD18A04-68B6-864A-9167-CB76465D6BF9}" xr6:coauthVersionLast="47" xr6:coauthVersionMax="47" xr10:uidLastSave="{00000000-0000-0000-0000-000000000000}"/>
  <bookViews>
    <workbookView xWindow="0" yWindow="600" windowWidth="28800" windowHeight="16180" xr2:uid="{8E8B704C-B7EF-C94A-96E5-47E3FBC632D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1" l="1"/>
  <c r="F3" i="1"/>
</calcChain>
</file>

<file path=xl/sharedStrings.xml><?xml version="1.0" encoding="utf-8"?>
<sst xmlns="http://schemas.openxmlformats.org/spreadsheetml/2006/main" count="33" uniqueCount="32">
  <si>
    <t>patient_id</t>
  </si>
  <si>
    <t>timepoint</t>
  </si>
  <si>
    <t>MASES</t>
  </si>
  <si>
    <t>TJC</t>
  </si>
  <si>
    <t>SJC</t>
  </si>
  <si>
    <t>disease</t>
  </si>
  <si>
    <t>scan_date</t>
  </si>
  <si>
    <t>clinical_date</t>
  </si>
  <si>
    <t>BA</t>
  </si>
  <si>
    <t>FU</t>
  </si>
  <si>
    <t>days_from_scan</t>
  </si>
  <si>
    <t>Identifikation</t>
  </si>
  <si>
    <t>ASDAS_CRP</t>
  </si>
  <si>
    <t>BASDAI</t>
  </si>
  <si>
    <t>LEI</t>
  </si>
  <si>
    <t>HAQ</t>
  </si>
  <si>
    <t>Scores</t>
  </si>
  <si>
    <t>CRP_value</t>
  </si>
  <si>
    <t>CRP_operator</t>
  </si>
  <si>
    <t>CRP_unit</t>
  </si>
  <si>
    <t>therapy_current</t>
  </si>
  <si>
    <t>Klinische Befunde</t>
  </si>
  <si>
    <t>SpA</t>
  </si>
  <si>
    <t>Labor</t>
  </si>
  <si>
    <t xml:space="preserve">Therapie </t>
  </si>
  <si>
    <t>ibuprofen</t>
  </si>
  <si>
    <t>cosentyx</t>
  </si>
  <si>
    <t>BSG</t>
  </si>
  <si>
    <t>haupmanifestation</t>
  </si>
  <si>
    <t>axiale beschwerden</t>
  </si>
  <si>
    <t>weitere gelenke</t>
  </si>
  <si>
    <t>verlauf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</si>
</sst>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name val="Carlito"/>
    </font>
    <font>
      <sz val="10"/>
      <color rgb="FF23304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3" fillId="6" borderId="1" xfId="1" applyNumberFormat="1" applyFont="1" applyFill="1" applyBorder="1" applyAlignment="1">
      <alignment vertical="center"/>
    </xf>
    <xf numFmtId="164" fontId="3" fillId="0" borderId="1" xfId="1" applyNumberFormat="1" applyFont="1" applyBorder="1" applyAlignment="1">
      <alignment vertical="center"/>
    </xf>
    <xf numFmtId="1" fontId="3" fillId="6" borderId="1" xfId="1" applyNumberFormat="1" applyFont="1" applyFill="1" applyBorder="1" applyAlignment="1">
      <alignment vertical="center"/>
    </xf>
    <xf numFmtId="1" fontId="3" fillId="0" borderId="1" xfId="1" applyNumberFormat="1" applyFont="1" applyBorder="1" applyAlignment="1">
      <alignment vertical="center"/>
    </xf>
    <xf numFmtId="0" fontId="1" fillId="7" borderId="0" xfId="0" applyFont="1" applyFill="1" applyAlignment="1">
      <alignment horizontal="center"/>
    </xf>
  </cellXfs>
  <cellStyles count="2">
    <cellStyle name="Normal" xfId="1" xr:uid="{C0C714C5-1605-354D-9C16-6C6A646C341A}"/>
    <cellStyle name="Standard" xfId="0" builtinId="0"/>
  </cellStyles>
  <dxfs count="1">
    <dxf>
      <fill>
        <patternFill patternType="solid">
          <bgColor rgb="FFFFF5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A40B-24F4-2A41-A6E1-A81ACE5F205C}">
  <dimension ref="A1:V4"/>
  <sheetViews>
    <sheetView tabSelected="1" workbookViewId="0">
      <selection activeCell="T8" sqref="T8"/>
    </sheetView>
  </sheetViews>
  <sheetFormatPr baseColWidth="10" defaultRowHeight="16"/>
  <cols>
    <col min="6" max="6" width="24.33203125" customWidth="1"/>
  </cols>
  <sheetData>
    <row r="1" spans="1:22">
      <c r="A1" s="1" t="s">
        <v>11</v>
      </c>
      <c r="B1" s="1"/>
      <c r="C1" s="1"/>
      <c r="D1" s="1"/>
      <c r="E1" s="1"/>
      <c r="F1" s="1"/>
      <c r="G1" s="2" t="s">
        <v>16</v>
      </c>
      <c r="H1" s="2"/>
      <c r="I1" s="2"/>
      <c r="J1" s="2"/>
      <c r="K1" s="2"/>
      <c r="L1" s="2"/>
      <c r="M1" s="2"/>
      <c r="N1" s="3" t="s">
        <v>23</v>
      </c>
      <c r="O1" s="3"/>
      <c r="P1" s="3"/>
      <c r="Q1" s="3"/>
      <c r="R1" s="9" t="s">
        <v>24</v>
      </c>
      <c r="S1" s="4" t="s">
        <v>21</v>
      </c>
      <c r="T1" s="4"/>
      <c r="U1" s="4"/>
      <c r="V1" s="4"/>
    </row>
    <row r="2" spans="1:22">
      <c r="A2" t="s">
        <v>0</v>
      </c>
      <c r="B2" t="s">
        <v>5</v>
      </c>
      <c r="C2" t="s">
        <v>1</v>
      </c>
      <c r="D2" t="s">
        <v>6</v>
      </c>
      <c r="E2" t="s">
        <v>7</v>
      </c>
      <c r="F2" t="s">
        <v>10</v>
      </c>
      <c r="G2" t="s">
        <v>12</v>
      </c>
      <c r="H2" t="s">
        <v>13</v>
      </c>
      <c r="I2" t="s">
        <v>3</v>
      </c>
      <c r="J2" t="s">
        <v>4</v>
      </c>
      <c r="K2" t="s">
        <v>14</v>
      </c>
      <c r="L2" t="s">
        <v>2</v>
      </c>
      <c r="M2" t="s">
        <v>15</v>
      </c>
      <c r="N2" t="s">
        <v>17</v>
      </c>
      <c r="O2" t="s">
        <v>18</v>
      </c>
      <c r="P2" t="s">
        <v>19</v>
      </c>
      <c r="Q2" t="s">
        <v>27</v>
      </c>
      <c r="R2" t="s">
        <v>20</v>
      </c>
      <c r="S2" t="s">
        <v>28</v>
      </c>
      <c r="T2" t="s">
        <v>29</v>
      </c>
      <c r="U2" t="s">
        <v>30</v>
      </c>
      <c r="V2" t="s">
        <v>31</v>
      </c>
    </row>
    <row r="3" spans="1:22">
      <c r="A3">
        <v>1</v>
      </c>
      <c r="B3" t="s">
        <v>22</v>
      </c>
      <c r="C3" t="s">
        <v>8</v>
      </c>
      <c r="D3" s="5">
        <v>44249</v>
      </c>
      <c r="E3" s="5">
        <v>44160</v>
      </c>
      <c r="F3" s="7">
        <f t="shared" ref="F3:F4" si="0">IF(E3="","",E3-D3)</f>
        <v>-89</v>
      </c>
      <c r="N3">
        <v>35.9</v>
      </c>
      <c r="Q3">
        <v>31</v>
      </c>
      <c r="R3" t="s">
        <v>25</v>
      </c>
    </row>
    <row r="4" spans="1:22">
      <c r="A4">
        <v>1</v>
      </c>
      <c r="B4" t="s">
        <v>22</v>
      </c>
      <c r="C4" t="s">
        <v>9</v>
      </c>
      <c r="D4" s="6">
        <v>44361</v>
      </c>
      <c r="E4" s="6">
        <v>44361</v>
      </c>
      <c r="F4" s="8">
        <f t="shared" si="0"/>
        <v>0</v>
      </c>
      <c r="N4">
        <v>5.4</v>
      </c>
      <c r="Q4">
        <v>3</v>
      </c>
      <c r="R4" t="s">
        <v>26</v>
      </c>
    </row>
  </sheetData>
  <mergeCells count="4">
    <mergeCell ref="A1:F1"/>
    <mergeCell ref="G1:M1"/>
    <mergeCell ref="N1:Q1"/>
    <mergeCell ref="S1:V1"/>
  </mergeCells>
  <conditionalFormatting sqref="F3:F4">
    <cfRule type="expression" dxfId="0" priority="1">
      <formula>ABS(F3)&gt;30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Gutsche, Robin</dc:creator>
  <cp:lastModifiedBy>Gutsche, Robin</cp:lastModifiedBy>
  <dcterms:created xsi:type="dcterms:W3CDTF">2026-10-13T09:56:12Z</dcterms:created>
  <dcterms:modified xsi:type="dcterms:W3CDTF">2026-10-16T15:08:08Z</dcterms:modified>
</cp:coreProperties>
</file>