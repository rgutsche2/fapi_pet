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72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robin/SynologyDrive/_Studium_FAU/Doktorarbeit/Daten/"/>
    </mc:Choice>
  </mc:AlternateContent>
  <xr:revisionPtr revIDLastSave="0" documentId="13_ncr:1_{8D167563-58A9-124D-80B7-C43D967A1625}" xr6:coauthVersionLast="47" xr6:coauthVersionMax="47" xr10:uidLastSave="{00000000-0000-0000-0000-000000000000}"/>
  <bookViews>
    <workbookView xWindow="0" yWindow="600" windowWidth="28800" windowHeight="15720" tabRatio="941" xr2:uid="{00000000-000D-0000-FFFF-FFFF00000000}"/>
  </bookViews>
  <sheets>
    <sheet name="Patientenübersicht" sheetId="16" r:id="rId1"/>
    <sheet name="Hayk Patienten" sheetId="25" r:id="rId2"/>
    <sheet name="POLARIS" sheetId="24" r:id="rId3"/>
    <sheet name="PET-MRT" sheetId="23" r:id="rId4"/>
    <sheet name="FAPI Patienten IgG4 FAPI 46" sheetId="22" r:id="rId5"/>
    <sheet name="IgG-4" sheetId="13" r:id="rId6"/>
    <sheet name="SpA" sheetId="21" r:id="rId7"/>
    <sheet name="PsA" sheetId="20" r:id="rId8"/>
    <sheet name="Rheumatoide Arthritis" sheetId="19" r:id="rId9"/>
    <sheet name="Dynamische Messungen" sheetId="18" r:id="rId10"/>
    <sheet name="DEGINF" sheetId="14" r:id="rId11"/>
    <sheet name="Follow-up DEGINF" sheetId="15" r:id="rId12"/>
    <sheet name="FAPI-MRT" sheetId="17" r:id="rId13"/>
    <sheet name="Histologie" sheetId="2" r:id="rId14"/>
    <sheet name="Auswertung IgG 4" sheetId="5" r:id="rId15"/>
    <sheet name="Lungenfibrose" sheetId="3" r:id="rId16"/>
    <sheet name="Kontrollkollektiv" sheetId="4" r:id="rId17"/>
    <sheet name="Auswertung ArthritisArthropathi" sheetId="6" r:id="rId18"/>
    <sheet name="Follow-up Spondylarthropathie" sheetId="8" r:id="rId19"/>
    <sheet name="Folow-up Lungenfibrose" sheetId="9" r:id="rId20"/>
    <sheet name="RA-Gruppe" sheetId="10" r:id="rId21"/>
    <sheet name="SpA-Gruppe" sheetId="11" r:id="rId22"/>
    <sheet name="Auswertung Lungenfibrose" sheetId="12" r:id="rId2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742" i="15" l="1"/>
  <c r="K743" i="15"/>
  <c r="K744" i="15"/>
  <c r="K745" i="15"/>
  <c r="K746" i="15"/>
  <c r="K747" i="15"/>
  <c r="K748" i="15"/>
  <c r="K749" i="15"/>
  <c r="K750" i="15"/>
  <c r="K751" i="15"/>
  <c r="K752" i="15"/>
  <c r="K753" i="15"/>
  <c r="K754" i="15"/>
  <c r="K755" i="15"/>
  <c r="K756" i="15"/>
  <c r="K757" i="15"/>
  <c r="K758" i="15"/>
  <c r="K760" i="15"/>
  <c r="K761" i="15"/>
  <c r="K762" i="15"/>
  <c r="K763" i="15"/>
  <c r="K765" i="15"/>
  <c r="K766" i="15"/>
  <c r="K767" i="15"/>
  <c r="K768" i="15"/>
  <c r="K769" i="15"/>
  <c r="K770" i="15"/>
  <c r="K771" i="15"/>
  <c r="K772" i="15"/>
  <c r="K773" i="15"/>
  <c r="K775" i="15"/>
  <c r="K776" i="15"/>
  <c r="K777" i="15"/>
  <c r="K778" i="15"/>
  <c r="K683" i="15" l="1"/>
  <c r="K684" i="15"/>
  <c r="K685" i="15"/>
  <c r="K686" i="15"/>
  <c r="K687" i="15"/>
  <c r="K688" i="15"/>
  <c r="K689" i="15"/>
  <c r="K690" i="15"/>
  <c r="K691" i="15"/>
  <c r="K692" i="15"/>
  <c r="K693" i="15"/>
  <c r="K694" i="15"/>
  <c r="K695" i="15"/>
  <c r="K696" i="15"/>
  <c r="K698" i="15"/>
  <c r="K699" i="15"/>
  <c r="K701" i="15"/>
  <c r="K702" i="15"/>
  <c r="K703" i="15"/>
  <c r="K704" i="15"/>
  <c r="K705" i="15"/>
  <c r="K706" i="15"/>
  <c r="K707" i="15"/>
  <c r="K708" i="15"/>
  <c r="K709" i="15"/>
  <c r="K710" i="15"/>
  <c r="K711" i="15"/>
  <c r="K712" i="15"/>
  <c r="K713" i="15"/>
  <c r="K714" i="15"/>
  <c r="K715" i="15"/>
  <c r="K716" i="15"/>
  <c r="K717" i="15"/>
  <c r="K718" i="15"/>
  <c r="K720" i="15"/>
  <c r="K722" i="15"/>
  <c r="K723" i="15"/>
  <c r="K724" i="15"/>
  <c r="K739" i="15"/>
  <c r="K740" i="15"/>
  <c r="K725" i="15"/>
  <c r="K726" i="15"/>
  <c r="K727" i="15"/>
  <c r="K728" i="15"/>
  <c r="K729" i="15"/>
  <c r="K730" i="15"/>
  <c r="K731" i="15"/>
  <c r="K732" i="15"/>
  <c r="K733" i="15"/>
  <c r="K734" i="15"/>
  <c r="K735" i="15"/>
  <c r="K736" i="15"/>
  <c r="K737" i="15"/>
  <c r="K667" i="15"/>
  <c r="K630" i="15"/>
  <c r="K631" i="15"/>
  <c r="K632" i="15"/>
  <c r="K633" i="15"/>
  <c r="K635" i="15"/>
  <c r="K637" i="15"/>
  <c r="K638" i="15"/>
  <c r="K639" i="15"/>
  <c r="K640" i="15"/>
  <c r="K641" i="15"/>
  <c r="K642" i="15"/>
  <c r="K643" i="15"/>
  <c r="K644" i="15"/>
  <c r="K645" i="15"/>
  <c r="K646" i="15"/>
  <c r="K647" i="15"/>
  <c r="K648" i="15"/>
  <c r="K649" i="15"/>
  <c r="K650" i="15"/>
  <c r="K651" i="15"/>
  <c r="K652" i="15"/>
  <c r="K653" i="15"/>
  <c r="K654" i="15"/>
  <c r="K655" i="15"/>
  <c r="K656" i="15"/>
  <c r="K658" i="15"/>
  <c r="K659" i="15"/>
  <c r="K660" i="15"/>
  <c r="K661" i="15"/>
  <c r="K662" i="15"/>
  <c r="K663" i="15"/>
  <c r="K664" i="15"/>
  <c r="K665" i="15"/>
  <c r="K668" i="15"/>
  <c r="K670" i="15"/>
  <c r="K671" i="15"/>
  <c r="K672" i="15"/>
  <c r="K673" i="15"/>
  <c r="K674" i="15"/>
  <c r="K675" i="15"/>
  <c r="K676" i="15"/>
  <c r="K678" i="15"/>
  <c r="K679" i="15"/>
  <c r="K680" i="15"/>
  <c r="K681" i="15"/>
  <c r="K554" i="15" l="1"/>
  <c r="K555" i="15"/>
  <c r="K556" i="15"/>
  <c r="K557" i="15"/>
  <c r="K558" i="15"/>
  <c r="K559" i="15"/>
  <c r="K560" i="15"/>
  <c r="K561" i="15"/>
  <c r="K562" i="15"/>
  <c r="K564" i="15"/>
  <c r="K565" i="15"/>
  <c r="K566" i="15"/>
  <c r="K567" i="15"/>
  <c r="K568" i="15"/>
  <c r="K569" i="15"/>
  <c r="K571" i="15"/>
  <c r="K572" i="15"/>
  <c r="K573" i="15"/>
  <c r="K574" i="15"/>
  <c r="K575" i="15"/>
  <c r="K576" i="15"/>
  <c r="K578" i="15"/>
  <c r="K579" i="15"/>
  <c r="K580" i="15"/>
  <c r="K582" i="15"/>
  <c r="K583" i="15"/>
  <c r="K584" i="15"/>
  <c r="K586" i="15"/>
  <c r="K587" i="15"/>
  <c r="K589" i="15"/>
  <c r="K590" i="15"/>
  <c r="K591" i="15"/>
  <c r="K592" i="15"/>
  <c r="K593" i="15"/>
  <c r="K594" i="15"/>
  <c r="K595" i="15"/>
  <c r="K596" i="15"/>
  <c r="K597" i="15"/>
  <c r="K599" i="15"/>
  <c r="K600" i="15"/>
  <c r="K601" i="15"/>
  <c r="K602" i="15"/>
  <c r="K603" i="15"/>
  <c r="K604" i="15"/>
  <c r="K605" i="15"/>
  <c r="K606" i="15"/>
  <c r="K607" i="15"/>
  <c r="K617" i="15"/>
  <c r="K618" i="15"/>
  <c r="K619" i="15"/>
  <c r="K620" i="15"/>
  <c r="K621" i="15"/>
  <c r="K609" i="15"/>
  <c r="K610" i="15"/>
  <c r="K622" i="15"/>
  <c r="K623" i="15"/>
  <c r="K624" i="15"/>
  <c r="K611" i="15"/>
  <c r="K612" i="15"/>
  <c r="K628" i="15"/>
  <c r="K613" i="15"/>
  <c r="K625" i="15"/>
  <c r="K626" i="15"/>
  <c r="K614" i="15"/>
  <c r="K627" i="15"/>
  <c r="K615" i="15"/>
  <c r="K530" i="15" l="1"/>
  <c r="K531" i="15"/>
  <c r="K532" i="15"/>
  <c r="K533" i="15"/>
  <c r="K534" i="15"/>
  <c r="K535" i="15"/>
  <c r="K536" i="15"/>
  <c r="K537" i="15"/>
  <c r="K538" i="15"/>
  <c r="K539" i="15"/>
  <c r="K540" i="15"/>
  <c r="K542" i="15"/>
  <c r="K543" i="15"/>
  <c r="K544" i="15"/>
  <c r="K545" i="15"/>
  <c r="K552" i="15"/>
  <c r="K547" i="15"/>
  <c r="K548" i="15"/>
  <c r="K549" i="15"/>
  <c r="K550" i="15"/>
  <c r="AC42" i="12" l="1"/>
  <c r="Q42" i="12"/>
  <c r="AC40" i="12"/>
  <c r="Q40" i="12"/>
  <c r="AC38" i="12"/>
  <c r="W38" i="12"/>
  <c r="Q38" i="12"/>
  <c r="AC36" i="12"/>
  <c r="Q36" i="12"/>
  <c r="K36" i="12"/>
  <c r="AC34" i="12"/>
  <c r="W34" i="12"/>
  <c r="Q34" i="12"/>
  <c r="K34" i="12"/>
  <c r="AC32" i="12"/>
  <c r="W32" i="12"/>
  <c r="K32" i="12"/>
  <c r="AC28" i="12"/>
  <c r="Q28" i="12"/>
  <c r="AI26" i="12"/>
  <c r="AC26" i="12"/>
  <c r="W26" i="12"/>
  <c r="Q26" i="12"/>
  <c r="K26" i="12"/>
  <c r="AC24" i="12"/>
  <c r="Q24" i="12"/>
  <c r="AI22" i="12"/>
  <c r="AC22" i="12"/>
  <c r="W22" i="12"/>
  <c r="Q22" i="12"/>
  <c r="K22" i="12"/>
  <c r="AC20" i="12"/>
  <c r="Q20" i="12"/>
  <c r="AI18" i="12"/>
  <c r="AC18" i="12"/>
  <c r="W18" i="12"/>
  <c r="Q18" i="12"/>
  <c r="K18" i="12"/>
  <c r="AC16" i="12"/>
  <c r="Q16" i="12"/>
  <c r="AC14" i="12"/>
  <c r="Q14" i="12"/>
  <c r="AI12" i="12"/>
  <c r="AC12" i="12"/>
  <c r="W12" i="12"/>
  <c r="Q12" i="12"/>
  <c r="K12" i="12"/>
  <c r="AI10" i="12"/>
  <c r="AC10" i="12"/>
  <c r="W10" i="12"/>
  <c r="Q10" i="12"/>
  <c r="K10" i="12"/>
  <c r="AC8" i="12"/>
  <c r="Q8" i="12"/>
  <c r="AC6" i="12"/>
  <c r="Q6" i="12"/>
  <c r="K6" i="12"/>
  <c r="AI4" i="12"/>
  <c r="AC4" i="12"/>
  <c r="W4" i="12"/>
  <c r="Q4" i="12"/>
  <c r="K4" i="12"/>
  <c r="AC2" i="12"/>
  <c r="Q2" i="12"/>
  <c r="N112" i="11"/>
  <c r="N111" i="11"/>
  <c r="N110" i="11"/>
  <c r="N109" i="11"/>
  <c r="N108" i="11"/>
  <c r="N106" i="11"/>
  <c r="N104" i="11"/>
  <c r="N103" i="11"/>
  <c r="N102" i="11"/>
  <c r="N101" i="11"/>
  <c r="N100" i="11"/>
  <c r="N99" i="11"/>
  <c r="N98" i="11"/>
  <c r="N97" i="11"/>
  <c r="N96" i="11"/>
  <c r="N95" i="11"/>
  <c r="N94" i="11"/>
  <c r="N93" i="11"/>
  <c r="N92" i="11"/>
  <c r="N91" i="11"/>
  <c r="N89" i="11"/>
  <c r="N88" i="11"/>
  <c r="N87" i="11"/>
  <c r="N86" i="11"/>
  <c r="N84" i="11"/>
  <c r="N82" i="11"/>
  <c r="N81" i="11"/>
  <c r="N80" i="11"/>
  <c r="N79" i="11"/>
  <c r="N78" i="11"/>
  <c r="N77" i="11"/>
  <c r="N76" i="11"/>
  <c r="N75" i="11"/>
  <c r="N74" i="11"/>
  <c r="N72" i="11"/>
  <c r="N71" i="11"/>
  <c r="N70" i="11"/>
  <c r="N69" i="11"/>
  <c r="N68" i="11"/>
  <c r="N67" i="11"/>
  <c r="N65" i="11"/>
  <c r="N64" i="11"/>
  <c r="N63" i="11"/>
  <c r="N62" i="11"/>
  <c r="N60" i="11"/>
  <c r="N59" i="11"/>
  <c r="N58" i="11"/>
  <c r="N57" i="11"/>
  <c r="N55" i="11"/>
  <c r="N54" i="11"/>
  <c r="N53" i="11"/>
  <c r="N52" i="11"/>
  <c r="N51" i="11"/>
  <c r="N50" i="11"/>
  <c r="N49" i="11"/>
  <c r="N48" i="11"/>
  <c r="N47" i="11"/>
  <c r="N46" i="11"/>
  <c r="N45" i="11"/>
  <c r="N44" i="11"/>
  <c r="N43" i="11"/>
  <c r="N42" i="11"/>
  <c r="N40" i="11"/>
  <c r="N39" i="11"/>
  <c r="N38" i="11"/>
  <c r="N37" i="11"/>
  <c r="N36" i="11"/>
  <c r="N35" i="11"/>
  <c r="N34" i="11"/>
  <c r="N33" i="11"/>
  <c r="N31" i="11"/>
  <c r="N30" i="11"/>
  <c r="N29" i="11"/>
  <c r="N27" i="11"/>
  <c r="N26" i="11"/>
  <c r="N25" i="11"/>
  <c r="N24" i="11"/>
  <c r="N23" i="11"/>
  <c r="N22" i="11"/>
  <c r="N21" i="11"/>
  <c r="N20" i="11"/>
  <c r="N19" i="11"/>
  <c r="N17" i="11"/>
  <c r="N16" i="11"/>
  <c r="N15" i="11"/>
  <c r="N14" i="11"/>
  <c r="N13" i="11"/>
  <c r="N12" i="11"/>
  <c r="N11" i="11"/>
  <c r="N10" i="11"/>
  <c r="N9" i="11"/>
  <c r="N8" i="11"/>
  <c r="N7" i="11"/>
  <c r="N6" i="11"/>
  <c r="N5" i="11"/>
  <c r="N4" i="11"/>
  <c r="N3" i="11"/>
  <c r="N2" i="11"/>
  <c r="N89" i="10"/>
  <c r="N88" i="10"/>
  <c r="N87" i="10"/>
  <c r="N86" i="10"/>
  <c r="N84" i="10"/>
  <c r="N83" i="10"/>
  <c r="N82" i="10"/>
  <c r="N81" i="10"/>
  <c r="N80" i="10"/>
  <c r="N79" i="10"/>
  <c r="N78" i="10"/>
  <c r="N77" i="10"/>
  <c r="N76" i="10"/>
  <c r="N75" i="10"/>
  <c r="N74" i="10"/>
  <c r="N73" i="10"/>
  <c r="N72" i="10"/>
  <c r="N71" i="10"/>
  <c r="N70" i="10"/>
  <c r="N69" i="10"/>
  <c r="N67" i="10"/>
  <c r="N66" i="10"/>
  <c r="N65" i="10"/>
  <c r="N63" i="10"/>
  <c r="N62" i="10"/>
  <c r="N61" i="10"/>
  <c r="N60" i="10"/>
  <c r="N59" i="10"/>
  <c r="N58" i="10"/>
  <c r="N57" i="10"/>
  <c r="N56" i="10"/>
  <c r="N55" i="10"/>
  <c r="N54" i="10"/>
  <c r="N53" i="10"/>
  <c r="N52" i="10"/>
  <c r="N51" i="10"/>
  <c r="N50" i="10"/>
  <c r="N49" i="10"/>
  <c r="N48" i="10"/>
  <c r="N46" i="10"/>
  <c r="N45" i="10"/>
  <c r="N44" i="10"/>
  <c r="N43" i="10"/>
  <c r="N42" i="10"/>
  <c r="N41" i="10"/>
  <c r="N40" i="10"/>
  <c r="N39" i="10"/>
  <c r="N38" i="10"/>
  <c r="N37" i="10"/>
  <c r="N36" i="10"/>
  <c r="N35" i="10"/>
  <c r="N34" i="10"/>
  <c r="N33" i="10"/>
  <c r="N32" i="10"/>
  <c r="N31" i="10"/>
  <c r="N30" i="10"/>
  <c r="N29" i="10"/>
  <c r="N28" i="10"/>
  <c r="N27" i="10"/>
  <c r="N26" i="10"/>
  <c r="N25" i="10"/>
  <c r="N24" i="10"/>
  <c r="N23" i="10"/>
  <c r="N22" i="10"/>
  <c r="N20" i="10"/>
  <c r="N19" i="10"/>
  <c r="N18" i="10"/>
  <c r="N17" i="10"/>
  <c r="N15" i="10"/>
  <c r="N14" i="10"/>
  <c r="N13" i="10"/>
  <c r="N12" i="10"/>
  <c r="N11" i="10"/>
  <c r="N10" i="10"/>
  <c r="N9" i="10"/>
  <c r="N8" i="10"/>
  <c r="N7" i="10"/>
  <c r="N6" i="10"/>
  <c r="N5" i="10"/>
  <c r="N4" i="10"/>
  <c r="N3" i="10"/>
  <c r="N2" i="10"/>
  <c r="BR2" i="9"/>
  <c r="BF2" i="9"/>
  <c r="AZ2" i="9"/>
  <c r="AD2" i="9"/>
  <c r="R2" i="9"/>
  <c r="L2" i="9"/>
  <c r="M37" i="8"/>
  <c r="M36" i="8"/>
  <c r="M35" i="8"/>
  <c r="M34" i="8"/>
  <c r="X33" i="8"/>
  <c r="M33" i="8"/>
  <c r="X32" i="8"/>
  <c r="M32" i="8"/>
  <c r="M31" i="8"/>
  <c r="X30" i="8"/>
  <c r="M30" i="8"/>
  <c r="X28" i="8"/>
  <c r="M27" i="8"/>
  <c r="M26" i="8"/>
  <c r="X25" i="8"/>
  <c r="M25" i="8"/>
  <c r="M24" i="8"/>
  <c r="M23" i="8"/>
  <c r="M22" i="8"/>
  <c r="M21" i="8"/>
  <c r="M20" i="8"/>
  <c r="M19" i="8"/>
  <c r="M17" i="8"/>
  <c r="M16" i="8"/>
  <c r="M15" i="8"/>
  <c r="M14" i="8"/>
  <c r="M13" i="8"/>
  <c r="M12" i="8"/>
  <c r="M11" i="8"/>
  <c r="M10" i="8"/>
  <c r="M9" i="8"/>
  <c r="M8" i="8"/>
  <c r="M7" i="8"/>
  <c r="M6" i="8"/>
  <c r="M5" i="8"/>
  <c r="M4" i="8"/>
  <c r="M3" i="8"/>
  <c r="M2" i="8"/>
  <c r="M202" i="6"/>
  <c r="M201" i="6"/>
  <c r="M200" i="6"/>
  <c r="M199" i="6"/>
  <c r="M197" i="6"/>
  <c r="M196" i="6"/>
  <c r="M195" i="6"/>
  <c r="M194" i="6"/>
  <c r="M193" i="6"/>
  <c r="M191" i="6"/>
  <c r="M190" i="6"/>
  <c r="M189" i="6"/>
  <c r="M188" i="6"/>
  <c r="M187" i="6"/>
  <c r="M186" i="6"/>
  <c r="M185" i="6"/>
  <c r="M184" i="6"/>
  <c r="M183" i="6"/>
  <c r="M182" i="6"/>
  <c r="M181" i="6"/>
  <c r="M180" i="6"/>
  <c r="M179" i="6"/>
  <c r="M178" i="6"/>
  <c r="M177" i="6"/>
  <c r="M176" i="6"/>
  <c r="M174" i="6"/>
  <c r="M172" i="6"/>
  <c r="M171" i="6"/>
  <c r="M170" i="6"/>
  <c r="M169" i="6"/>
  <c r="M168" i="6"/>
  <c r="M167" i="6"/>
  <c r="M166" i="6"/>
  <c r="M165" i="6"/>
  <c r="M164" i="6"/>
  <c r="M163" i="6"/>
  <c r="M162" i="6"/>
  <c r="M161" i="6"/>
  <c r="M160" i="6"/>
  <c r="M159" i="6"/>
  <c r="M157" i="6"/>
  <c r="M156" i="6"/>
  <c r="M155" i="6"/>
  <c r="M154" i="6"/>
  <c r="M152" i="6"/>
  <c r="M150" i="6"/>
  <c r="M149" i="6"/>
  <c r="M148" i="6"/>
  <c r="M147" i="6"/>
  <c r="M146" i="6"/>
  <c r="M145" i="6"/>
  <c r="M144" i="6"/>
  <c r="M143" i="6"/>
  <c r="M142" i="6"/>
  <c r="M140" i="6"/>
  <c r="M139" i="6"/>
  <c r="M138" i="6"/>
  <c r="M137" i="6"/>
  <c r="M136" i="6"/>
  <c r="M135" i="6"/>
  <c r="M133" i="6"/>
  <c r="M132" i="6"/>
  <c r="M131" i="6"/>
  <c r="M129" i="6"/>
  <c r="M128" i="6"/>
  <c r="M127" i="6"/>
  <c r="M126" i="6"/>
  <c r="M124" i="6"/>
  <c r="M123" i="6"/>
  <c r="M122" i="6"/>
  <c r="M121" i="6"/>
  <c r="M119" i="6"/>
  <c r="M118" i="6"/>
  <c r="M117" i="6"/>
  <c r="M116" i="6"/>
  <c r="M115" i="6"/>
  <c r="M114" i="6"/>
  <c r="M113" i="6"/>
  <c r="M112" i="6"/>
  <c r="M111" i="6"/>
  <c r="M110" i="6"/>
  <c r="M109" i="6"/>
  <c r="M108" i="6"/>
  <c r="M107" i="6"/>
  <c r="M106" i="6"/>
  <c r="M105" i="6"/>
  <c r="M104" i="6"/>
  <c r="M102" i="6"/>
  <c r="M101" i="6"/>
  <c r="M100" i="6"/>
  <c r="M99" i="6"/>
  <c r="M98" i="6"/>
  <c r="M97" i="6"/>
  <c r="M96" i="6"/>
  <c r="M95" i="6"/>
  <c r="M94" i="6"/>
  <c r="M93" i="6"/>
  <c r="M92" i="6"/>
  <c r="M91" i="6"/>
  <c r="M90" i="6"/>
  <c r="M89" i="6"/>
  <c r="M87" i="6"/>
  <c r="M86" i="6"/>
  <c r="M85" i="6"/>
  <c r="M84" i="6"/>
  <c r="M83" i="6"/>
  <c r="M82" i="6"/>
  <c r="M81" i="6"/>
  <c r="M80" i="6"/>
  <c r="M77" i="6"/>
  <c r="M76" i="6"/>
  <c r="M75" i="6"/>
  <c r="M74" i="6"/>
  <c r="M73" i="6"/>
  <c r="M72" i="6"/>
  <c r="M71" i="6"/>
  <c r="M70" i="6"/>
  <c r="M69" i="6"/>
  <c r="M68" i="6"/>
  <c r="M67" i="6"/>
  <c r="M66" i="6"/>
  <c r="M65" i="6"/>
  <c r="M64" i="6"/>
  <c r="M63" i="6"/>
  <c r="M62" i="6"/>
  <c r="M61" i="6"/>
  <c r="M60" i="6"/>
  <c r="M59" i="6"/>
  <c r="M58" i="6"/>
  <c r="M57" i="6"/>
  <c r="M56" i="6"/>
  <c r="M55" i="6"/>
  <c r="M54" i="6"/>
  <c r="M53" i="6"/>
  <c r="M51" i="6"/>
  <c r="M50" i="6"/>
  <c r="M49" i="6"/>
  <c r="M47" i="6"/>
  <c r="M46" i="6"/>
  <c r="M45" i="6"/>
  <c r="M44" i="6"/>
  <c r="M43" i="6"/>
  <c r="M42" i="6"/>
  <c r="M41" i="6"/>
  <c r="M40" i="6"/>
  <c r="M39" i="6"/>
  <c r="M37" i="6"/>
  <c r="M36" i="6"/>
  <c r="M35" i="6"/>
  <c r="M34" i="6"/>
  <c r="M32" i="6"/>
  <c r="M31" i="6"/>
  <c r="M30" i="6"/>
  <c r="M29" i="6"/>
  <c r="M28" i="6"/>
  <c r="M27" i="6"/>
  <c r="M26" i="6"/>
  <c r="M25" i="6"/>
  <c r="M24" i="6"/>
  <c r="M23" i="6"/>
  <c r="M22" i="6"/>
  <c r="M21" i="6"/>
  <c r="M20" i="6"/>
  <c r="M19" i="6"/>
  <c r="M18" i="6"/>
  <c r="M17" i="6"/>
  <c r="M15" i="6"/>
  <c r="M14" i="6"/>
  <c r="M13" i="6"/>
  <c r="M12" i="6"/>
  <c r="M11" i="6"/>
  <c r="M10" i="6"/>
  <c r="M9" i="6"/>
  <c r="M8" i="6"/>
  <c r="M7" i="6"/>
  <c r="M6" i="6"/>
  <c r="M5" i="6"/>
  <c r="M4" i="6"/>
  <c r="M3" i="6"/>
  <c r="M2" i="6"/>
  <c r="N67" i="4"/>
  <c r="N66" i="4"/>
  <c r="N65" i="4"/>
  <c r="N64" i="4"/>
  <c r="N63" i="4"/>
  <c r="N61" i="4"/>
  <c r="N60" i="4"/>
  <c r="N59" i="4"/>
  <c r="N58" i="4"/>
  <c r="N56" i="4"/>
  <c r="N55" i="4"/>
  <c r="N54" i="4"/>
  <c r="N53" i="4"/>
  <c r="N52" i="4"/>
  <c r="N51" i="4"/>
  <c r="N50" i="4"/>
  <c r="N49" i="4"/>
  <c r="N47" i="4"/>
  <c r="N46" i="4"/>
  <c r="N45" i="4"/>
  <c r="N44" i="4"/>
  <c r="N43" i="4"/>
  <c r="N41" i="4"/>
  <c r="N40" i="4"/>
  <c r="N39" i="4"/>
  <c r="N38" i="4"/>
  <c r="N36" i="4"/>
  <c r="N35" i="4"/>
  <c r="N34" i="4"/>
  <c r="N33" i="4"/>
  <c r="N32" i="4"/>
  <c r="N31" i="4"/>
  <c r="N29" i="4"/>
  <c r="N28" i="4"/>
  <c r="N27" i="4"/>
  <c r="N26" i="4"/>
  <c r="N25" i="4"/>
  <c r="N24" i="4"/>
  <c r="N23" i="4"/>
  <c r="N21" i="4"/>
  <c r="N20" i="4"/>
  <c r="N19" i="4"/>
  <c r="N18" i="4"/>
  <c r="N17" i="4"/>
  <c r="N16" i="4"/>
  <c r="N15" i="4"/>
  <c r="N13" i="4"/>
  <c r="N12" i="4"/>
  <c r="N11" i="4"/>
  <c r="N10" i="4"/>
  <c r="N9" i="4"/>
  <c r="N8" i="4"/>
  <c r="N7" i="4"/>
  <c r="N5" i="4"/>
  <c r="N4" i="4"/>
  <c r="N3" i="4"/>
  <c r="N2" i="4"/>
  <c r="N165" i="5"/>
  <c r="BD163" i="5"/>
  <c r="N163" i="5"/>
  <c r="BC34" i="5"/>
  <c r="BB34" i="5"/>
  <c r="BA34" i="5"/>
  <c r="AZ34" i="5"/>
  <c r="M34" i="5"/>
  <c r="L34" i="5"/>
  <c r="K34" i="5"/>
  <c r="J34" i="5"/>
  <c r="BC33" i="5"/>
  <c r="BB33" i="5"/>
  <c r="BA33" i="5"/>
  <c r="AZ33" i="5"/>
  <c r="M33" i="5"/>
  <c r="L33" i="5"/>
  <c r="K33" i="5"/>
  <c r="J33" i="5"/>
  <c r="BC32" i="5"/>
  <c r="BB32" i="5"/>
  <c r="BA32" i="5"/>
  <c r="AZ32" i="5"/>
  <c r="M32" i="5"/>
  <c r="L32" i="5"/>
  <c r="K32" i="5"/>
  <c r="J32" i="5"/>
  <c r="BC31" i="5"/>
  <c r="BB31" i="5"/>
  <c r="BA31" i="5"/>
  <c r="AZ31" i="5"/>
  <c r="M31" i="5"/>
  <c r="L31" i="5"/>
  <c r="K31" i="5"/>
  <c r="J31" i="5"/>
  <c r="AS29" i="5"/>
  <c r="N29" i="5"/>
  <c r="CM28" i="5"/>
  <c r="CL28" i="5"/>
  <c r="CK28" i="5"/>
  <c r="CJ28" i="5"/>
  <c r="BD28" i="5"/>
  <c r="AS28" i="5"/>
  <c r="R28" i="5"/>
  <c r="N28" i="5"/>
  <c r="BD27" i="5"/>
  <c r="AS27" i="5"/>
  <c r="N27" i="5"/>
  <c r="BY26" i="5"/>
  <c r="BN26" i="5"/>
  <c r="BM26" i="5"/>
  <c r="BL26" i="5"/>
  <c r="BK26" i="5"/>
  <c r="BG26" i="5"/>
  <c r="BI26" i="5" s="1"/>
  <c r="BD26" i="5"/>
  <c r="AS26" i="5"/>
  <c r="AB26" i="5"/>
  <c r="AA26" i="5"/>
  <c r="Z26" i="5"/>
  <c r="Y26" i="5"/>
  <c r="U26" i="5"/>
  <c r="W26" i="5" s="1"/>
  <c r="AI26" i="13" s="1"/>
  <c r="N26" i="5"/>
  <c r="BD24" i="5"/>
  <c r="AS24" i="5"/>
  <c r="N24" i="5"/>
  <c r="BN23" i="5"/>
  <c r="BM23" i="5"/>
  <c r="BL23" i="5"/>
  <c r="BK23" i="5"/>
  <c r="BG23" i="5"/>
  <c r="BI23" i="5" s="1"/>
  <c r="BD23" i="5"/>
  <c r="AS23" i="5"/>
  <c r="AB23" i="5"/>
  <c r="AA23" i="5"/>
  <c r="Z23" i="5"/>
  <c r="Y23" i="5"/>
  <c r="U23" i="5"/>
  <c r="W23" i="5" s="1"/>
  <c r="AI23" i="13" s="1"/>
  <c r="N23" i="5"/>
  <c r="BO21" i="5"/>
  <c r="BI21" i="5"/>
  <c r="BD21" i="5"/>
  <c r="AB21" i="5"/>
  <c r="AA21" i="5"/>
  <c r="Z21" i="5"/>
  <c r="Y21" i="5"/>
  <c r="W21" i="5"/>
  <c r="N21" i="5"/>
  <c r="AC21" i="5" s="1"/>
  <c r="BD19" i="5"/>
  <c r="AS19" i="5"/>
  <c r="N19" i="5"/>
  <c r="BD18" i="5"/>
  <c r="AS18" i="5"/>
  <c r="N18" i="5"/>
  <c r="BD17" i="5"/>
  <c r="AS17" i="5"/>
  <c r="N17" i="5"/>
  <c r="BD16" i="5"/>
  <c r="AS16" i="5"/>
  <c r="N16" i="5"/>
  <c r="BD15" i="5"/>
  <c r="AS15" i="5"/>
  <c r="N15" i="5"/>
  <c r="BD14" i="5"/>
  <c r="AS14" i="5"/>
  <c r="N14" i="5"/>
  <c r="BD13" i="5"/>
  <c r="AS13" i="5"/>
  <c r="N13" i="5"/>
  <c r="BD12" i="5"/>
  <c r="AS12" i="5"/>
  <c r="N12" i="5"/>
  <c r="BD11" i="5"/>
  <c r="AS11" i="5"/>
  <c r="N11" i="5"/>
  <c r="BD10" i="5"/>
  <c r="AS10" i="5"/>
  <c r="N10" i="5"/>
  <c r="BY9" i="5"/>
  <c r="BD9" i="5"/>
  <c r="AS9" i="5"/>
  <c r="N9" i="5"/>
  <c r="BD8" i="5"/>
  <c r="AS8" i="5"/>
  <c r="N8" i="5"/>
  <c r="AS7" i="5"/>
  <c r="N7" i="5"/>
  <c r="BN6" i="5"/>
  <c r="BM6" i="5"/>
  <c r="BL6" i="5"/>
  <c r="BK6" i="5"/>
  <c r="BG6" i="5"/>
  <c r="BI6" i="5" s="1"/>
  <c r="BD6" i="5"/>
  <c r="AS6" i="5"/>
  <c r="AB6" i="5"/>
  <c r="AA6" i="5"/>
  <c r="Z6" i="5"/>
  <c r="Y6" i="5"/>
  <c r="U6" i="5"/>
  <c r="W6" i="5" s="1"/>
  <c r="N6" i="5"/>
  <c r="BO4" i="5"/>
  <c r="BI4" i="5"/>
  <c r="BD4" i="5"/>
  <c r="AS4" i="5"/>
  <c r="AB4" i="5"/>
  <c r="AA4" i="5"/>
  <c r="Z4" i="5"/>
  <c r="Y4" i="5"/>
  <c r="W4" i="5"/>
  <c r="AI4" i="13" s="1"/>
  <c r="N4" i="5"/>
  <c r="BO2" i="5"/>
  <c r="BI2" i="5"/>
  <c r="BD2" i="5"/>
  <c r="AS2" i="5"/>
  <c r="AB2" i="5"/>
  <c r="AA2" i="5"/>
  <c r="Z2" i="5"/>
  <c r="Y2" i="5"/>
  <c r="W2" i="5"/>
  <c r="N2" i="5"/>
  <c r="AC2" i="5" s="1"/>
  <c r="AF29" i="13"/>
  <c r="T29" i="13"/>
  <c r="AF28" i="13"/>
  <c r="T28" i="13"/>
  <c r="N28" i="13"/>
  <c r="AF27" i="13"/>
  <c r="T27" i="13"/>
  <c r="N27" i="13"/>
  <c r="AF26" i="13"/>
  <c r="Z26" i="13"/>
  <c r="T26" i="13"/>
  <c r="N26" i="13"/>
  <c r="AI25" i="13"/>
  <c r="AI24" i="13"/>
  <c r="AF24" i="13"/>
  <c r="T24" i="13"/>
  <c r="N24" i="13"/>
  <c r="AF23" i="13"/>
  <c r="T23" i="13"/>
  <c r="N23" i="13"/>
  <c r="AI22" i="13"/>
  <c r="AI21" i="13"/>
  <c r="T21" i="13"/>
  <c r="N21" i="13"/>
  <c r="AI20" i="13"/>
  <c r="AI19" i="13"/>
  <c r="AF19" i="13"/>
  <c r="T19" i="13"/>
  <c r="N19" i="13"/>
  <c r="AI18" i="13"/>
  <c r="AF18" i="13"/>
  <c r="T18" i="13"/>
  <c r="N18" i="13"/>
  <c r="AI17" i="13"/>
  <c r="AF17" i="13"/>
  <c r="T17" i="13"/>
  <c r="N17" i="13"/>
  <c r="AI16" i="13"/>
  <c r="AF16" i="13"/>
  <c r="T16" i="13"/>
  <c r="N16" i="13"/>
  <c r="AI15" i="13"/>
  <c r="AF15" i="13"/>
  <c r="T15" i="13"/>
  <c r="N15" i="13"/>
  <c r="AI14" i="13"/>
  <c r="AF14" i="13"/>
  <c r="T14" i="13"/>
  <c r="N14" i="13"/>
  <c r="AI13" i="13"/>
  <c r="AF13" i="13"/>
  <c r="T13" i="13"/>
  <c r="N13" i="13"/>
  <c r="AI12" i="13"/>
  <c r="AF12" i="13"/>
  <c r="T12" i="13"/>
  <c r="N12" i="13"/>
  <c r="AI11" i="13"/>
  <c r="AF11" i="13"/>
  <c r="T11" i="13"/>
  <c r="N11" i="13"/>
  <c r="AI10" i="13"/>
  <c r="AF10" i="13"/>
  <c r="T10" i="13"/>
  <c r="N10" i="13"/>
  <c r="AI9" i="13"/>
  <c r="AF9" i="13"/>
  <c r="Z9" i="13"/>
  <c r="T9" i="13"/>
  <c r="N9" i="13"/>
  <c r="AI8" i="13"/>
  <c r="AF8" i="13"/>
  <c r="T8" i="13"/>
  <c r="N8" i="13"/>
  <c r="AI7" i="13"/>
  <c r="AF7" i="13"/>
  <c r="T7" i="13"/>
  <c r="AF6" i="13"/>
  <c r="T6" i="13"/>
  <c r="N6" i="13"/>
  <c r="AI5" i="13"/>
  <c r="AF4" i="13"/>
  <c r="T4" i="13"/>
  <c r="N4" i="13"/>
  <c r="AI3" i="13"/>
  <c r="AI2" i="13"/>
  <c r="AF2" i="13"/>
  <c r="T2" i="13"/>
  <c r="N2" i="13"/>
  <c r="AI1" i="13"/>
  <c r="K528" i="15"/>
  <c r="K527" i="15"/>
  <c r="K525" i="15"/>
  <c r="K524" i="15"/>
  <c r="K523" i="15"/>
  <c r="K522" i="15"/>
  <c r="K521" i="15"/>
  <c r="K520" i="15"/>
  <c r="K518" i="15"/>
  <c r="K517" i="15"/>
  <c r="K516" i="15"/>
  <c r="K514" i="15"/>
  <c r="K513" i="15"/>
  <c r="K512" i="15"/>
  <c r="K511" i="15"/>
  <c r="K510" i="15"/>
  <c r="K509" i="15"/>
  <c r="K508" i="15"/>
  <c r="K507" i="15"/>
  <c r="K506" i="15"/>
  <c r="K505" i="15"/>
  <c r="K503" i="15"/>
  <c r="K501" i="15"/>
  <c r="K500" i="15"/>
  <c r="K499" i="15"/>
  <c r="K497" i="15"/>
  <c r="K495" i="15"/>
  <c r="K494" i="15"/>
  <c r="K493" i="15"/>
  <c r="K491" i="15"/>
  <c r="K490" i="15"/>
  <c r="K488" i="15"/>
  <c r="K487" i="15"/>
  <c r="K485" i="15"/>
  <c r="K484" i="15"/>
  <c r="K482" i="15"/>
  <c r="K481" i="15"/>
  <c r="K479" i="15"/>
  <c r="K477" i="15"/>
  <c r="K476" i="15"/>
  <c r="K475" i="15"/>
  <c r="K474" i="15"/>
  <c r="K473" i="15"/>
  <c r="K472" i="15"/>
  <c r="K471" i="15"/>
  <c r="K470" i="15"/>
  <c r="K469" i="15"/>
  <c r="K468" i="15"/>
  <c r="K467" i="15"/>
  <c r="K466" i="15"/>
  <c r="K465" i="15"/>
  <c r="K464" i="15"/>
  <c r="K462" i="15"/>
  <c r="K460" i="15"/>
  <c r="K459" i="15"/>
  <c r="K458" i="15"/>
  <c r="K457" i="15"/>
  <c r="K456" i="15"/>
  <c r="K455" i="15"/>
  <c r="K454" i="15"/>
  <c r="K453" i="15"/>
  <c r="K452" i="15"/>
  <c r="K451" i="15"/>
  <c r="K450" i="15"/>
  <c r="K449" i="15"/>
  <c r="K448" i="15"/>
  <c r="K447" i="15"/>
  <c r="K434" i="15"/>
  <c r="K433" i="15"/>
  <c r="K432" i="15"/>
  <c r="K431" i="15"/>
  <c r="K430" i="15"/>
  <c r="K429" i="15"/>
  <c r="K428" i="15"/>
  <c r="K427" i="15"/>
  <c r="K426" i="15"/>
  <c r="K425" i="15"/>
  <c r="K423" i="15"/>
  <c r="K422" i="15"/>
  <c r="K421" i="15"/>
  <c r="K420" i="15"/>
  <c r="K419" i="15"/>
  <c r="K417" i="15"/>
  <c r="K416" i="15"/>
  <c r="K415" i="15"/>
  <c r="K414" i="15"/>
  <c r="K412" i="15"/>
  <c r="K411" i="15"/>
  <c r="K410" i="15"/>
  <c r="K409" i="15"/>
  <c r="K408" i="15"/>
  <c r="K406" i="15"/>
  <c r="K405" i="15"/>
  <c r="K404" i="15"/>
  <c r="K403" i="15"/>
  <c r="K401" i="15"/>
  <c r="K400" i="15"/>
  <c r="K399" i="15"/>
  <c r="K398" i="15"/>
  <c r="K396" i="15"/>
  <c r="K395" i="15"/>
  <c r="K394" i="15"/>
  <c r="K393" i="15"/>
  <c r="K391" i="15"/>
  <c r="K390" i="15"/>
  <c r="K389" i="15"/>
  <c r="K387" i="15"/>
  <c r="K386" i="15"/>
  <c r="K385" i="15"/>
  <c r="K383" i="15"/>
  <c r="K382" i="15"/>
  <c r="K381" i="15"/>
  <c r="K380" i="15"/>
  <c r="K378" i="15"/>
  <c r="K377" i="15"/>
  <c r="K376" i="15"/>
  <c r="K374" i="15"/>
  <c r="K373" i="15"/>
  <c r="K372" i="15"/>
  <c r="K371" i="15"/>
  <c r="K369" i="15"/>
  <c r="K368" i="15"/>
  <c r="K367" i="15"/>
  <c r="K365" i="15"/>
  <c r="K364" i="15"/>
  <c r="K363" i="15"/>
  <c r="K362" i="15"/>
  <c r="K360" i="15"/>
  <c r="K359" i="15"/>
  <c r="K358" i="15"/>
  <c r="K357" i="15"/>
  <c r="K355" i="15"/>
  <c r="K354" i="15"/>
  <c r="K352" i="15"/>
  <c r="K351" i="15"/>
  <c r="K349" i="15"/>
  <c r="K348" i="15"/>
  <c r="K346" i="15"/>
  <c r="K344" i="15"/>
  <c r="K343" i="15"/>
  <c r="K341" i="15"/>
  <c r="K339" i="15"/>
  <c r="K338" i="15"/>
  <c r="K337" i="15"/>
  <c r="K336" i="15"/>
  <c r="K334" i="15"/>
  <c r="K333" i="15"/>
  <c r="K332" i="15"/>
  <c r="K331" i="15"/>
  <c r="K329" i="15"/>
  <c r="K328" i="15"/>
  <c r="K327" i="15"/>
  <c r="K326" i="15"/>
  <c r="K324" i="15"/>
  <c r="K323" i="15"/>
  <c r="K322" i="15"/>
  <c r="K321" i="15"/>
  <c r="K319" i="15"/>
  <c r="K317" i="15"/>
  <c r="K316" i="15"/>
  <c r="K315" i="15"/>
  <c r="K313" i="15"/>
  <c r="K311" i="15"/>
  <c r="K310" i="15"/>
  <c r="K309" i="15"/>
  <c r="K307" i="15"/>
  <c r="K306" i="15"/>
  <c r="K304" i="15"/>
  <c r="K303" i="15"/>
  <c r="K302" i="15"/>
  <c r="K301" i="15"/>
  <c r="K300" i="15"/>
  <c r="K299" i="15"/>
  <c r="K298" i="15"/>
  <c r="K297" i="15"/>
  <c r="K296" i="15"/>
  <c r="K295" i="15"/>
  <c r="K294" i="15"/>
  <c r="K293" i="15"/>
  <c r="K292" i="15"/>
  <c r="K291" i="15"/>
  <c r="K290" i="15"/>
  <c r="K288" i="15"/>
  <c r="K287" i="15"/>
  <c r="K285" i="15"/>
  <c r="K284" i="15"/>
  <c r="K283" i="15"/>
  <c r="K282" i="15"/>
  <c r="K281" i="15"/>
  <c r="K280" i="15"/>
  <c r="K279" i="15"/>
  <c r="K278" i="15"/>
  <c r="K277" i="15"/>
  <c r="K276" i="15"/>
  <c r="K275" i="15"/>
  <c r="K274" i="15"/>
  <c r="K273" i="15"/>
  <c r="K272" i="15"/>
  <c r="K271" i="15"/>
  <c r="K269" i="15"/>
  <c r="K268" i="15"/>
  <c r="K266" i="15"/>
  <c r="K265" i="15"/>
  <c r="K263" i="15"/>
  <c r="K262" i="15"/>
  <c r="K260" i="15"/>
  <c r="K259" i="15"/>
  <c r="K257" i="15"/>
  <c r="K256" i="15"/>
  <c r="K254" i="15"/>
  <c r="K253" i="15"/>
  <c r="K252" i="15"/>
  <c r="K250" i="15"/>
  <c r="K249" i="15"/>
  <c r="K247" i="15"/>
  <c r="K246" i="15"/>
  <c r="K245" i="15"/>
  <c r="K243" i="15"/>
  <c r="K241" i="15"/>
  <c r="K239" i="15"/>
  <c r="K237" i="15"/>
  <c r="K236" i="15"/>
  <c r="K235" i="15"/>
  <c r="K234" i="15"/>
  <c r="K233" i="15"/>
  <c r="K231" i="15"/>
  <c r="K229" i="15"/>
  <c r="K228" i="15"/>
  <c r="K227" i="15"/>
  <c r="K226" i="15"/>
  <c r="K225" i="15"/>
  <c r="K223" i="15"/>
  <c r="K222" i="15"/>
  <c r="K221" i="15"/>
  <c r="K220" i="15"/>
  <c r="K218" i="15"/>
  <c r="K217" i="15"/>
  <c r="K215" i="15"/>
  <c r="K214" i="15"/>
  <c r="K213" i="15"/>
  <c r="K212" i="15"/>
  <c r="K210" i="15"/>
  <c r="K209" i="15"/>
  <c r="K207" i="15"/>
  <c r="K206" i="15"/>
  <c r="K205" i="15"/>
  <c r="K203" i="15"/>
  <c r="K202" i="15"/>
  <c r="K200" i="15"/>
  <c r="K199" i="15"/>
  <c r="K198" i="15"/>
  <c r="K196" i="15"/>
  <c r="K195" i="15"/>
  <c r="K193" i="15"/>
  <c r="K192" i="15"/>
  <c r="K191" i="15"/>
  <c r="K189" i="15"/>
  <c r="K188" i="15"/>
  <c r="K187" i="15"/>
  <c r="K186" i="15"/>
  <c r="K184" i="15"/>
  <c r="K183" i="15"/>
  <c r="K182" i="15"/>
  <c r="K180" i="15"/>
  <c r="K179" i="15"/>
  <c r="K178" i="15"/>
  <c r="K177" i="15"/>
  <c r="K175" i="15"/>
  <c r="K174" i="15"/>
  <c r="K172" i="15"/>
  <c r="K171" i="15"/>
  <c r="K170" i="15"/>
  <c r="K168" i="15"/>
  <c r="K167" i="15"/>
  <c r="K165" i="15"/>
  <c r="K164" i="15"/>
  <c r="K163" i="15"/>
  <c r="K161" i="15"/>
  <c r="K160" i="15"/>
  <c r="K159" i="15"/>
  <c r="K158" i="15"/>
  <c r="K157" i="15"/>
  <c r="K155" i="15"/>
  <c r="K154" i="15"/>
  <c r="K152" i="15"/>
  <c r="K151" i="15"/>
  <c r="K150" i="15"/>
  <c r="K149" i="15"/>
  <c r="K148" i="15"/>
  <c r="K146" i="15"/>
  <c r="K145" i="15"/>
  <c r="K143" i="15"/>
  <c r="K142" i="15"/>
  <c r="K141" i="15"/>
  <c r="K140" i="15"/>
  <c r="K139" i="15"/>
  <c r="K138" i="15"/>
  <c r="K137" i="15"/>
  <c r="K136" i="15"/>
  <c r="K134" i="15"/>
  <c r="K133" i="15"/>
  <c r="K132" i="15"/>
  <c r="K131" i="15"/>
  <c r="K130" i="15"/>
  <c r="K129" i="15"/>
  <c r="K128" i="15"/>
  <c r="K127" i="15"/>
  <c r="K125" i="15"/>
  <c r="K124" i="15"/>
  <c r="K123" i="15"/>
  <c r="K122" i="15"/>
  <c r="K121" i="15"/>
  <c r="K120" i="15"/>
  <c r="K119" i="15"/>
  <c r="K118" i="15"/>
  <c r="K116" i="15"/>
  <c r="K115" i="15"/>
  <c r="K114" i="15"/>
  <c r="K113" i="15"/>
  <c r="K112" i="15"/>
  <c r="K111" i="15"/>
  <c r="K110" i="15"/>
  <c r="K109" i="15"/>
  <c r="K107" i="15"/>
  <c r="K106" i="15"/>
  <c r="K105" i="15"/>
  <c r="K104" i="15"/>
  <c r="K103" i="15"/>
  <c r="K102" i="15"/>
  <c r="K100" i="15"/>
  <c r="K99" i="15"/>
  <c r="K98" i="15"/>
  <c r="K97" i="15"/>
  <c r="K96" i="15"/>
  <c r="K95" i="15"/>
  <c r="K94" i="15"/>
  <c r="K93" i="15"/>
  <c r="K92" i="15"/>
  <c r="K91" i="15"/>
  <c r="K90" i="15"/>
  <c r="K89" i="15"/>
  <c r="K88" i="15"/>
  <c r="K87" i="15"/>
  <c r="K86" i="15"/>
  <c r="K85" i="15"/>
  <c r="K84" i="15"/>
  <c r="K83" i="15"/>
  <c r="K82" i="15"/>
  <c r="K80" i="15"/>
  <c r="K79" i="15"/>
  <c r="K78" i="15"/>
  <c r="K77" i="15"/>
  <c r="K76" i="15"/>
  <c r="K75" i="15"/>
  <c r="K73" i="15"/>
  <c r="K72" i="15"/>
  <c r="K71" i="15"/>
  <c r="K70" i="15"/>
  <c r="K69" i="15"/>
  <c r="K68" i="15"/>
  <c r="K67" i="15"/>
  <c r="K66" i="15"/>
  <c r="K65" i="15"/>
  <c r="K64" i="15"/>
  <c r="K63" i="15"/>
  <c r="K62" i="15"/>
  <c r="K61" i="15"/>
  <c r="K60" i="15"/>
  <c r="K59" i="15"/>
  <c r="K58" i="15"/>
  <c r="K57" i="15"/>
  <c r="K56" i="15"/>
  <c r="K55" i="15"/>
  <c r="K53" i="15"/>
  <c r="K51" i="15"/>
  <c r="K50" i="15"/>
  <c r="K49" i="15"/>
  <c r="K48" i="15"/>
  <c r="K47" i="15"/>
  <c r="K46" i="15"/>
  <c r="K45" i="15"/>
  <c r="K44" i="15"/>
  <c r="K43" i="15"/>
  <c r="K42" i="15"/>
  <c r="K41" i="15"/>
  <c r="K39" i="15"/>
  <c r="K37" i="15"/>
  <c r="K36" i="15"/>
  <c r="K35" i="15"/>
  <c r="K34" i="15"/>
  <c r="K33" i="15"/>
  <c r="K32" i="15"/>
  <c r="K31" i="15"/>
  <c r="K30" i="15"/>
  <c r="K29" i="15"/>
  <c r="K28" i="15"/>
  <c r="K27" i="15"/>
  <c r="K25" i="15"/>
  <c r="K24" i="15"/>
  <c r="K23" i="15"/>
  <c r="K22" i="15"/>
  <c r="K21" i="15"/>
  <c r="K20" i="15"/>
  <c r="K19" i="15"/>
  <c r="K18" i="15"/>
  <c r="K17" i="15"/>
  <c r="K16" i="15"/>
  <c r="K15" i="15"/>
  <c r="K11" i="15"/>
  <c r="K10" i="15"/>
  <c r="K9" i="15"/>
  <c r="K8" i="15"/>
  <c r="K7" i="15"/>
  <c r="K6" i="15"/>
  <c r="K5" i="15"/>
  <c r="K4" i="15"/>
  <c r="K3" i="15"/>
  <c r="K2" i="15"/>
  <c r="K908" i="14"/>
  <c r="K906" i="14"/>
  <c r="K905" i="14"/>
  <c r="K904" i="14"/>
  <c r="K903" i="14"/>
  <c r="K902" i="14"/>
  <c r="K901" i="14"/>
  <c r="K900" i="14"/>
  <c r="K899" i="14"/>
  <c r="K898" i="14"/>
  <c r="K897" i="14"/>
  <c r="K896" i="14"/>
  <c r="K894" i="14"/>
  <c r="K893" i="14"/>
  <c r="K891" i="14"/>
  <c r="K890" i="14"/>
  <c r="K889" i="14"/>
  <c r="K887" i="14"/>
  <c r="K886" i="14"/>
  <c r="K885" i="14"/>
  <c r="K884" i="14"/>
  <c r="K883" i="14"/>
  <c r="K882" i="14"/>
  <c r="K881" i="14"/>
  <c r="K880" i="14"/>
  <c r="K879" i="14"/>
  <c r="K877" i="14"/>
  <c r="K875" i="14"/>
  <c r="K874" i="14"/>
  <c r="K872" i="14"/>
  <c r="K871" i="14"/>
  <c r="K870" i="14"/>
  <c r="K869" i="14"/>
  <c r="K868" i="14"/>
  <c r="K867" i="14"/>
  <c r="K865" i="14"/>
  <c r="K864" i="14"/>
  <c r="K863" i="14"/>
  <c r="K861" i="14"/>
  <c r="K860" i="14"/>
  <c r="K859" i="14"/>
  <c r="K858" i="14"/>
  <c r="K857" i="14"/>
  <c r="K856" i="14"/>
  <c r="K855" i="14"/>
  <c r="K854" i="14"/>
  <c r="K853" i="14"/>
  <c r="K852" i="14"/>
  <c r="K850" i="14"/>
  <c r="K849" i="14"/>
  <c r="K848" i="14"/>
  <c r="K846" i="14"/>
  <c r="K845" i="14"/>
  <c r="K844" i="14"/>
  <c r="K842" i="14"/>
  <c r="K841" i="14"/>
  <c r="K840" i="14"/>
  <c r="K838" i="14"/>
  <c r="K837" i="14"/>
  <c r="K836" i="14"/>
  <c r="K835" i="14"/>
  <c r="K834" i="14"/>
  <c r="K832" i="14"/>
  <c r="K831" i="14"/>
  <c r="K829" i="14"/>
  <c r="K828" i="14"/>
  <c r="K827" i="14"/>
  <c r="K826" i="14"/>
  <c r="K825" i="14"/>
  <c r="K824" i="14"/>
  <c r="K822" i="14"/>
  <c r="K821" i="14"/>
  <c r="K820" i="14"/>
  <c r="K818" i="14"/>
  <c r="K817" i="14"/>
  <c r="K816" i="14"/>
  <c r="K814" i="14"/>
  <c r="K812" i="14"/>
  <c r="K811" i="14"/>
  <c r="K810" i="14"/>
  <c r="K809" i="14"/>
  <c r="K807" i="14"/>
  <c r="K805" i="14"/>
  <c r="K803" i="14"/>
  <c r="K802" i="14"/>
  <c r="K801" i="14"/>
  <c r="K800" i="14"/>
  <c r="K798" i="14"/>
  <c r="K796" i="14"/>
  <c r="K795" i="14"/>
  <c r="K794" i="14"/>
  <c r="K793" i="14"/>
  <c r="K791" i="14"/>
  <c r="K790" i="14"/>
  <c r="K788" i="14"/>
  <c r="K787" i="14"/>
  <c r="K786" i="14"/>
  <c r="K785" i="14"/>
  <c r="K784" i="14"/>
  <c r="K782" i="14"/>
  <c r="K781" i="14"/>
  <c r="K780" i="14"/>
  <c r="K779" i="14"/>
  <c r="K777" i="14"/>
  <c r="K776" i="14"/>
  <c r="K775" i="14"/>
  <c r="K774" i="14"/>
  <c r="K773" i="14"/>
  <c r="K772" i="14"/>
  <c r="K771" i="14"/>
  <c r="K769" i="14"/>
  <c r="K768" i="14"/>
  <c r="K766" i="14"/>
  <c r="K765" i="14"/>
  <c r="K763" i="14"/>
  <c r="K762" i="14"/>
  <c r="K761" i="14"/>
  <c r="K759" i="14"/>
  <c r="K758" i="14"/>
  <c r="K756" i="14"/>
  <c r="K755" i="14"/>
  <c r="K754" i="14"/>
  <c r="K752" i="14"/>
  <c r="K750" i="14"/>
  <c r="K749" i="14"/>
  <c r="K748" i="14"/>
  <c r="K747" i="14"/>
  <c r="K745" i="14"/>
  <c r="K744" i="14"/>
  <c r="K742" i="14"/>
  <c r="K741" i="14"/>
  <c r="K740" i="14"/>
  <c r="K739" i="14"/>
  <c r="K737" i="14"/>
  <c r="K736" i="14"/>
  <c r="K734" i="14"/>
  <c r="K733" i="14"/>
  <c r="K731" i="14"/>
  <c r="K729" i="14"/>
  <c r="K728" i="14"/>
  <c r="K726" i="14"/>
  <c r="K725" i="14"/>
  <c r="K724" i="14"/>
  <c r="K723" i="14"/>
  <c r="K722" i="14"/>
  <c r="K721" i="14"/>
  <c r="K720" i="14"/>
  <c r="K719" i="14"/>
  <c r="K718" i="14"/>
  <c r="K717" i="14"/>
  <c r="K716" i="14"/>
  <c r="K715" i="14"/>
  <c r="K714" i="14"/>
  <c r="K713" i="14"/>
  <c r="K712" i="14"/>
  <c r="K710" i="14"/>
  <c r="K708" i="14"/>
  <c r="K707" i="14"/>
  <c r="K706" i="14"/>
  <c r="K705" i="14"/>
  <c r="K704" i="14"/>
  <c r="K703" i="14"/>
  <c r="K702" i="14"/>
  <c r="K701" i="14"/>
  <c r="K700" i="14"/>
  <c r="K699" i="14"/>
  <c r="K698" i="14"/>
  <c r="K696" i="14"/>
  <c r="K695" i="14"/>
  <c r="K694" i="14"/>
  <c r="K693" i="14"/>
  <c r="K692" i="14"/>
  <c r="K691" i="14"/>
  <c r="K689" i="14"/>
  <c r="K688" i="14"/>
  <c r="K686" i="14"/>
  <c r="K685" i="14"/>
  <c r="K684" i="14"/>
  <c r="K683" i="14"/>
  <c r="K681" i="14"/>
  <c r="K679" i="14"/>
  <c r="K678" i="14"/>
  <c r="K676" i="14"/>
  <c r="K675" i="14"/>
  <c r="K673" i="14"/>
  <c r="K672" i="14"/>
  <c r="K670" i="14"/>
  <c r="K669" i="14"/>
  <c r="K667" i="14"/>
  <c r="K666" i="14"/>
  <c r="K665" i="14"/>
  <c r="K664" i="14"/>
  <c r="K663" i="14"/>
  <c r="K662" i="14"/>
  <c r="K661" i="14"/>
  <c r="K660" i="14"/>
  <c r="K659" i="14"/>
  <c r="K656" i="14"/>
  <c r="K654" i="14"/>
  <c r="K653" i="14"/>
  <c r="K652" i="14"/>
  <c r="K651" i="14"/>
  <c r="K650" i="14"/>
  <c r="K649" i="14"/>
  <c r="K648" i="14"/>
  <c r="K647" i="14"/>
  <c r="K646" i="14"/>
  <c r="K645" i="14"/>
  <c r="K644" i="14"/>
  <c r="K642" i="14"/>
  <c r="K641" i="14"/>
  <c r="K639" i="14"/>
  <c r="K638" i="14"/>
  <c r="K637" i="14"/>
  <c r="K636" i="14"/>
  <c r="K635" i="14"/>
  <c r="K632" i="14"/>
  <c r="K631" i="14"/>
  <c r="K630" i="14"/>
  <c r="K629" i="14"/>
  <c r="K628" i="14"/>
  <c r="K625" i="14"/>
  <c r="K624" i="14"/>
  <c r="K623" i="14"/>
  <c r="K622" i="14"/>
  <c r="K621" i="14"/>
  <c r="K620" i="14"/>
  <c r="K619" i="14"/>
  <c r="K617" i="14"/>
  <c r="K616" i="14"/>
  <c r="K614" i="14"/>
  <c r="K613" i="14"/>
  <c r="K612" i="14"/>
  <c r="K611" i="14"/>
  <c r="K610" i="14"/>
  <c r="K608" i="14"/>
  <c r="K606" i="14"/>
  <c r="K604" i="14"/>
  <c r="K603" i="14"/>
  <c r="K602" i="14"/>
  <c r="K601" i="14"/>
  <c r="K600" i="14"/>
  <c r="K599" i="14"/>
  <c r="K598" i="14"/>
  <c r="K597" i="14"/>
  <c r="K596" i="14"/>
  <c r="K595" i="14"/>
  <c r="K593" i="14"/>
  <c r="K592" i="14"/>
  <c r="K590" i="14"/>
  <c r="K589" i="14"/>
  <c r="K587" i="14"/>
  <c r="K586" i="14"/>
  <c r="K585" i="14"/>
  <c r="K583" i="14"/>
  <c r="K581" i="14"/>
  <c r="K580" i="14"/>
  <c r="K578" i="14"/>
  <c r="K577" i="14"/>
  <c r="K576" i="14"/>
  <c r="K574" i="14"/>
  <c r="K572" i="14"/>
  <c r="K570" i="14"/>
  <c r="K569" i="14"/>
  <c r="K568" i="14"/>
  <c r="K567" i="14"/>
  <c r="K565" i="14"/>
  <c r="K564" i="14"/>
  <c r="K563" i="14"/>
  <c r="K561" i="14"/>
  <c r="K559" i="14"/>
  <c r="K557" i="14"/>
  <c r="K556" i="14"/>
  <c r="K555" i="14"/>
  <c r="K554" i="14"/>
  <c r="K552" i="14"/>
  <c r="K551" i="14"/>
  <c r="K550" i="14"/>
  <c r="K549" i="14"/>
  <c r="K548" i="14"/>
  <c r="K547" i="14"/>
  <c r="K546" i="14"/>
  <c r="K545" i="14"/>
  <c r="K544" i="14"/>
  <c r="K542" i="14"/>
  <c r="K540" i="14"/>
  <c r="K539" i="14"/>
  <c r="K537" i="14"/>
  <c r="K536" i="14"/>
  <c r="K535" i="14"/>
  <c r="K534" i="14"/>
  <c r="K532" i="14"/>
  <c r="K530" i="14"/>
  <c r="K529" i="14"/>
  <c r="K528" i="14"/>
  <c r="K526" i="14"/>
  <c r="K524" i="14"/>
  <c r="K522" i="14"/>
  <c r="K521" i="14"/>
  <c r="K520" i="14"/>
  <c r="K519" i="14"/>
  <c r="K518" i="14"/>
  <c r="K517" i="14"/>
  <c r="K516" i="14"/>
  <c r="K515" i="14"/>
  <c r="K514" i="14"/>
  <c r="K513" i="14"/>
  <c r="K512" i="14"/>
  <c r="K511" i="14"/>
  <c r="K509" i="14"/>
  <c r="K507" i="14"/>
  <c r="K506" i="14"/>
  <c r="K505" i="14"/>
  <c r="K504" i="14"/>
  <c r="K503" i="14"/>
  <c r="K502" i="14"/>
  <c r="K501" i="14"/>
  <c r="K500" i="14"/>
  <c r="K499" i="14"/>
  <c r="K498" i="14"/>
  <c r="K497" i="14"/>
  <c r="K496" i="14"/>
  <c r="K495" i="14"/>
  <c r="K494" i="14"/>
  <c r="K492" i="14"/>
  <c r="K490" i="14"/>
  <c r="K489" i="14"/>
  <c r="K488" i="14"/>
  <c r="K487" i="14"/>
  <c r="K485" i="14"/>
  <c r="K484" i="14"/>
  <c r="K483" i="14"/>
  <c r="K482" i="14"/>
  <c r="K480" i="14"/>
  <c r="K479" i="14"/>
  <c r="K478" i="14"/>
  <c r="K476" i="14"/>
  <c r="K475" i="14"/>
  <c r="K474" i="14"/>
  <c r="K473" i="14"/>
  <c r="K472" i="14"/>
  <c r="K470" i="14"/>
  <c r="K469" i="14"/>
  <c r="K468" i="14"/>
  <c r="K467" i="14"/>
  <c r="K465" i="14"/>
  <c r="K464" i="14"/>
  <c r="K463" i="14"/>
  <c r="K462" i="14"/>
  <c r="K461" i="14"/>
  <c r="K460" i="14"/>
  <c r="K459" i="14"/>
  <c r="K457" i="14"/>
  <c r="K455" i="14"/>
  <c r="K454" i="14"/>
  <c r="K453" i="14"/>
  <c r="K451" i="14"/>
  <c r="K450" i="14"/>
  <c r="K449" i="14"/>
  <c r="K447" i="14"/>
  <c r="K445" i="14"/>
  <c r="K443" i="14"/>
  <c r="K442" i="14"/>
  <c r="K441" i="14"/>
  <c r="K439" i="14"/>
  <c r="K437" i="14"/>
  <c r="K436" i="14"/>
  <c r="K435" i="14"/>
  <c r="K434" i="14"/>
  <c r="K433" i="14"/>
  <c r="K432" i="14"/>
  <c r="K431" i="14"/>
  <c r="K429" i="14"/>
  <c r="K427" i="14"/>
  <c r="K426" i="14"/>
  <c r="K424" i="14"/>
  <c r="K422" i="14"/>
  <c r="K420" i="14"/>
  <c r="K419" i="14"/>
  <c r="K417" i="14"/>
  <c r="K416" i="14"/>
  <c r="K413" i="14"/>
  <c r="K411" i="14"/>
  <c r="K410" i="14"/>
  <c r="K408" i="14"/>
  <c r="K407" i="14"/>
  <c r="K406" i="14"/>
  <c r="K405" i="14"/>
  <c r="K404" i="14"/>
  <c r="K403" i="14"/>
  <c r="K401" i="14"/>
  <c r="K400" i="14"/>
  <c r="K399" i="14"/>
  <c r="K398" i="14"/>
  <c r="K397" i="14"/>
  <c r="K396" i="14"/>
  <c r="K394" i="14"/>
  <c r="K392" i="14"/>
  <c r="K390" i="14"/>
  <c r="K388" i="14"/>
  <c r="K387" i="14"/>
  <c r="K385" i="14"/>
  <c r="K384" i="14"/>
  <c r="K383" i="14"/>
  <c r="K382" i="14"/>
  <c r="K381" i="14"/>
  <c r="K380" i="14"/>
  <c r="K378" i="14"/>
  <c r="K377" i="14"/>
  <c r="K376" i="14"/>
  <c r="K374" i="14"/>
  <c r="K373" i="14"/>
  <c r="K372" i="14"/>
  <c r="K371" i="14"/>
  <c r="K370" i="14"/>
  <c r="K368" i="14"/>
  <c r="K367" i="14"/>
  <c r="K365" i="14"/>
  <c r="K364" i="14"/>
  <c r="K363" i="14"/>
  <c r="K362" i="14"/>
  <c r="K361" i="14"/>
  <c r="K360" i="14"/>
  <c r="K359" i="14"/>
  <c r="K358" i="14"/>
  <c r="K357" i="14"/>
  <c r="K356" i="14"/>
  <c r="K354" i="14"/>
  <c r="K353" i="14"/>
  <c r="K349" i="14"/>
  <c r="K348" i="14"/>
  <c r="K346" i="14"/>
  <c r="K345" i="14"/>
  <c r="K344" i="14"/>
  <c r="K343" i="14"/>
  <c r="K342" i="14"/>
  <c r="K341" i="14"/>
  <c r="K339" i="14"/>
  <c r="K337" i="14"/>
  <c r="K335" i="14"/>
  <c r="K334" i="14"/>
  <c r="K332" i="14"/>
  <c r="K331" i="14"/>
  <c r="K330" i="14"/>
  <c r="K328" i="14"/>
  <c r="K327" i="14"/>
  <c r="K326" i="14"/>
  <c r="K325" i="14"/>
  <c r="K324" i="14"/>
  <c r="K323" i="14"/>
  <c r="K321" i="14"/>
  <c r="K320" i="14"/>
  <c r="K318" i="14"/>
  <c r="K317" i="14"/>
  <c r="K315" i="14"/>
  <c r="K313" i="14"/>
  <c r="K311" i="14"/>
  <c r="K310" i="14"/>
  <c r="K309" i="14"/>
  <c r="K308" i="14"/>
  <c r="K306" i="14"/>
  <c r="K305" i="14"/>
  <c r="K304" i="14"/>
  <c r="K302" i="14"/>
  <c r="K301" i="14"/>
  <c r="K299" i="14"/>
  <c r="K297" i="14"/>
  <c r="K296" i="14"/>
  <c r="K295" i="14"/>
  <c r="K294" i="14"/>
  <c r="K293" i="14"/>
  <c r="K291" i="14"/>
  <c r="K289" i="14"/>
  <c r="K287" i="14"/>
  <c r="K286" i="14"/>
  <c r="K285" i="14"/>
  <c r="K284" i="14"/>
  <c r="K282" i="14"/>
  <c r="K280" i="14"/>
  <c r="K279" i="14"/>
  <c r="K277" i="14"/>
  <c r="K276" i="14"/>
  <c r="K275" i="14"/>
  <c r="K274" i="14"/>
  <c r="K272" i="14"/>
  <c r="K271" i="14"/>
  <c r="K269" i="14"/>
  <c r="K268" i="14"/>
  <c r="K267" i="14"/>
  <c r="K266" i="14"/>
  <c r="K265" i="14"/>
  <c r="K264" i="14"/>
  <c r="K263" i="14"/>
  <c r="K262" i="14"/>
  <c r="K261" i="14"/>
  <c r="K260" i="14"/>
  <c r="K259" i="14"/>
  <c r="K258" i="14"/>
  <c r="K257" i="14"/>
  <c r="K256" i="14"/>
  <c r="K255" i="14"/>
  <c r="K254" i="14"/>
  <c r="K253" i="14"/>
  <c r="K252" i="14"/>
  <c r="K251" i="14"/>
  <c r="K249" i="14"/>
  <c r="K248" i="14"/>
  <c r="K247" i="14"/>
  <c r="K246" i="14"/>
  <c r="K244" i="14"/>
  <c r="K243" i="14"/>
  <c r="K241" i="14"/>
  <c r="K240" i="14"/>
  <c r="K239" i="14"/>
  <c r="K238" i="14"/>
  <c r="K237" i="14"/>
  <c r="K235" i="14"/>
  <c r="K234" i="14"/>
  <c r="K233" i="14"/>
  <c r="K232" i="14"/>
  <c r="K230" i="14"/>
  <c r="K229" i="14"/>
  <c r="K228" i="14"/>
  <c r="K226" i="14"/>
  <c r="K225" i="14"/>
  <c r="K223" i="14"/>
  <c r="K222" i="14"/>
  <c r="K220" i="14"/>
  <c r="K218" i="14"/>
  <c r="K217" i="14"/>
  <c r="K216" i="14"/>
  <c r="K215" i="14"/>
  <c r="K214" i="14"/>
  <c r="K213" i="14"/>
  <c r="K212" i="14"/>
  <c r="K210" i="14"/>
  <c r="K209" i="14"/>
  <c r="K208" i="14"/>
  <c r="K206" i="14"/>
  <c r="K205" i="14"/>
  <c r="K204" i="14"/>
  <c r="K203" i="14"/>
  <c r="K201" i="14"/>
  <c r="K200" i="14"/>
  <c r="K199" i="14"/>
  <c r="K198" i="14"/>
  <c r="K196" i="14"/>
  <c r="K195" i="14"/>
  <c r="K194" i="14"/>
  <c r="K193" i="14"/>
  <c r="K192" i="14"/>
  <c r="K191" i="14"/>
  <c r="K189" i="14"/>
  <c r="K188" i="14"/>
  <c r="K187" i="14"/>
  <c r="K185" i="14"/>
  <c r="K184" i="14"/>
  <c r="K183" i="14"/>
  <c r="K182" i="14"/>
  <c r="K179" i="14"/>
  <c r="K178" i="14"/>
  <c r="K176" i="14"/>
  <c r="K175" i="14"/>
  <c r="K173" i="14"/>
  <c r="K172" i="14"/>
  <c r="K170" i="14"/>
  <c r="K169" i="14"/>
  <c r="K168" i="14"/>
  <c r="K166" i="14"/>
  <c r="K165" i="14"/>
  <c r="K164" i="14"/>
  <c r="K163" i="14"/>
  <c r="K162" i="14"/>
  <c r="K160" i="14"/>
  <c r="K159" i="14"/>
  <c r="K157" i="14"/>
  <c r="K156" i="14"/>
  <c r="K155" i="14"/>
  <c r="K154" i="14"/>
  <c r="K153" i="14"/>
  <c r="K151" i="14"/>
  <c r="K150" i="14"/>
  <c r="K149" i="14"/>
  <c r="K148" i="14"/>
  <c r="K147" i="14"/>
  <c r="K146" i="14"/>
  <c r="K145" i="14"/>
  <c r="K144" i="14"/>
  <c r="K143" i="14"/>
  <c r="K142" i="14"/>
  <c r="K141" i="14"/>
  <c r="K139" i="14"/>
  <c r="K138" i="14"/>
  <c r="K137" i="14"/>
  <c r="K136" i="14"/>
  <c r="K135" i="14"/>
  <c r="K134" i="14"/>
  <c r="K133" i="14"/>
  <c r="K131" i="14"/>
  <c r="K130" i="14"/>
  <c r="K129" i="14"/>
  <c r="K128" i="14"/>
  <c r="K127" i="14"/>
  <c r="K126" i="14"/>
  <c r="K124" i="14"/>
  <c r="K123" i="14"/>
  <c r="K122" i="14"/>
  <c r="K121" i="14"/>
  <c r="K120" i="14"/>
  <c r="K119" i="14"/>
  <c r="K118" i="14"/>
  <c r="K117" i="14"/>
  <c r="K115" i="14"/>
  <c r="K114" i="14"/>
  <c r="K113" i="14"/>
  <c r="K112" i="14"/>
  <c r="K111" i="14"/>
  <c r="K110" i="14"/>
  <c r="K109" i="14"/>
  <c r="K108" i="14"/>
  <c r="K106" i="14"/>
  <c r="K105" i="14"/>
  <c r="K104" i="14"/>
  <c r="K103" i="14"/>
  <c r="K102" i="14"/>
  <c r="K100" i="14"/>
  <c r="K99" i="14"/>
  <c r="K98" i="14"/>
  <c r="K97" i="14"/>
  <c r="K96" i="14"/>
  <c r="K95" i="14"/>
  <c r="K94" i="14"/>
  <c r="K93" i="14"/>
  <c r="K92" i="14"/>
  <c r="K91" i="14"/>
  <c r="K90" i="14"/>
  <c r="K89" i="14"/>
  <c r="K88" i="14"/>
  <c r="K87" i="14"/>
  <c r="K86" i="14"/>
  <c r="K85" i="14"/>
  <c r="K84" i="14"/>
  <c r="K83" i="14"/>
  <c r="K82" i="14"/>
  <c r="K81" i="14"/>
  <c r="K80" i="14"/>
  <c r="K79" i="14"/>
  <c r="K78" i="14"/>
  <c r="K76" i="14"/>
  <c r="K75" i="14"/>
  <c r="K74" i="14"/>
  <c r="K72" i="14"/>
  <c r="K71" i="14"/>
  <c r="K70" i="14"/>
  <c r="K69" i="14"/>
  <c r="K68" i="14"/>
  <c r="K67" i="14"/>
  <c r="K66" i="14"/>
  <c r="K64" i="14"/>
  <c r="K63" i="14"/>
  <c r="K62" i="14"/>
  <c r="K61" i="14"/>
  <c r="K59" i="14"/>
  <c r="K57" i="14"/>
  <c r="K55" i="14"/>
  <c r="K54" i="14"/>
  <c r="K53" i="14"/>
  <c r="K52" i="14"/>
  <c r="K51" i="14"/>
  <c r="K50" i="14"/>
  <c r="K49" i="14"/>
  <c r="K48" i="14"/>
  <c r="K47" i="14"/>
  <c r="K45" i="14"/>
  <c r="K44" i="14"/>
  <c r="K42" i="14"/>
  <c r="K41" i="14"/>
  <c r="K40" i="14"/>
  <c r="K39" i="14"/>
  <c r="K38" i="14"/>
  <c r="K37" i="14"/>
  <c r="K35" i="14"/>
  <c r="K34" i="14"/>
  <c r="K33" i="14"/>
  <c r="K32" i="14"/>
  <c r="K31" i="14"/>
  <c r="K30" i="14"/>
  <c r="K28" i="14"/>
  <c r="K27" i="14"/>
  <c r="K26" i="14"/>
  <c r="K25" i="14"/>
  <c r="K24" i="14"/>
  <c r="K23" i="14"/>
  <c r="K22" i="14"/>
  <c r="K21" i="14"/>
  <c r="K20" i="14"/>
  <c r="K19" i="14"/>
  <c r="K18" i="14"/>
  <c r="K17" i="14"/>
  <c r="K16" i="14"/>
  <c r="K15" i="14"/>
  <c r="K14" i="14"/>
  <c r="K13" i="14"/>
  <c r="K12" i="14"/>
  <c r="K11" i="14"/>
  <c r="K10" i="14"/>
  <c r="K8" i="14"/>
  <c r="K7" i="14"/>
  <c r="K6" i="14"/>
  <c r="K5" i="14"/>
  <c r="K4" i="14"/>
  <c r="K2" i="14"/>
  <c r="AF26" i="5" l="1"/>
  <c r="AH26" i="5"/>
  <c r="AG6" i="5"/>
  <c r="AA34" i="5"/>
  <c r="AG23" i="5"/>
  <c r="BO23" i="5"/>
  <c r="Y33" i="5"/>
  <c r="BK34" i="5"/>
  <c r="BL34" i="5"/>
  <c r="BN34" i="5"/>
  <c r="AF23" i="5"/>
  <c r="BO26" i="5"/>
  <c r="BM32" i="5"/>
  <c r="BO6" i="5"/>
  <c r="BO33" i="5" s="1"/>
  <c r="AF6" i="5"/>
  <c r="N33" i="5"/>
  <c r="AB34" i="5"/>
  <c r="AC26" i="5"/>
  <c r="AG26" i="5"/>
  <c r="BL31" i="5"/>
  <c r="Z34" i="5"/>
  <c r="BL33" i="5"/>
  <c r="AH23" i="5"/>
  <c r="BL32" i="5"/>
  <c r="BD34" i="5"/>
  <c r="BI28" i="5"/>
  <c r="AI6" i="13"/>
  <c r="W27" i="5"/>
  <c r="AI27" i="13" s="1"/>
  <c r="BI29" i="5"/>
  <c r="N34" i="5"/>
  <c r="W28" i="5"/>
  <c r="AI28" i="13" s="1"/>
  <c r="BM31" i="5"/>
  <c r="Y32" i="5"/>
  <c r="BM33" i="5"/>
  <c r="Y34" i="5"/>
  <c r="BM34" i="5"/>
  <c r="AC4" i="5"/>
  <c r="AC6" i="5"/>
  <c r="AC23" i="5"/>
  <c r="Z31" i="5"/>
  <c r="BD31" i="5"/>
  <c r="BN31" i="5"/>
  <c r="Z32" i="5"/>
  <c r="BD32" i="5"/>
  <c r="BN32" i="5"/>
  <c r="Z33" i="5"/>
  <c r="BD33" i="5"/>
  <c r="BN33" i="5"/>
  <c r="N31" i="5"/>
  <c r="AB31" i="5"/>
  <c r="N32" i="5"/>
  <c r="AB32" i="5"/>
  <c r="AB33" i="5"/>
  <c r="Y31" i="5"/>
  <c r="AA31" i="5"/>
  <c r="BK31" i="5"/>
  <c r="BO31" i="5"/>
  <c r="AA32" i="5"/>
  <c r="BK32" i="5"/>
  <c r="BO32" i="5"/>
  <c r="AA33" i="5"/>
  <c r="BK33" i="5"/>
  <c r="BO34" i="5" l="1"/>
  <c r="AC31" i="5"/>
  <c r="AC33" i="5"/>
  <c r="AC32" i="5"/>
  <c r="AC34" i="5"/>
</calcChain>
</file>

<file path=xl/sharedStrings.xml><?xml version="1.0" encoding="utf-8"?>
<sst xmlns="http://schemas.openxmlformats.org/spreadsheetml/2006/main" count="5579" uniqueCount="2290">
  <si>
    <t>Name</t>
  </si>
  <si>
    <t>Geburtsdatum</t>
  </si>
  <si>
    <t>Scandatum</t>
  </si>
  <si>
    <t>Indikation</t>
  </si>
  <si>
    <t>Wendel, Herbert</t>
  </si>
  <si>
    <t>Pankreas-CA</t>
  </si>
  <si>
    <t>Wölflick, Magdalena</t>
  </si>
  <si>
    <t>Stöltzel, Alexandra</t>
  </si>
  <si>
    <t>Spitzbarth, Silvia</t>
  </si>
  <si>
    <t>Becherzellkarzinoid</t>
  </si>
  <si>
    <t>Rossner, Ottmar</t>
  </si>
  <si>
    <t>Petermann, Martina</t>
  </si>
  <si>
    <t>Pfister, Alois</t>
  </si>
  <si>
    <t>Rheumatoide Arthritis</t>
  </si>
  <si>
    <t>Ripp, Elfriede</t>
  </si>
  <si>
    <t>Schmeling, Wolfgang</t>
  </si>
  <si>
    <t>Spondylarthropathie</t>
  </si>
  <si>
    <t>Tyrach, Beate</t>
  </si>
  <si>
    <t>PSA</t>
  </si>
  <si>
    <t>Behne, Maik</t>
  </si>
  <si>
    <t>Pachur, Christina</t>
  </si>
  <si>
    <t>Heckman, Clifton</t>
  </si>
  <si>
    <t>Kaisis, Anastasios</t>
  </si>
  <si>
    <t>Prostata-CA neuroendokrin differenziert</t>
  </si>
  <si>
    <t>Hauck, Michael</t>
  </si>
  <si>
    <t>Tas, Afife</t>
  </si>
  <si>
    <t>Oeser, Heidi</t>
  </si>
  <si>
    <t>Spondylarthropathie/Tendinopathie</t>
  </si>
  <si>
    <t>Berisha, Astrit</t>
  </si>
  <si>
    <t>IgG 4-Syndrom</t>
  </si>
  <si>
    <t>Sindel, Friedrich</t>
  </si>
  <si>
    <t>Mahir, Guntram</t>
  </si>
  <si>
    <t>Spondylitis ankylosans</t>
  </si>
  <si>
    <t>Schmitt, Emil</t>
  </si>
  <si>
    <t>Popp-Kinzel, Erika</t>
  </si>
  <si>
    <t>Psoriasisarthritis</t>
  </si>
  <si>
    <t>Klein, Christine</t>
  </si>
  <si>
    <t>Hadi Issa, Intissar</t>
  </si>
  <si>
    <t>Hos, Mete</t>
  </si>
  <si>
    <t>Stieb-Sackmann, Susanne</t>
  </si>
  <si>
    <t>Catalkaya, Ahmet</t>
  </si>
  <si>
    <t>Massing, Claudia</t>
  </si>
  <si>
    <t>Systemische Sklerose/Lungenfibrose</t>
  </si>
  <si>
    <t>Häckl, Werner</t>
  </si>
  <si>
    <t>Arnold, Markus</t>
  </si>
  <si>
    <t>Systemische Sklerose/Lungenfibrose/Sarkoidose</t>
  </si>
  <si>
    <t>Kollagenose/Dermatomyositis/Lungenfibrose</t>
  </si>
  <si>
    <t>Morina, Sami</t>
  </si>
  <si>
    <t>Dermatomyositis/Lungenfibrose</t>
  </si>
  <si>
    <t>Seffert, Gerda</t>
  </si>
  <si>
    <t>Kraus, Andreas</t>
  </si>
  <si>
    <t>Seuss, Gerlinde</t>
  </si>
  <si>
    <t>Lederer, Janina</t>
  </si>
  <si>
    <t>IgG-4-Syndrom</t>
  </si>
  <si>
    <t>Strahl, Petra</t>
  </si>
  <si>
    <t>Hemman, Christiane</t>
  </si>
  <si>
    <t>Janosch, Vera</t>
  </si>
  <si>
    <t>V.a. Rheumatoide Arthritis</t>
  </si>
  <si>
    <t>Meier, Roland</t>
  </si>
  <si>
    <t>Thal, Hans-Günther</t>
  </si>
  <si>
    <t>Hirt, Renate</t>
  </si>
  <si>
    <t>Calar, Bülent</t>
  </si>
  <si>
    <t>Blädel, Thorsten</t>
  </si>
  <si>
    <t>Spondylarthritis</t>
  </si>
  <si>
    <t>Sitzmann, Brigitte</t>
  </si>
  <si>
    <t>Systemische Sklerose/ Lungenfibrose</t>
  </si>
  <si>
    <t>Rundel, Petra</t>
  </si>
  <si>
    <t>Bechmann, Stefan</t>
  </si>
  <si>
    <t>Dotzler, Siegmund</t>
  </si>
  <si>
    <t>Hübner, Brigitte</t>
  </si>
  <si>
    <t>NET G1</t>
  </si>
  <si>
    <t>Kollorz, Uwe</t>
  </si>
  <si>
    <t>Pehlivan, Selda</t>
  </si>
  <si>
    <t>IgG4</t>
  </si>
  <si>
    <t>Göhler, Jutta</t>
  </si>
  <si>
    <t>Wellein, Renate</t>
  </si>
  <si>
    <t>Seronegative Spondylarthritis</t>
  </si>
  <si>
    <t>Amslinger, Claudia</t>
  </si>
  <si>
    <t>Geldner, Georg</t>
  </si>
  <si>
    <t>Zipfel, Josef</t>
  </si>
  <si>
    <t>Gärtner, Hannelore</t>
  </si>
  <si>
    <t>Prügner-Glaubitz, Michael</t>
  </si>
  <si>
    <t>Hofmann, Martina</t>
  </si>
  <si>
    <t>Unkauf, Lieselotte</t>
  </si>
  <si>
    <t>Datum 2. FAPI PET/CT</t>
  </si>
  <si>
    <t>Dittrich, Rosemarie</t>
  </si>
  <si>
    <t>Datum 1. FDG PET</t>
  </si>
  <si>
    <t>Datum 2. FDG PET</t>
  </si>
  <si>
    <t>Fuchs, Hans-Wolfgang</t>
  </si>
  <si>
    <t>Petrovic, Milun</t>
  </si>
  <si>
    <t>Schiller, Doris</t>
  </si>
  <si>
    <t>Volk, Andreas</t>
  </si>
  <si>
    <t>Zenkel, Elfriede</t>
  </si>
  <si>
    <t>Systemische Sklerose/V.a. Lungenfibrose</t>
  </si>
  <si>
    <t>Weigelt, Petra</t>
  </si>
  <si>
    <t>Number of lesions</t>
  </si>
  <si>
    <t>Location</t>
  </si>
  <si>
    <t>SUVmax</t>
  </si>
  <si>
    <t>SUVmean</t>
  </si>
  <si>
    <t>MTV</t>
  </si>
  <si>
    <t>TLG</t>
  </si>
  <si>
    <t>AC links</t>
  </si>
  <si>
    <t>SUVpeak</t>
  </si>
  <si>
    <t>AC rechts</t>
  </si>
  <si>
    <t>BWK 8</t>
  </si>
  <si>
    <t>Schultergelenk rechts</t>
  </si>
  <si>
    <t>Schultergelenk links</t>
  </si>
  <si>
    <t>SC-Gelenk rechts</t>
  </si>
  <si>
    <t>SC-Gelenk links</t>
  </si>
  <si>
    <t>BWK 11</t>
  </si>
  <si>
    <t>BWK 7</t>
  </si>
  <si>
    <t>BWK 9</t>
  </si>
  <si>
    <t>Symphyse</t>
  </si>
  <si>
    <t>Dens axis</t>
  </si>
  <si>
    <t>SC links</t>
  </si>
  <si>
    <t>Hüftgelenk rechts</t>
  </si>
  <si>
    <t>LWK 3</t>
  </si>
  <si>
    <t xml:space="preserve">LWK 3 </t>
  </si>
  <si>
    <t>LWK5/SWK1</t>
  </si>
  <si>
    <t>Os sacrum rechts</t>
  </si>
  <si>
    <t>1. FAPI SUVmax</t>
  </si>
  <si>
    <t xml:space="preserve">2. FAPI SUVmax </t>
  </si>
  <si>
    <t>1. FDG SUVmax</t>
  </si>
  <si>
    <t>2. FDG SUVmax</t>
  </si>
  <si>
    <t>Datum 1. FAPI</t>
  </si>
  <si>
    <t>Datum 2. FAPI</t>
  </si>
  <si>
    <t>Datum 1. FDG</t>
  </si>
  <si>
    <t>Datum 2. FDG</t>
  </si>
  <si>
    <t>Therapie</t>
  </si>
  <si>
    <t>links retroperitoneal mit Kontakt zur li Nebenniere</t>
  </si>
  <si>
    <t>2x Rituximab/Zuvor Cortison</t>
  </si>
  <si>
    <t>Aorta abdominalis</t>
  </si>
  <si>
    <t>Intracerebral occipital</t>
  </si>
  <si>
    <t>Intracerebral rechts temporooccipital</t>
  </si>
  <si>
    <t>Sinus cavernosus</t>
  </si>
  <si>
    <t>Aortenbogen</t>
  </si>
  <si>
    <t>Aorta thoracalis</t>
  </si>
  <si>
    <t>Art. Iliaca rechts</t>
  </si>
  <si>
    <t>Art. Iliaca links</t>
  </si>
  <si>
    <t>Art. femoralis links</t>
  </si>
  <si>
    <t>Art. femoralis rechts</t>
  </si>
  <si>
    <t>nd</t>
  </si>
  <si>
    <t>links infraorbital</t>
  </si>
  <si>
    <t>Parotis rechts</t>
  </si>
  <si>
    <t>A. iliaca communis links</t>
  </si>
  <si>
    <t>FAPI SUVmax</t>
  </si>
  <si>
    <t>Art. Tibiofibularis links</t>
  </si>
  <si>
    <t>Achillessehne rechts</t>
  </si>
  <si>
    <t>DIP 1 rechts</t>
  </si>
  <si>
    <t>DIP 4 rechts</t>
  </si>
  <si>
    <t>Art. Subtalaris links</t>
  </si>
  <si>
    <t>MTP links</t>
  </si>
  <si>
    <t>Handgelenk links (ulnocarpal)</t>
  </si>
  <si>
    <t>Handgelenk rechts (radiocarpal)</t>
  </si>
  <si>
    <t>Handgelenk rechts (ulnocarpal)</t>
  </si>
  <si>
    <t>MCP rechts</t>
  </si>
  <si>
    <t>linkes ISG dorsal</t>
  </si>
  <si>
    <t>MCP 4 links</t>
  </si>
  <si>
    <t>MCP 2 links</t>
  </si>
  <si>
    <t>Art. Talocalcanea rechts</t>
  </si>
  <si>
    <t>PIP Fuss rechts</t>
  </si>
  <si>
    <t>radialseitige Extensorensehnen linke Hand</t>
  </si>
  <si>
    <t xml:space="preserve">Costotransversalgelenk BWK 4 rechts  </t>
  </si>
  <si>
    <t>LWK 1/LWK 2</t>
  </si>
  <si>
    <t>Costoclavikulargelenk rechts</t>
  </si>
  <si>
    <t>Sternoclavikulargelenk links</t>
  </si>
  <si>
    <t>MTP rechts</t>
  </si>
  <si>
    <t>Proc. spinosus HWK 7</t>
  </si>
  <si>
    <t>Hüftgelenk links</t>
  </si>
  <si>
    <t>Kniegelenk links</t>
  </si>
  <si>
    <t>Kniegelenk rechts</t>
  </si>
  <si>
    <t>Radiokarpal links</t>
  </si>
  <si>
    <t>Ulnocarpal links</t>
  </si>
  <si>
    <t>Intracarpal links</t>
  </si>
  <si>
    <t>Radiocarpal rechts</t>
  </si>
  <si>
    <t xml:space="preserve">Ulnocarpal rechts </t>
  </si>
  <si>
    <t>Intercarpal rechts</t>
  </si>
  <si>
    <t>MCP 2 rechts</t>
  </si>
  <si>
    <t>MCP 3 links</t>
  </si>
  <si>
    <t>SC Gelenk rechts</t>
  </si>
  <si>
    <t>MTP 2 links</t>
  </si>
  <si>
    <t>MTP 2 rechts</t>
  </si>
  <si>
    <t>Ellbogen rechts</t>
  </si>
  <si>
    <t>Art. radiocarpal rechts</t>
  </si>
  <si>
    <t>Art. ulnocarpal rechts</t>
  </si>
  <si>
    <t>Art. ulnocarpalis links</t>
  </si>
  <si>
    <t>MCP 3 rechts</t>
  </si>
  <si>
    <t>AC-Gelenk rechts</t>
  </si>
  <si>
    <t>Art. Talocruralis rechts</t>
  </si>
  <si>
    <t>Art. Subtalaris rechts</t>
  </si>
  <si>
    <t>Art. Radiocarpalis links</t>
  </si>
  <si>
    <t>ISG rechts</t>
  </si>
  <si>
    <t>PIP 5 links (Hand)</t>
  </si>
  <si>
    <t>DIP 5 links (Hand)</t>
  </si>
  <si>
    <t>PIP 4 rechts (Fuß)</t>
  </si>
  <si>
    <t>Os cuneiforme mediale links (Sehne)</t>
  </si>
  <si>
    <t>Intracarpal rechts</t>
  </si>
  <si>
    <t>Carpometacarpal 1 und 2 rechts</t>
  </si>
  <si>
    <t>linkes Kniegelenk</t>
  </si>
  <si>
    <t>DIP 1 links (Fuß)</t>
  </si>
  <si>
    <t>PIP 1 rechts (Fuß)</t>
  </si>
  <si>
    <t>DIP 1 rechts (Fuß)</t>
  </si>
  <si>
    <t xml:space="preserve">Carpometacarpal 1 </t>
  </si>
  <si>
    <t>DIP 1 rechts (Hand)</t>
  </si>
  <si>
    <t xml:space="preserve">radiocarpal links </t>
  </si>
  <si>
    <t>ulnocarpal links</t>
  </si>
  <si>
    <t>intercarpal links</t>
  </si>
  <si>
    <t>MCP 1 links</t>
  </si>
  <si>
    <t>Seeger, Lemmy</t>
  </si>
  <si>
    <t>Axiale Spondylarthropathie</t>
  </si>
  <si>
    <t>Costotransveralgelenk BWK 12 rechts</t>
  </si>
  <si>
    <t>4xRituximab</t>
  </si>
  <si>
    <t>SC rechts</t>
  </si>
  <si>
    <t>Tuber ischiadicum rechts (Sehne)</t>
  </si>
  <si>
    <t>Femurkopf rechts (Sehne)</t>
  </si>
  <si>
    <t>HWK 2/3 links (Facettengelenk)</t>
  </si>
  <si>
    <t>LWK 4/LWK 5 links (Facettengelenk)</t>
  </si>
  <si>
    <t>HWK4/HWK5 links (Facettengelenk)</t>
  </si>
  <si>
    <t>LWK4/LWK5 rechts (Facettengelenk)</t>
  </si>
  <si>
    <t>LWK4/LWK5 links (Facettengelenk)</t>
  </si>
  <si>
    <t>Femur rechts  (Sehne)</t>
  </si>
  <si>
    <t>LWK2/LWK3 rechts (Facettengelenk)</t>
  </si>
  <si>
    <t>HWK2/HWK3 links (Facettengelenk)</t>
  </si>
  <si>
    <t>Femur rechts (Sehne)</t>
  </si>
  <si>
    <t>LWK 5</t>
  </si>
  <si>
    <t>LWK 1</t>
  </si>
  <si>
    <t>Tuber ischiadicum links</t>
  </si>
  <si>
    <t>LWK 5 rechts (Facettengelenk)</t>
  </si>
  <si>
    <t>LWK 4 rechts (Facettengelenk)</t>
  </si>
  <si>
    <t>HWK 5/6 links (Facettengelenk)</t>
  </si>
  <si>
    <t>Costotransversalgelenk 1 links</t>
  </si>
  <si>
    <t>Proc. Spinosus HWK 7</t>
  </si>
  <si>
    <t>Costotransversalgelenk 8 rechts</t>
  </si>
  <si>
    <t>Costotransversalgelenk 10 rechts</t>
  </si>
  <si>
    <t>LWK 3/4 rechts (Facettengelenk)</t>
  </si>
  <si>
    <t>LWK 4/LWK5 rechts (Facettengelenk)</t>
  </si>
  <si>
    <t>Kniegelenk rechts medial (Sehne)</t>
  </si>
  <si>
    <t>Kniegelenk rechts lateral (Sehne)</t>
  </si>
  <si>
    <t>laterale Flexorensehnen Fuß rechts (Sehne)</t>
  </si>
  <si>
    <t>plantare Flexoren rechts (Sehne)</t>
  </si>
  <si>
    <t>M. flexor carpi ulnaris links (Sehne)</t>
  </si>
  <si>
    <t>prox. Femur links (Sehne)</t>
  </si>
  <si>
    <t>Femur links (Sehne)</t>
  </si>
  <si>
    <t>HWK2/HWK 3 links (Facettengelenk)</t>
  </si>
  <si>
    <t>Costotransversalgelenk BWK 11 rechts</t>
  </si>
  <si>
    <t>Costotransversalgelenk BWK 11 links</t>
  </si>
  <si>
    <t>Calcaneus links (Fersensporn)</t>
  </si>
  <si>
    <t>HWK6/HWK 7 rechts (Facettengelenk)</t>
  </si>
  <si>
    <t>LWK2/LWK3 links (Facettengelenk)</t>
  </si>
  <si>
    <t>LWK3/LWK4 rechts (Facettengelenk</t>
  </si>
  <si>
    <t>LWK3/LWK4 links (Facettengelenk)</t>
  </si>
  <si>
    <t>Tarsometartarsale links</t>
  </si>
  <si>
    <t>Tarsometartarsale rechts</t>
  </si>
  <si>
    <t>MTP 4 rechts</t>
  </si>
  <si>
    <t>MTP 1 rechts</t>
  </si>
  <si>
    <t>LWK 4/LWK  5 rechts (Facettengelenk)</t>
  </si>
  <si>
    <t>HWK 3/4 links (Facettengelenk)</t>
  </si>
  <si>
    <t>Strecksehne D2 rechts palmar (Sehne)</t>
  </si>
  <si>
    <t>PIP 3 rechts (Hand)</t>
  </si>
  <si>
    <t>PIP 1 rechts (Hand)</t>
  </si>
  <si>
    <t>PIP 2 links (Hand)</t>
  </si>
  <si>
    <t>PIP 3 links (Hand)</t>
  </si>
  <si>
    <t>DIP 3 links (Hand)</t>
  </si>
  <si>
    <t>LWK 4/LWK5 links (Facettengelenk)</t>
  </si>
  <si>
    <t>LWK5/SWK1 links (Facettengelenk)</t>
  </si>
  <si>
    <t>LWK5/SWK1 rechts (Facettengelenk)</t>
  </si>
  <si>
    <t>Kniegelenk links medial (Sehne)</t>
  </si>
  <si>
    <t xml:space="preserve">MCP 3 links </t>
  </si>
  <si>
    <t xml:space="preserve">MCP 2 rechts </t>
  </si>
  <si>
    <t>Costotransversalgelenk 1 rechts</t>
  </si>
  <si>
    <t>Sternocostalesgelenk 1 rechts</t>
  </si>
  <si>
    <t>PIP 2 rechts (Hand)</t>
  </si>
  <si>
    <t>AC-Gelenk links</t>
  </si>
  <si>
    <t>Interspinös LWK2/LWK3</t>
  </si>
  <si>
    <t>MTP 3 rechts</t>
  </si>
  <si>
    <t>PIP 5 rechts (Hand)</t>
  </si>
  <si>
    <t>DIP 4 rechts (Hand)</t>
  </si>
  <si>
    <t>DIP 2 rechts (Hand)</t>
  </si>
  <si>
    <t>MCP 5 rechts</t>
  </si>
  <si>
    <t xml:space="preserve"> Costotransversalgelenk 9 rechts</t>
  </si>
  <si>
    <t>BWK 11/BWK 12 links (Facettengelenk)</t>
  </si>
  <si>
    <t>BWK 11/BWK 12 rechts (Facettengelenk)</t>
  </si>
  <si>
    <t>Number of lesions 1. FAPI</t>
  </si>
  <si>
    <t>Number of lesions 2. FAPI</t>
  </si>
  <si>
    <t>LWK4/LWK5 interspinös</t>
  </si>
  <si>
    <t>Secukinumab</t>
  </si>
  <si>
    <t>Strecksehne D3 rechts palmar (Sehne)</t>
  </si>
  <si>
    <t>Spina iliaca ant. Inf. Links (Sehne</t>
  </si>
  <si>
    <t>Karpaltunnel rechts</t>
  </si>
  <si>
    <t>Spina iliaca ant. inf. links (Sehne)</t>
  </si>
  <si>
    <t>linker Oberlappen</t>
  </si>
  <si>
    <t>Number of affected lobes</t>
  </si>
  <si>
    <t>linker Unterlappen</t>
  </si>
  <si>
    <t>rechter Oberlappen</t>
  </si>
  <si>
    <t>rechter Unterlappen</t>
  </si>
  <si>
    <t>Mittellappen</t>
  </si>
  <si>
    <t>Achillessehne rechts (Sehne)</t>
  </si>
  <si>
    <t>prox. Femur links (Sehne)/Insertionstendinopathie</t>
  </si>
  <si>
    <t>Femur links (Sehne)/Insertionstendinopathie</t>
  </si>
  <si>
    <t>Femur rechts (Sehne)/Insertionstendinopathie</t>
  </si>
  <si>
    <t>Tuber ischiadicum rechts (Sehne)/Insertionstendinopathie</t>
  </si>
  <si>
    <t>Tuber ischiadicum links (Sehne)/Insertionstendinopathie</t>
  </si>
  <si>
    <t>Flexorensehne rechts palmar (Sehne)</t>
  </si>
  <si>
    <t>Sehne M. tibialis anterior rechts (Sehne)</t>
  </si>
  <si>
    <t>Beugesehne Os metatarsale 1 rechts (Sehne)</t>
  </si>
  <si>
    <t>Sehne rechts radiocarpal palmar (Sehne)</t>
  </si>
  <si>
    <t>Sehne rechts dorsocarpal (Sehne)</t>
  </si>
  <si>
    <t>MCP 2 rechts (Hand)</t>
  </si>
  <si>
    <t>Background</t>
  </si>
  <si>
    <t>2. FAPI</t>
  </si>
  <si>
    <t>2. FAPI SUVmax</t>
  </si>
  <si>
    <t>Ebert, Thomas</t>
  </si>
  <si>
    <t>Bader, Brigitte</t>
  </si>
  <si>
    <t>Kohles, Cathrin</t>
  </si>
  <si>
    <t>rechts ulnocarpal</t>
  </si>
  <si>
    <t>rechts radiocarpal</t>
  </si>
  <si>
    <t>links retroperitoneal</t>
  </si>
  <si>
    <t>Age</t>
  </si>
  <si>
    <t>retroperitoneal</t>
  </si>
  <si>
    <t>2xRituximab</t>
  </si>
  <si>
    <t>Aorta</t>
  </si>
  <si>
    <t>Muscle</t>
  </si>
  <si>
    <t>Liver</t>
  </si>
  <si>
    <t>Rechte Niere</t>
  </si>
  <si>
    <t>Linke Niere</t>
  </si>
  <si>
    <t>Intraorbital links</t>
  </si>
  <si>
    <t>Gl. Submandibularis links</t>
  </si>
  <si>
    <t>Gl. Submandibularis rechts</t>
  </si>
  <si>
    <t>Pankreas</t>
  </si>
  <si>
    <t>MAV cm3</t>
  </si>
  <si>
    <t>TL-FAP</t>
  </si>
  <si>
    <t>wbTL-FAPI 1</t>
  </si>
  <si>
    <t>wbTL-FAPI 2</t>
  </si>
  <si>
    <t>wbTLG1</t>
  </si>
  <si>
    <t>wbTLG2</t>
  </si>
  <si>
    <t>SD</t>
  </si>
  <si>
    <t>PR</t>
  </si>
  <si>
    <t>CR</t>
  </si>
  <si>
    <t>standardabweichung</t>
  </si>
  <si>
    <t>Mittelwert</t>
  </si>
  <si>
    <t>Max</t>
  </si>
  <si>
    <t>min</t>
  </si>
  <si>
    <t>per lesion</t>
  </si>
  <si>
    <t>SUVmax pP</t>
  </si>
  <si>
    <t>SUVpeak pP</t>
  </si>
  <si>
    <t>SUV mean pP</t>
  </si>
  <si>
    <t>MTV pP</t>
  </si>
  <si>
    <t>TLG pP</t>
  </si>
  <si>
    <t>per patient</t>
  </si>
  <si>
    <t>mean SUV max</t>
  </si>
  <si>
    <t>TBR FAPI</t>
  </si>
  <si>
    <t>mean SUVmax</t>
  </si>
  <si>
    <t>Stabw</t>
  </si>
  <si>
    <t>FDG first</t>
  </si>
  <si>
    <t>FDG second</t>
  </si>
  <si>
    <t>FAPI first</t>
  </si>
  <si>
    <t>FAPI second</t>
  </si>
  <si>
    <t>TBR FDG</t>
  </si>
  <si>
    <t>FAPi pos CT neg.</t>
  </si>
  <si>
    <t>links zervikal</t>
  </si>
  <si>
    <t>TL-FAPI</t>
  </si>
  <si>
    <t>MAV</t>
  </si>
  <si>
    <t>Scandatum 1. FAPI</t>
  </si>
  <si>
    <t>Ort der Probenentnahme</t>
  </si>
  <si>
    <t>Histologie im Soarian 0=nein, 1=ja</t>
  </si>
  <si>
    <t>Ja</t>
  </si>
  <si>
    <t>Nein</t>
  </si>
  <si>
    <t>Tonsille links /Atherom link /Lymphknoten cervikal links</t>
  </si>
  <si>
    <t xml:space="preserve">Retroperitonealer Tumor//Terminales Ileum </t>
  </si>
  <si>
    <t>11.05.2018//11.12.2017</t>
  </si>
  <si>
    <t>Orbitale Raumforderung</t>
  </si>
  <si>
    <t>Nierenstanzzylinder</t>
  </si>
  <si>
    <t xml:space="preserve">Glandula sublingualis </t>
  </si>
  <si>
    <t>Datum der Probenentnahme</t>
  </si>
  <si>
    <t>Weichgewebsprobe infraorbital links</t>
  </si>
  <si>
    <t>Fischer-Marton, Eveline</t>
  </si>
  <si>
    <t>Fiedler, Ursula</t>
  </si>
  <si>
    <t>Systemische Sklerose</t>
  </si>
  <si>
    <t>Flehmig, Thomas</t>
  </si>
  <si>
    <t>Limitierte Systemische Sklerose/Lungenfibrose</t>
  </si>
  <si>
    <t>Häfner, Thomas</t>
  </si>
  <si>
    <t>Dzelic, Emir</t>
  </si>
  <si>
    <t>Sperl, Dan</t>
  </si>
  <si>
    <t>Winkler, Andrea</t>
  </si>
  <si>
    <t>Saglibene, Loreto</t>
  </si>
  <si>
    <t>Standardabweichung</t>
  </si>
  <si>
    <t>Zink, Verena</t>
  </si>
  <si>
    <t>SpA</t>
  </si>
  <si>
    <t>Günes, Serdar</t>
  </si>
  <si>
    <t>Lieke, Sandra</t>
  </si>
  <si>
    <t>Dinc, Arfe</t>
  </si>
  <si>
    <t>pre-RA</t>
  </si>
  <si>
    <t>Mekuschkin, Sergej</t>
  </si>
  <si>
    <t>Conrad, Christian</t>
  </si>
  <si>
    <t>Raducu, Nicolae-Mihai</t>
  </si>
  <si>
    <t>Witkovsky, Cornelia</t>
  </si>
  <si>
    <t>Schemmerer, Günther</t>
  </si>
  <si>
    <t>Anderson, Kristina</t>
  </si>
  <si>
    <t>Pietzsch, Michaela</t>
  </si>
  <si>
    <t>Moßburger, Sandra</t>
  </si>
  <si>
    <t>Weiss, Pia</t>
  </si>
  <si>
    <t>Lustig, Drazen</t>
  </si>
  <si>
    <t>Gries, Ute</t>
  </si>
  <si>
    <t>Malbrich, Horst</t>
  </si>
  <si>
    <t>Greiner, Lars</t>
  </si>
  <si>
    <t>Hülf, Michael</t>
  </si>
  <si>
    <t>Ilieva, Vyara</t>
  </si>
  <si>
    <t>Werner, Ulrike</t>
  </si>
  <si>
    <t>Prä-RA</t>
  </si>
  <si>
    <t>Colitis ulcerosa</t>
  </si>
  <si>
    <t>Schwarz, Janique</t>
  </si>
  <si>
    <t>Hahn, Hanna</t>
  </si>
  <si>
    <t>Hoyer, Sophie</t>
  </si>
  <si>
    <t>Wagner, Jannik</t>
  </si>
  <si>
    <t>Kuhn, Silvia</t>
  </si>
  <si>
    <t>Gottschalk, Patrick</t>
  </si>
  <si>
    <t>Wich, Daniel</t>
  </si>
  <si>
    <t>Pre-RA</t>
  </si>
  <si>
    <t>Wittmann, Thomas</t>
  </si>
  <si>
    <t>INF</t>
  </si>
  <si>
    <t>DEG</t>
  </si>
  <si>
    <t>SUV max</t>
  </si>
  <si>
    <t>SUV mean</t>
  </si>
  <si>
    <t xml:space="preserve">MAV </t>
  </si>
  <si>
    <t>Lokalisation</t>
  </si>
  <si>
    <t>MTP 4 links</t>
  </si>
  <si>
    <t>Hallux rechts</t>
  </si>
  <si>
    <t>DEG gesamt</t>
  </si>
  <si>
    <t>INF gesamt</t>
  </si>
  <si>
    <t>SPA</t>
  </si>
  <si>
    <t>HWK 8 Proc. Spinosus</t>
  </si>
  <si>
    <t>HWK5 art. Costotransversalis</t>
  </si>
  <si>
    <t>BWK 8 Art. Costotransversale</t>
  </si>
  <si>
    <t>BWK 10 Art. Costotransversale</t>
  </si>
  <si>
    <t>LWK 5 FG</t>
  </si>
  <si>
    <t>ISG links</t>
  </si>
  <si>
    <t>Flexoren Kniegelenk</t>
  </si>
  <si>
    <t>Peronaeus Sehne rechts</t>
  </si>
  <si>
    <t>Plantarsehne Dig V rechts</t>
  </si>
  <si>
    <t>Plantarsehne Dig 3 rechts</t>
  </si>
  <si>
    <t>Plantarsehne Dig V links</t>
  </si>
  <si>
    <t>Flexoren Oberschenkel links</t>
  </si>
  <si>
    <t>LWK 4 FG</t>
  </si>
  <si>
    <t>DIG 5 links</t>
  </si>
  <si>
    <t>DIG 4 links</t>
  </si>
  <si>
    <t>Flexor carpi ulnaris links</t>
  </si>
  <si>
    <t>Daumensattelgelenk rechts</t>
  </si>
  <si>
    <t>RA</t>
  </si>
  <si>
    <t>Flexoren Oberschenkel</t>
  </si>
  <si>
    <t>Extensoren Sprunggelenk rechts</t>
  </si>
  <si>
    <t>Extensoren Hallux rechts</t>
  </si>
  <si>
    <t>Extensor poll brevis links</t>
  </si>
  <si>
    <t>DIP 2 links</t>
  </si>
  <si>
    <t>HWK2/3 links</t>
  </si>
  <si>
    <t>Costoclavikulargelenk re</t>
  </si>
  <si>
    <t>Costotransversalgelenk</t>
  </si>
  <si>
    <t>Costotransversalgelenk BWK 11 re</t>
  </si>
  <si>
    <t>Costotransversalgelenk BWK 11 li</t>
  </si>
  <si>
    <t>LWK 4 re</t>
  </si>
  <si>
    <t>LWK 2</t>
  </si>
  <si>
    <t>Proc. Spinosus 5</t>
  </si>
  <si>
    <t>Schulter inks</t>
  </si>
  <si>
    <t>Zunehmende Läsion Proc. Spinosus LWK 5 neue Läsion Schulter links</t>
  </si>
  <si>
    <t>Fersensporn links</t>
  </si>
  <si>
    <t>Hallux links</t>
  </si>
  <si>
    <t>Flexoren plantar li</t>
  </si>
  <si>
    <t>Sehne Troch. Major li</t>
  </si>
  <si>
    <t>Flexoren plantar re</t>
  </si>
  <si>
    <t>Proc. Spinosus LWK 3</t>
  </si>
  <si>
    <t>Flexorensehne Beuger re</t>
  </si>
  <si>
    <t>LWK 5 FG li</t>
  </si>
  <si>
    <t>Schulter re</t>
  </si>
  <si>
    <t>LWK 1 FG li</t>
  </si>
  <si>
    <t>LWK 2 FG li</t>
  </si>
  <si>
    <t>LWK 3 FG li</t>
  </si>
  <si>
    <t>LWK 5 re</t>
  </si>
  <si>
    <t>Hüftgelenk re</t>
  </si>
  <si>
    <t>Hüftgelenk li</t>
  </si>
  <si>
    <t>Sehne Tuber ischiadicum re</t>
  </si>
  <si>
    <t>Sehne Tuber ischiadicum li</t>
  </si>
  <si>
    <t>LWK 3 FG re</t>
  </si>
  <si>
    <t>HWK 6 FG re</t>
  </si>
  <si>
    <t>HWK 6 proc. Spinosus</t>
  </si>
  <si>
    <t>Art. Tarsometartarsale links</t>
  </si>
  <si>
    <t>Art. Tarsometartarsale rechts</t>
  </si>
  <si>
    <t>MTP 4 re</t>
  </si>
  <si>
    <t>MTP 3 li</t>
  </si>
  <si>
    <t>Schulter li</t>
  </si>
  <si>
    <t>SC Gelenk re</t>
  </si>
  <si>
    <t>SC Gelenk li</t>
  </si>
  <si>
    <t>Hallux re</t>
  </si>
  <si>
    <t>Hallux li</t>
  </si>
  <si>
    <t>Radioulnargelenk li</t>
  </si>
  <si>
    <t>Fingerextensoren li</t>
  </si>
  <si>
    <t>Fingerflexoren re</t>
  </si>
  <si>
    <t>HWK 3/4 FG li</t>
  </si>
  <si>
    <t>BWK 5/BWK 6 Knochenspange</t>
  </si>
  <si>
    <t>LWK 4/LWK 5 FG li</t>
  </si>
  <si>
    <t>LWK 4/LWK 5 FG re</t>
  </si>
  <si>
    <t>ISG links Knochenspange</t>
  </si>
  <si>
    <t>Extensorensehne MCP links III</t>
  </si>
  <si>
    <t>AC-Gelenk re</t>
  </si>
  <si>
    <t>AC-Gelenk li</t>
  </si>
  <si>
    <t>DIP 5 re</t>
  </si>
  <si>
    <t>DIP IV re</t>
  </si>
  <si>
    <t>DIP III re</t>
  </si>
  <si>
    <t>DIP V li</t>
  </si>
  <si>
    <t>Dip III li</t>
  </si>
  <si>
    <t>DIP II li</t>
  </si>
  <si>
    <t>Bild ausgeprägte RA</t>
  </si>
  <si>
    <t>Bild Deg. Hand</t>
  </si>
  <si>
    <t>HWK 2/3 li</t>
  </si>
  <si>
    <t>HWK 4/5 li</t>
  </si>
  <si>
    <t xml:space="preserve">BWK 2/BWK 3 </t>
  </si>
  <si>
    <t>Bild Degenerative Osteochondrose</t>
  </si>
  <si>
    <t>Bild Degenerative FG</t>
  </si>
  <si>
    <t>Kniegelenk re</t>
  </si>
  <si>
    <t>MCP 2 re</t>
  </si>
  <si>
    <t>PIP 2 re</t>
  </si>
  <si>
    <t>PIP 2 li</t>
  </si>
  <si>
    <t>MCP 2 li</t>
  </si>
  <si>
    <t>MCP 3 li</t>
  </si>
  <si>
    <t>DIP 3 li</t>
  </si>
  <si>
    <t>HWK 2 li FG</t>
  </si>
  <si>
    <t>LWK 3/LWK 4 re</t>
  </si>
  <si>
    <t>LWK 3/LWK 4 li</t>
  </si>
  <si>
    <t>LWK 5 li</t>
  </si>
  <si>
    <t>Enthesiopathie Tuber ischiadicum re</t>
  </si>
  <si>
    <t>Art. Radiocarpalis re</t>
  </si>
  <si>
    <t>MCP 5 li</t>
  </si>
  <si>
    <t>DIP 5 li</t>
  </si>
  <si>
    <t>MTP 2 re</t>
  </si>
  <si>
    <t>MTP 2 li</t>
  </si>
  <si>
    <t>BWK 6 Osteochondrose</t>
  </si>
  <si>
    <t>Tuber ischiadicum li</t>
  </si>
  <si>
    <t>SC-Gelenk re</t>
  </si>
  <si>
    <t>Ellenbogen re</t>
  </si>
  <si>
    <t>Fersensporn li</t>
  </si>
  <si>
    <t>DIP Daumen re</t>
  </si>
  <si>
    <t>PIP III re</t>
  </si>
  <si>
    <t>Ulnocarpal li</t>
  </si>
  <si>
    <t>ISG-links</t>
  </si>
  <si>
    <t>Osteophyt BWK 5</t>
  </si>
  <si>
    <t>PIP II re</t>
  </si>
  <si>
    <t>Kniegelenk li</t>
  </si>
  <si>
    <t>Radioulnar re</t>
  </si>
  <si>
    <t>carpal re</t>
  </si>
  <si>
    <t>OSG re</t>
  </si>
  <si>
    <t>Daumenendgelenk re</t>
  </si>
  <si>
    <t>Radiocarpalgelenk li</t>
  </si>
  <si>
    <t>Schultergelenk li</t>
  </si>
  <si>
    <t>Schultergelenk re</t>
  </si>
  <si>
    <t>Achillessehne re</t>
  </si>
  <si>
    <t>SC-Gelenk li</t>
  </si>
  <si>
    <t>LWK 3/4 FG re</t>
  </si>
  <si>
    <t>HWK 1/ FG li</t>
  </si>
  <si>
    <t>Osteophyt LWK 3</t>
  </si>
  <si>
    <t>Osteophyt BWK 10</t>
  </si>
  <si>
    <t>DIP 2 re</t>
  </si>
  <si>
    <t>LWk 4 FG re</t>
  </si>
  <si>
    <t>Osteochondrose LWK 5</t>
  </si>
  <si>
    <t>ISG re</t>
  </si>
  <si>
    <t>ISG li</t>
  </si>
  <si>
    <t>AC-gelenk re</t>
  </si>
  <si>
    <t>LWK 3  FG re</t>
  </si>
  <si>
    <t>DIP Zehe 4 re</t>
  </si>
  <si>
    <t>DIP II re</t>
  </si>
  <si>
    <t>rechts carpal</t>
  </si>
  <si>
    <t>Daumensattelgelenk re</t>
  </si>
  <si>
    <t>HWK 2</t>
  </si>
  <si>
    <t>USG li</t>
  </si>
  <si>
    <t>USG re</t>
  </si>
  <si>
    <t>DIP Zehe re</t>
  </si>
  <si>
    <t>DIP Zehe li</t>
  </si>
  <si>
    <t>PIP Zehe 5 li</t>
  </si>
  <si>
    <t>Daumengrundgelenk re</t>
  </si>
  <si>
    <t>re carpal</t>
  </si>
  <si>
    <t>PIP V re</t>
  </si>
  <si>
    <t>li carpal</t>
  </si>
  <si>
    <t>PIP II li</t>
  </si>
  <si>
    <t>BWK 11/BWK 12 FG re</t>
  </si>
  <si>
    <t>BWK 11/BWK 12 FG li</t>
  </si>
  <si>
    <t>LWK 3 re</t>
  </si>
  <si>
    <t>BWK 10 re</t>
  </si>
  <si>
    <t>radiocarpal re</t>
  </si>
  <si>
    <t>ulnocarpal re</t>
  </si>
  <si>
    <t>MCP III re</t>
  </si>
  <si>
    <t>MCP II li</t>
  </si>
  <si>
    <t>Osteochondrose BWK 8/BWk 9</t>
  </si>
  <si>
    <t xml:space="preserve">Costovertebralgelenk BWK 5 </t>
  </si>
  <si>
    <t>ISG-Fuge links</t>
  </si>
  <si>
    <t>OSG li</t>
  </si>
  <si>
    <t>radiocarpal li</t>
  </si>
  <si>
    <t>ulnocarpal li</t>
  </si>
  <si>
    <t>Costovertebralgelenk BWK 5 re</t>
  </si>
  <si>
    <t>LWK5/SWK 1</t>
  </si>
  <si>
    <t>ISG-re</t>
  </si>
  <si>
    <t>Costotransversal BWK 3 re</t>
  </si>
  <si>
    <t>Costotransversal BWK 6 re</t>
  </si>
  <si>
    <t>Costotransversal BWK 7 re</t>
  </si>
  <si>
    <t>Costotransversal BWK 10 re</t>
  </si>
  <si>
    <t>LWK 2/LWK 3 Proc. Spinosi</t>
  </si>
  <si>
    <t>LWK 4/LWK 5</t>
  </si>
  <si>
    <t>OSG rechts</t>
  </si>
  <si>
    <t>radioulnar li</t>
  </si>
  <si>
    <t>radioulnar re</t>
  </si>
  <si>
    <t>SWK 1</t>
  </si>
  <si>
    <t xml:space="preserve">SpA </t>
  </si>
  <si>
    <t>Bizepssehne li</t>
  </si>
  <si>
    <t>LWK 4</t>
  </si>
  <si>
    <t>LWK 5 re FG</t>
  </si>
  <si>
    <t>Tendovaginitis D 3 li</t>
  </si>
  <si>
    <t>Hahn, Vanessa</t>
  </si>
  <si>
    <t>Geyer, Achim</t>
  </si>
  <si>
    <t>Daxenberger, Raphael</t>
  </si>
  <si>
    <t>Ruck, Wolfgang</t>
  </si>
  <si>
    <t>Sternum</t>
  </si>
  <si>
    <t>HWK 2 FG li</t>
  </si>
  <si>
    <t>HWK 4 FG li</t>
  </si>
  <si>
    <t>Proc. Spinosi BWK 7/ BWK 8</t>
  </si>
  <si>
    <t>Costotransversal BWK 2 re</t>
  </si>
  <si>
    <t>Costotransversal BWK 2 li</t>
  </si>
  <si>
    <t>LWK 5 FG re</t>
  </si>
  <si>
    <t>PIP Daumen li</t>
  </si>
  <si>
    <t>Sehne Carpaltunnel re</t>
  </si>
  <si>
    <t>Ellenbogengelenk li</t>
  </si>
  <si>
    <t>Sternoclavikulargelenk rechts</t>
  </si>
  <si>
    <t>ISG Gelenk rechts</t>
  </si>
  <si>
    <t>Osteophyt BKW 7/8</t>
  </si>
  <si>
    <t>AC Gelenk rechts</t>
  </si>
  <si>
    <t>AC Gelenk links</t>
  </si>
  <si>
    <t>Facettengelenk LWK4/5 rechts</t>
  </si>
  <si>
    <t xml:space="preserve">Facettengelenk LWK4/5 links </t>
  </si>
  <si>
    <t>PIP D4 rechter Fuß</t>
  </si>
  <si>
    <t>Kießewetter,Fred</t>
  </si>
  <si>
    <t>Osteochondrose LWK5/SWK1</t>
  </si>
  <si>
    <t>M.Crohn</t>
  </si>
  <si>
    <t>Stöcklein,Tanja</t>
  </si>
  <si>
    <t>PIP D IV rechts</t>
  </si>
  <si>
    <t>Os naviculare links</t>
  </si>
  <si>
    <t>Großzehengrundgelenk links</t>
  </si>
  <si>
    <t>ISG Fuge links</t>
  </si>
  <si>
    <t>ISG Fuge rechts</t>
  </si>
  <si>
    <t>Flexorensehne Ansatz Dig. I rechts Fuß</t>
  </si>
  <si>
    <t>Distale Flexorensehnen rechter Fuß</t>
  </si>
  <si>
    <t>Flexorensehnen links Dig. V</t>
  </si>
  <si>
    <t>Satzinger,Ingrid</t>
  </si>
  <si>
    <t>Facettengelenk LWK5/SWK1 rechts</t>
  </si>
  <si>
    <t>Flexorensehne am Calcaneus links</t>
  </si>
  <si>
    <t>Schubart,Madlen</t>
  </si>
  <si>
    <t>Psoriasis</t>
  </si>
  <si>
    <t>Bandscheibenfach LWK5/SWK1</t>
  </si>
  <si>
    <t>Facettengelenksarthrose rechts HWK3/4</t>
  </si>
  <si>
    <t>Bauer,Silke</t>
  </si>
  <si>
    <t>Endgelenk Dig V links</t>
  </si>
  <si>
    <t>Costovertebralgelenk BWK 2 rechts</t>
  </si>
  <si>
    <t>Costovertebralgelenk BWK 11 rechts</t>
  </si>
  <si>
    <t>Osteophyt LWK5/SWK1</t>
  </si>
  <si>
    <t>Osteophyt LWK4/LWK5</t>
  </si>
  <si>
    <t>Spangenförmige Mehrsklerosierung LWK 5/Os sacrum links</t>
  </si>
  <si>
    <t>Ansatzsehnenbereich linke Symphyse</t>
  </si>
  <si>
    <t>Ansatzsehnenbereich rechte Symphyse</t>
  </si>
  <si>
    <t>Facettengelenk BWK12/LWK1</t>
  </si>
  <si>
    <t>Costovertebralgelenk BWK4 rechts</t>
  </si>
  <si>
    <t>Costovertebralgelenk BWK 12 rechts</t>
  </si>
  <si>
    <t>Toltz,Alexander</t>
  </si>
  <si>
    <t>Ankolysierende Spondylitis</t>
  </si>
  <si>
    <t>Ventrale Osteophytäre Anbauten BWK4/5</t>
  </si>
  <si>
    <t>Werner,Ulrike</t>
  </si>
  <si>
    <t>Facettengelenk links LWK3/4</t>
  </si>
  <si>
    <t>Ansatzsehnentendinopathie Tractus iliotibialis rechts</t>
  </si>
  <si>
    <t>Ansatzsehnentendinopathie Tractus iliotibialis links</t>
  </si>
  <si>
    <t>Großzehengrundgelenk rechts</t>
  </si>
  <si>
    <t>Osteophytäre Anbauten LWK3/4</t>
  </si>
  <si>
    <t>Sossna,Kathrin</t>
  </si>
  <si>
    <t xml:space="preserve">USG rechts </t>
  </si>
  <si>
    <t>Kastner,Ingo</t>
  </si>
  <si>
    <t>Osteochondrose HWK4/5</t>
  </si>
  <si>
    <t>Osteochondrose HWK6/7</t>
  </si>
  <si>
    <t>Osteophyt BWK7/8</t>
  </si>
  <si>
    <t>Geröllzyste rechtes Kniegelenk</t>
  </si>
  <si>
    <t>Tarsometatarsalgelenk D1 links</t>
  </si>
  <si>
    <t>Tarsometatarsalgelenke D1-D3 rechts</t>
  </si>
  <si>
    <t>Ortmann,Eva-Maria</t>
  </si>
  <si>
    <t>Facettengelenk LWK4/5</t>
  </si>
  <si>
    <t>Facettengelenk LWK5/SWK1</t>
  </si>
  <si>
    <t>Daumensattelgelenk links</t>
  </si>
  <si>
    <t xml:space="preserve">Sternoclavikulargelenk rechts </t>
  </si>
  <si>
    <t>Patella rechts</t>
  </si>
  <si>
    <t>Andreica,Harald</t>
  </si>
  <si>
    <t>Facettengelenk links BWK11/12</t>
  </si>
  <si>
    <t xml:space="preserve">ISG Fuge links </t>
  </si>
  <si>
    <t>Geist,Thomas</t>
  </si>
  <si>
    <t>OSG links</t>
  </si>
  <si>
    <t>Metatarsophalangealgelenk rechts Dig I</t>
  </si>
  <si>
    <t>Osteophyt LWK3</t>
  </si>
  <si>
    <t>Osteochondrose LWK4/5</t>
  </si>
  <si>
    <t>SpA (M.Crohin)</t>
  </si>
  <si>
    <t>Mediales Tibiaplateau links</t>
  </si>
  <si>
    <t>Schuster,Richard</t>
  </si>
  <si>
    <t>Facettengelenk LWK2/3 links</t>
  </si>
  <si>
    <t>Ansatzsehne ischiocrurale Muskulatur links</t>
  </si>
  <si>
    <t>Ansatzsehne ischiocrurale Muskulatur rechts</t>
  </si>
  <si>
    <t>Ansatzsehne Tractus iliotibialis rechts</t>
  </si>
  <si>
    <t>distale Plantaraponeurose mit Schwellung im CT</t>
  </si>
  <si>
    <t>Metatarsophalangealgelenk I links</t>
  </si>
  <si>
    <t>Articulatio talonaviculare links</t>
  </si>
  <si>
    <t>Proximales Interphalangealgelenk rechts Dig.V</t>
  </si>
  <si>
    <t>Interphalangealgelenk Dig.I</t>
  </si>
  <si>
    <t>Meier,Angelica</t>
  </si>
  <si>
    <t>Kniegelenkkapsel rechts</t>
  </si>
  <si>
    <t>Plantaraponeurose distal rechts</t>
  </si>
  <si>
    <t>Metatarsophalangealgelenk rechts Dig 2</t>
  </si>
  <si>
    <t>Tarsometatarsalgelenk Dig 3 rechts</t>
  </si>
  <si>
    <t>Langstreckige Flexorensehne rechts</t>
  </si>
  <si>
    <t>Ansatzsehne Flexoren Dif 2/3 linker Fuß</t>
  </si>
  <si>
    <t>Ansatzsehne Achillessehne am Calcaneus links</t>
  </si>
  <si>
    <t xml:space="preserve">Daumenendgelenk rechts </t>
  </si>
  <si>
    <t>PIP Dig 3 links</t>
  </si>
  <si>
    <t>PIP DIG 3 rechts</t>
  </si>
  <si>
    <t>PIP DIG 4 rechts</t>
  </si>
  <si>
    <t>Ansatz 1. Rippe links am Sternocostalgelenk</t>
  </si>
  <si>
    <t>Facettengelenk LWK4/5 links</t>
  </si>
  <si>
    <t>Buchinger,Christoph</t>
  </si>
  <si>
    <t>Interspinal LWK 4/5</t>
  </si>
  <si>
    <t>Galler,Claudia</t>
  </si>
  <si>
    <t>Schultergelenk links außen</t>
  </si>
  <si>
    <t>Sehnenansatz Trochanter major links</t>
  </si>
  <si>
    <t>Osteophyt BWK 8/9</t>
  </si>
  <si>
    <t>Klement,Hans-Jürgen</t>
  </si>
  <si>
    <t>Psoriasis Arthritis</t>
  </si>
  <si>
    <t>Ulnocarpalgelenk rechts</t>
  </si>
  <si>
    <t>Myxofibroblasitsches Sarkom d. Hand</t>
  </si>
  <si>
    <t>Schultergelenk links zirkulär</t>
  </si>
  <si>
    <t>Facettengelenk LWK 2/3 rechts</t>
  </si>
  <si>
    <t>Facettengelenk LWK3/4 rechts</t>
  </si>
  <si>
    <t>Facettengelenk LWK3/4 links</t>
  </si>
  <si>
    <t>Ansatzsehnen ischiocrurale Muskulatur links</t>
  </si>
  <si>
    <t>Beugesehne links</t>
  </si>
  <si>
    <t>Sehenansatz medialer Calcaneus links</t>
  </si>
  <si>
    <t>Kittel,Karsten</t>
  </si>
  <si>
    <t>30.02.1966</t>
  </si>
  <si>
    <t>Ansatzsehne Tuber ischiadicum links</t>
  </si>
  <si>
    <t>Facettengelenksarthrose LWK 4/5</t>
  </si>
  <si>
    <t>Facettengelenksarthrose LWK3/4</t>
  </si>
  <si>
    <t>Facettengelenk LWK5/SWK1 links</t>
  </si>
  <si>
    <t>Facettengelenk LWK4/LWK5 rechts</t>
  </si>
  <si>
    <t>Facettengelenk LWK4/LWK5 links</t>
  </si>
  <si>
    <t>Kniegelenk rechts, hinteres Kreuzband</t>
  </si>
  <si>
    <t>Tendinopathie prox. Fibula links</t>
  </si>
  <si>
    <t>Schwarz,Gabriele</t>
  </si>
  <si>
    <t>Flexorensehne rechter Fuß Höhe Sprunggelenk</t>
  </si>
  <si>
    <t>MCP Dig. V rechts</t>
  </si>
  <si>
    <t>MCP Dig. III links</t>
  </si>
  <si>
    <t>SpA M.Crohn</t>
  </si>
  <si>
    <t>TFCC links</t>
  </si>
  <si>
    <t>MTP V lateral links</t>
  </si>
  <si>
    <t>MTP V lateral rechts</t>
  </si>
  <si>
    <t>Pabst,Rudolf</t>
  </si>
  <si>
    <t>MTP II und MTP III links</t>
  </si>
  <si>
    <t>Facettengelenk rechts LWK5/SWk1</t>
  </si>
  <si>
    <t>Caput mandibulae rechts</t>
  </si>
  <si>
    <t>Daumengrundgelenk rechts</t>
  </si>
  <si>
    <t>Daumenendgelenk rechts</t>
  </si>
  <si>
    <t>MCP II rechts</t>
  </si>
  <si>
    <t>MCP III rechts</t>
  </si>
  <si>
    <t>PIP III rechts</t>
  </si>
  <si>
    <t>DIP III rechts</t>
  </si>
  <si>
    <t>PIP II links</t>
  </si>
  <si>
    <t xml:space="preserve">Sternoclavikulargelenk links </t>
  </si>
  <si>
    <t>Sehne Ansatz ischiocrurale Muskulatur links</t>
  </si>
  <si>
    <t>Sehne Tuber ischiadicum links</t>
  </si>
  <si>
    <t>Sehne Tractus iliotibialis rechts</t>
  </si>
  <si>
    <t>Sehne Tractus iliotibialis links</t>
  </si>
  <si>
    <t>Sehne Extensorenloge rechter Fuß</t>
  </si>
  <si>
    <t>Großzehengrundgelenk linker Fuß</t>
  </si>
  <si>
    <t>Sehne Ischiocrurale Muskulatur links Ansatz</t>
  </si>
  <si>
    <t>Sehne rechts suprapatellär</t>
  </si>
  <si>
    <t>Sehne  Femurkopf links</t>
  </si>
  <si>
    <t xml:space="preserve"> MTP I und II rechter Fuß</t>
  </si>
  <si>
    <t>Greif, Jürgen</t>
  </si>
  <si>
    <t>Söllner, Ute</t>
  </si>
  <si>
    <t>Lohmann, Björn</t>
  </si>
  <si>
    <t>Üzüm, Nurcan</t>
  </si>
  <si>
    <t>Schulter links</t>
  </si>
  <si>
    <t>Sehne trochanter major rechts</t>
  </si>
  <si>
    <t>Sehne tuber ischiadicum links</t>
  </si>
  <si>
    <t>Sehne tuber ischiadicum rechts</t>
  </si>
  <si>
    <t>Antlantoaxial</t>
  </si>
  <si>
    <t>links carpal</t>
  </si>
  <si>
    <t>Beugesehne DIP 2 rechts</t>
  </si>
  <si>
    <t>PIP 5 li</t>
  </si>
  <si>
    <t>PIP IV li</t>
  </si>
  <si>
    <t>DIP I li</t>
  </si>
  <si>
    <t>FG HWK 2/HWK 3 re</t>
  </si>
  <si>
    <t>FG HWK 2/HWK 3 li</t>
  </si>
  <si>
    <t>Gath, Helga</t>
  </si>
  <si>
    <t>Nitschke, Harald</t>
  </si>
  <si>
    <t>Bittner, Katja</t>
  </si>
  <si>
    <t>Nunold, Beatrice</t>
  </si>
  <si>
    <t>Pahic, Sebastian</t>
  </si>
  <si>
    <t>Facettengelenk BWK 12 re</t>
  </si>
  <si>
    <t>Ellenbogen links</t>
  </si>
  <si>
    <t>Flexorensehne 2. Zehe rechts</t>
  </si>
  <si>
    <t>Sehne M. fibularis longus links</t>
  </si>
  <si>
    <t>Sehne M. extensor digitorum rechts</t>
  </si>
  <si>
    <t>Sehne M. flexor digitorum 3 rechts</t>
  </si>
  <si>
    <t>Sehne M. flexor digitorum 5 rechts</t>
  </si>
  <si>
    <t>Sehne Fuß M. flexor digitorum links</t>
  </si>
  <si>
    <t>Zehengrundgelenk li</t>
  </si>
  <si>
    <t>Osteophyt LWK 5</t>
  </si>
  <si>
    <t>Bodenplatte LWK 3</t>
  </si>
  <si>
    <t>Bodenplatte LWK 4</t>
  </si>
  <si>
    <t>Deckplatte LWK 5</t>
  </si>
  <si>
    <t xml:space="preserve">LWK 4/LWK 5 </t>
  </si>
  <si>
    <t>FG LWK5/SWK 1 li</t>
  </si>
  <si>
    <t>FG HWK 4 li</t>
  </si>
  <si>
    <t>Ellenbogen rechts</t>
  </si>
  <si>
    <t>Costovertebralgelenk BWK 10 li</t>
  </si>
  <si>
    <t>Subtalargelenk li</t>
  </si>
  <si>
    <t>Art. Tibiofibularis li</t>
  </si>
  <si>
    <t>Großzehenendgelenk re</t>
  </si>
  <si>
    <t>links patellär</t>
  </si>
  <si>
    <t>4. Zehe re</t>
  </si>
  <si>
    <t>Deg. Li patellär weg</t>
  </si>
  <si>
    <t xml:space="preserve">Behne, Maik </t>
  </si>
  <si>
    <t>HW4 li FG</t>
  </si>
  <si>
    <t>rechts patellär</t>
  </si>
  <si>
    <t>rechts patellär bleibt</t>
  </si>
  <si>
    <t>Catalkaya-Ahmet</t>
  </si>
  <si>
    <t xml:space="preserve">Osteochondrose HWK 4/HWK 5 </t>
  </si>
  <si>
    <t>Osteochondrose BWK 3/BWK 4</t>
  </si>
  <si>
    <t xml:space="preserve">FG LWK 5 li </t>
  </si>
  <si>
    <t>Proc. Spinosus BWk 7</t>
  </si>
  <si>
    <t>Knie links</t>
  </si>
  <si>
    <t>Knie rechts</t>
  </si>
  <si>
    <t>Daumensattelgelenk li</t>
  </si>
  <si>
    <t>Extensorensehne D 4 re</t>
  </si>
  <si>
    <t>MCP 4 re</t>
  </si>
  <si>
    <t>MCP 5 re</t>
  </si>
  <si>
    <t>Flexorensehne D 4 links</t>
  </si>
  <si>
    <t>Flexorensehnen links carpal</t>
  </si>
  <si>
    <t>Proc. Spinosus BWK 7</t>
  </si>
  <si>
    <t>Interspinal LWK 2/3</t>
  </si>
  <si>
    <t>Osteophyt BWk 10/BWk 11</t>
  </si>
  <si>
    <t>LWK 3/4 links</t>
  </si>
  <si>
    <t>LWK 4/5 re</t>
  </si>
  <si>
    <t>Osteochondrose LWK 4</t>
  </si>
  <si>
    <t>Proc. Transversus LWK 5 li</t>
  </si>
  <si>
    <t>Streit, Judith</t>
  </si>
  <si>
    <t>Sehne M. flexor hallucis longus und M. flexor digitorum longus re</t>
  </si>
  <si>
    <t>MTP 1-3 links</t>
  </si>
  <si>
    <t>Gotfrid,Grigori</t>
  </si>
  <si>
    <t>Tschiersch, Manfred</t>
  </si>
  <si>
    <t>Flexorensehne DIG II/III rechts</t>
  </si>
  <si>
    <t>Flexorensehne DIG II/III links</t>
  </si>
  <si>
    <t>Fröhling, Steffen</t>
  </si>
  <si>
    <t>FG HWK 7 li</t>
  </si>
  <si>
    <t>Flexorensehne MCP 2 li</t>
  </si>
  <si>
    <t>Großzehengrundgelenk re</t>
  </si>
  <si>
    <t>Reinwand, Wendelin</t>
  </si>
  <si>
    <t>Basis MTP 4 re</t>
  </si>
  <si>
    <t>Krishan, Ranjna</t>
  </si>
  <si>
    <t>Rosar, Ricarda</t>
  </si>
  <si>
    <t>RA/Lungenfibrose</t>
  </si>
  <si>
    <t>Kahl, Gustav</t>
  </si>
  <si>
    <t>Ashani Pukaj, Mirjeta</t>
  </si>
  <si>
    <t>Bertoldo, Robert</t>
  </si>
  <si>
    <t>Danzer, Karl</t>
  </si>
  <si>
    <t>Morbus Bechterew</t>
  </si>
  <si>
    <t>Kettembeil, Kimberly</t>
  </si>
  <si>
    <t>Neuroendokriner Tumor Dünndarm</t>
  </si>
  <si>
    <t>Resinger, Karl-Heinz</t>
  </si>
  <si>
    <t>IgG-4 Syndrom</t>
  </si>
  <si>
    <t>Schürrlein, Gerhard</t>
  </si>
  <si>
    <t>Lichteneber, Erika</t>
  </si>
  <si>
    <t>Ringl, Hans-Jürgen</t>
  </si>
  <si>
    <t>Lohrmann, Karin</t>
  </si>
  <si>
    <t>Weller, Paul</t>
  </si>
  <si>
    <t>Maurer, Angelika</t>
  </si>
  <si>
    <t>Steinhäußer, Mathias</t>
  </si>
  <si>
    <t>Krebs, Daniel</t>
  </si>
  <si>
    <t>Morbus Crohn</t>
  </si>
  <si>
    <t>Schaub, Patrick</t>
  </si>
  <si>
    <t>Tachos, Vasileios</t>
  </si>
  <si>
    <t>Zickermann, Harald</t>
  </si>
  <si>
    <t>Kießewetter, Fred</t>
  </si>
  <si>
    <t>Lorenz, Georg</t>
  </si>
  <si>
    <t>Schade, Robert</t>
  </si>
  <si>
    <t>Kaiser, Ingrid</t>
  </si>
  <si>
    <t>Stief, Christa</t>
  </si>
  <si>
    <t>Gotfrid, Grigori</t>
  </si>
  <si>
    <t>Bauer, Silke</t>
  </si>
  <si>
    <t>Tischner, Peter</t>
  </si>
  <si>
    <t>Barth-Völkner, Marion</t>
  </si>
  <si>
    <t>Mergner, Matthias</t>
  </si>
  <si>
    <t>König, Petra</t>
  </si>
  <si>
    <t>Schubart, Madlen</t>
  </si>
  <si>
    <t>Kirrbach, Petra</t>
  </si>
  <si>
    <t>Schubert, Sandra</t>
  </si>
  <si>
    <t>Krahl, Nicola</t>
  </si>
  <si>
    <t>Tumorsuche bei Rachitis</t>
  </si>
  <si>
    <t>Pfaffenberger, Maria</t>
  </si>
  <si>
    <t>Wachinger, Claudia</t>
  </si>
  <si>
    <t>Kapp, Carolin</t>
  </si>
  <si>
    <t>Satzinger, Ingrid</t>
  </si>
  <si>
    <t>Körner, Thorbea</t>
  </si>
  <si>
    <t>Grimm, Laila</t>
  </si>
  <si>
    <t>Kole, Elona</t>
  </si>
  <si>
    <t>Thein, Birgid</t>
  </si>
  <si>
    <t>Roithmeier-Schreurs, Wouter</t>
  </si>
  <si>
    <t>Stöcklein, Tanja</t>
  </si>
  <si>
    <t>Glaschke, Elke</t>
  </si>
  <si>
    <t>Schmotzer, Marion Vera</t>
  </si>
  <si>
    <t>Ankylosierende Spondylitis</t>
  </si>
  <si>
    <t>Toltz, Alexander</t>
  </si>
  <si>
    <t>Kania, Michaela</t>
  </si>
  <si>
    <t>Eckstein, Ina</t>
  </si>
  <si>
    <t>Reubekeul, Axel</t>
  </si>
  <si>
    <t>Polster, Inge</t>
  </si>
  <si>
    <t>Schreiber, Werner</t>
  </si>
  <si>
    <t>SpA (Morbus Crohn)</t>
  </si>
  <si>
    <t>Bácskai-Katona, Adrienne</t>
  </si>
  <si>
    <t>Sossna, Kathrin</t>
  </si>
  <si>
    <t>Kastner, Ingo</t>
  </si>
  <si>
    <t>Thun, Wolfgang</t>
  </si>
  <si>
    <t>Ortmann, Eva-Maria</t>
  </si>
  <si>
    <t>Andreica, Harald</t>
  </si>
  <si>
    <t>Geist, Thomas</t>
  </si>
  <si>
    <t>Eichinger, Volker</t>
  </si>
  <si>
    <t>Söllner, Hermann</t>
  </si>
  <si>
    <t>Seidl, Sascha</t>
  </si>
  <si>
    <t>Novosel, Yvonne</t>
  </si>
  <si>
    <t>Biehler, Christa</t>
  </si>
  <si>
    <t>Schuster, Richard</t>
  </si>
  <si>
    <t>Hofmann, Michaela</t>
  </si>
  <si>
    <t>Meier, Angelica</t>
  </si>
  <si>
    <t>Gmöhling, Doris</t>
  </si>
  <si>
    <t>Arold, Patrick</t>
  </si>
  <si>
    <t>V.a. Ankylosierende Spondylitis</t>
  </si>
  <si>
    <t>Buchinger, Christoph</t>
  </si>
  <si>
    <t>Galler, Claudia</t>
  </si>
  <si>
    <t>Klement, Hans-J.</t>
  </si>
  <si>
    <t>V.a. myxoinflammatorisches fibroblastisches Sarkom der rechten Hand</t>
  </si>
  <si>
    <t>Steiner, Petra</t>
  </si>
  <si>
    <t>Reiter, Helmut</t>
  </si>
  <si>
    <t>Kittel, Karsten</t>
  </si>
  <si>
    <t>Rössle, Stefan</t>
  </si>
  <si>
    <t>Gorschboth, Claudia</t>
  </si>
  <si>
    <t>Schwarz, Gabriele</t>
  </si>
  <si>
    <t>Floricel, Edmond-Adrian</t>
  </si>
  <si>
    <t>Ellinger, Luise</t>
  </si>
  <si>
    <t>Grosser, Manfred</t>
  </si>
  <si>
    <t>Pabst, Rudolf</t>
  </si>
  <si>
    <t>Eckstein, Thomya</t>
  </si>
  <si>
    <t>Rosamilia, Adele</t>
  </si>
  <si>
    <t>IgG-4/Riedel Struma</t>
  </si>
  <si>
    <t>Sell, Dieter</t>
  </si>
  <si>
    <t>09.03.2020 Spondylarthropathie</t>
  </si>
  <si>
    <t>Lungenfibrose</t>
  </si>
  <si>
    <t>Ebert, Inge</t>
  </si>
  <si>
    <t>Rückert, Hans</t>
  </si>
  <si>
    <t>Keine suspekte Anreicherung in beiden Aufnahmen</t>
  </si>
  <si>
    <t>Minimale Restspeicherung DRUG bds.</t>
  </si>
  <si>
    <t>Buhl, Hiltrud</t>
  </si>
  <si>
    <t>Wagenleitner, Ludmila</t>
  </si>
  <si>
    <t>Granulomatose mit Polyangitis</t>
  </si>
  <si>
    <t>Galewska, Anna</t>
  </si>
  <si>
    <t>Kreibich, Elena-Maria</t>
  </si>
  <si>
    <t>Konstante Facettengelenksarthrose LWK5/SWK 1 links</t>
  </si>
  <si>
    <t>IgG4-Syndrom</t>
  </si>
  <si>
    <t>Frommberger, Volker</t>
  </si>
  <si>
    <t>Dermatomyositis</t>
  </si>
  <si>
    <t>Gelbal, Filiz</t>
  </si>
  <si>
    <t>Knochenspange Vgl. Behne</t>
  </si>
  <si>
    <t>Neuroendokrines Harnblasenkarzinom</t>
  </si>
  <si>
    <t>Libesch, Wolfgang</t>
  </si>
  <si>
    <t>Burgermeister, Franz</t>
  </si>
  <si>
    <t>Proc. Interspinosum LWK neu</t>
  </si>
  <si>
    <t>NTR Kniegelenk</t>
  </si>
  <si>
    <t>ISG ggf. MRT</t>
  </si>
  <si>
    <t>Totalremission</t>
  </si>
  <si>
    <t>Erosion Proc. Spinosus LWK 4</t>
  </si>
  <si>
    <t>Lorey, Peter</t>
  </si>
  <si>
    <t>Ergebnis</t>
  </si>
  <si>
    <t>Hollweck, Frank</t>
  </si>
  <si>
    <t>Daurer, Dennis</t>
  </si>
  <si>
    <t>V.a. Bechterew</t>
  </si>
  <si>
    <t>Grebner, Ralf-Heinreich</t>
  </si>
  <si>
    <t>May, Claudia</t>
  </si>
  <si>
    <t>Hamper, Susanne</t>
  </si>
  <si>
    <t>Kraft, Gregor</t>
  </si>
  <si>
    <t>Rentz, Roland</t>
  </si>
  <si>
    <t>Imblo, Gerhard</t>
  </si>
  <si>
    <t>Ardito, Gabriele</t>
  </si>
  <si>
    <t>Tiedemann, Jörg</t>
  </si>
  <si>
    <t>Muaremi, Mirjeta</t>
  </si>
  <si>
    <t>Ac-Gelenk re</t>
  </si>
  <si>
    <t>Sehne Trochanter major links</t>
  </si>
  <si>
    <t>Art. Talonaviculare re</t>
  </si>
  <si>
    <t>Art. Cuneonaviculare li</t>
  </si>
  <si>
    <t>Art. Costotransversale 3 links</t>
  </si>
  <si>
    <t>Art. Costotransversale 10 links</t>
  </si>
  <si>
    <t>Art. Costotransversale 11 links</t>
  </si>
  <si>
    <t>Sehne M. tibialis ant.</t>
  </si>
  <si>
    <t>Sehne m. flexor digitorum 2 rechts</t>
  </si>
  <si>
    <t>Ellenbogengelenk re</t>
  </si>
  <si>
    <t>Proc. Spinosus LWK1/LWK 2</t>
  </si>
  <si>
    <t>Proc. Spinosus LWK2/LWK 3</t>
  </si>
  <si>
    <t>Proc. Spinosus LWK3/LWK 4</t>
  </si>
  <si>
    <t>Proc. Spinosus LWK4/LWK 5</t>
  </si>
  <si>
    <t>FG HWK 5/HWK 6 links</t>
  </si>
  <si>
    <t>FG LWK4/LWK 5 li</t>
  </si>
  <si>
    <t>FG LWK4/LWK 5 re</t>
  </si>
  <si>
    <t>Plantaraponeurose li</t>
  </si>
  <si>
    <t>M. Crohn</t>
  </si>
  <si>
    <t>Lateraler Humerus re</t>
  </si>
  <si>
    <t>Proc. Spinosus HWK 7/HWK 8</t>
  </si>
  <si>
    <t>Proc. Spinosus BWK1/BWK 2</t>
  </si>
  <si>
    <t>Os cuboideum re</t>
  </si>
  <si>
    <t>Sterzer, Denis</t>
  </si>
  <si>
    <t>Manubrium sterni</t>
  </si>
  <si>
    <t>Costotransversalgelenk BWK 12 li</t>
  </si>
  <si>
    <t>Therapiemedikament</t>
  </si>
  <si>
    <t>Stenger, Julian</t>
  </si>
  <si>
    <t>Jordan, Ingrid</t>
  </si>
  <si>
    <t>Vaskulitis</t>
  </si>
  <si>
    <t>Perlwitz, Karoline</t>
  </si>
  <si>
    <t>Vaskulitis/SpA</t>
  </si>
  <si>
    <t>Hümmer, Silvia</t>
  </si>
  <si>
    <t>HWK 3/4 rechts</t>
  </si>
  <si>
    <t>Metatarsophalangealgelenke D2/D3 re</t>
  </si>
  <si>
    <t>Metatarsophalangealgelenke D2/D3 links</t>
  </si>
  <si>
    <t>Sprungglenk li</t>
  </si>
  <si>
    <t>PIP III re.</t>
  </si>
  <si>
    <t>Höhn, Thomas</t>
  </si>
  <si>
    <t>Fassbender, Wolfgang</t>
  </si>
  <si>
    <t>Rohm, Daniela</t>
  </si>
  <si>
    <t>Lavicka, Petr</t>
  </si>
  <si>
    <t>Kaulen, Gabriele</t>
  </si>
  <si>
    <t>Beusch, Stefan</t>
  </si>
  <si>
    <t>Braunmiller, Silke</t>
  </si>
  <si>
    <t>FG LWK 3/LWK 4 re</t>
  </si>
  <si>
    <t>Tractus iliotibialis li</t>
  </si>
  <si>
    <t>Sehne Muskulatur Knie li</t>
  </si>
  <si>
    <t>MTP III li</t>
  </si>
  <si>
    <t>Dig II re</t>
  </si>
  <si>
    <t>FG LWK 3/4 li</t>
  </si>
  <si>
    <t>HWK 3</t>
  </si>
  <si>
    <t>HWK 4</t>
  </si>
  <si>
    <t>ISG-Fuge rechts</t>
  </si>
  <si>
    <t>Os ilium li</t>
  </si>
  <si>
    <t>Os ilium re</t>
  </si>
  <si>
    <t xml:space="preserve">Os ilium re </t>
  </si>
  <si>
    <t>Tractus iliotibialis re</t>
  </si>
  <si>
    <t>FG LWK 3/LWK 4 li</t>
  </si>
  <si>
    <t>Aksungur, Ozan</t>
  </si>
  <si>
    <t>Costotransversalgelenk BWK 5</t>
  </si>
  <si>
    <t>Costotransversalgelenk BWK 7 li</t>
  </si>
  <si>
    <t>Costotransversalgelenk BWK 7 re</t>
  </si>
  <si>
    <t>Costotransversalgelenk BWK 12 re</t>
  </si>
  <si>
    <t>ISG-Fuge li</t>
  </si>
  <si>
    <t>ISG-Fuge re</t>
  </si>
  <si>
    <t>Feidner, Alexander</t>
  </si>
  <si>
    <t>Bräunig, Sabine</t>
  </si>
  <si>
    <t>Leitner, Carola</t>
  </si>
  <si>
    <t>Röll, Helmut</t>
  </si>
  <si>
    <t>PSC/SpA</t>
  </si>
  <si>
    <t>Selzer, Christian</t>
  </si>
  <si>
    <t>Grelka, Anita</t>
  </si>
  <si>
    <t>Bochtler, Jürgen</t>
  </si>
  <si>
    <t>Reul, Heidemarie</t>
  </si>
  <si>
    <t>FG LWK 4/LWK 5 li</t>
  </si>
  <si>
    <t>USG links</t>
  </si>
  <si>
    <t>Art. Talocalcanearis</t>
  </si>
  <si>
    <t>MTP 5 links</t>
  </si>
  <si>
    <t>Carpalgelenke links</t>
  </si>
  <si>
    <t>MTP II li</t>
  </si>
  <si>
    <t>Carpalgelenke rechts</t>
  </si>
  <si>
    <t>FG LWK4 /LWK 5 li</t>
  </si>
  <si>
    <t>Löw, Katja</t>
  </si>
  <si>
    <t>MRT 0=nein 1= ja</t>
  </si>
  <si>
    <t>Region 1=Hand, 2= Fuß, 3= Wirbelsäule</t>
  </si>
  <si>
    <t>1,2,3</t>
  </si>
  <si>
    <t>Datum</t>
  </si>
  <si>
    <t>1,3,4</t>
  </si>
  <si>
    <t>3,4,5</t>
  </si>
  <si>
    <t>Rössle,Stefan</t>
  </si>
  <si>
    <t>Region 1=Hand, 2= Fuß, 3= Wirbelsäule, 4= Schulter, 5= Knie, 6= Ellenbogen</t>
  </si>
  <si>
    <t>27.01.20201</t>
  </si>
  <si>
    <t>Tröger, Frank</t>
  </si>
  <si>
    <t>Lang, Andrea</t>
  </si>
  <si>
    <t>Kastl, Josefa</t>
  </si>
  <si>
    <t>Wijaya, Ratna</t>
  </si>
  <si>
    <t>Klemm, Martina</t>
  </si>
  <si>
    <t>Schwamm, Elvira</t>
  </si>
  <si>
    <t>Rieger, Kurt</t>
  </si>
  <si>
    <t>Kut, Wieslawa</t>
  </si>
  <si>
    <t>Geser, Elfriede</t>
  </si>
  <si>
    <t>Weidel, Norbert</t>
  </si>
  <si>
    <t>Rackl, Christine</t>
  </si>
  <si>
    <t>Engelhardt, Elfriede</t>
  </si>
  <si>
    <t>Kramer, Guido</t>
  </si>
  <si>
    <t>Weaver, Christopher</t>
  </si>
  <si>
    <t>Frauenknecht, Fabienne</t>
  </si>
  <si>
    <t>Melzer, Kathrin</t>
  </si>
  <si>
    <t>Röber, Christoph</t>
  </si>
  <si>
    <t>Vakulitis</t>
  </si>
  <si>
    <t>Eidmüller, Chanell</t>
  </si>
  <si>
    <t>Autoimmunsyndrom</t>
  </si>
  <si>
    <t>Schuster, Doris</t>
  </si>
  <si>
    <t>Graf, Anneliese</t>
  </si>
  <si>
    <t>Rauch, Kathrin</t>
  </si>
  <si>
    <t>Fenselau, Anke</t>
  </si>
  <si>
    <t>Eisenhöfer, Silke</t>
  </si>
  <si>
    <t>Güntzel, Anja</t>
  </si>
  <si>
    <t>Puttke, Antje</t>
  </si>
  <si>
    <t>Schinwald, Christoph</t>
  </si>
  <si>
    <t>Leicht, Helmut</t>
  </si>
  <si>
    <t>Anti-Synthetase Syndrom</t>
  </si>
  <si>
    <t>Palaczynski, Ireneusz</t>
  </si>
  <si>
    <t>Mühlfelder, Melanie</t>
  </si>
  <si>
    <t>Malekas, Panagiotis</t>
  </si>
  <si>
    <t>Bauer, Andrea</t>
  </si>
  <si>
    <t>Romanelli, Beniamo</t>
  </si>
  <si>
    <t>Harnisch, Elke</t>
  </si>
  <si>
    <t>Senger, Brigitte</t>
  </si>
  <si>
    <t>Möller, Mario</t>
  </si>
  <si>
    <t>Heid, Christine</t>
  </si>
  <si>
    <t>Link, Ulrike</t>
  </si>
  <si>
    <t>Antisynthetase (Lungenfibrose)</t>
  </si>
  <si>
    <t>Krieger, Angela</t>
  </si>
  <si>
    <t>Lehmeyer, Matthias</t>
  </si>
  <si>
    <t>Rollinger, Kerstin</t>
  </si>
  <si>
    <t>Pfuff, Thomas</t>
  </si>
  <si>
    <t>Langgut, Katrin</t>
  </si>
  <si>
    <t>Beer, Hans-Georg</t>
  </si>
  <si>
    <t>Systemischer Lupus erythematodes V.a. ILD</t>
  </si>
  <si>
    <t>Neumüller, Elke</t>
  </si>
  <si>
    <t>Rheumatoide Arthritis mit V.a. ILD</t>
  </si>
  <si>
    <t>Thumshirn, Maria</t>
  </si>
  <si>
    <t xml:space="preserve">Lungenfibrose </t>
  </si>
  <si>
    <t>18F-FAPI</t>
  </si>
  <si>
    <t>Lehmann, Max</t>
  </si>
  <si>
    <t>Rossmeisl, Christian</t>
  </si>
  <si>
    <t>Hitz, Marianne</t>
  </si>
  <si>
    <t>Eberlein, Olaf</t>
  </si>
  <si>
    <t>Lungenfibrose/Bronchialkarzinom</t>
  </si>
  <si>
    <t>Baltatzidis, Konstantinos</t>
  </si>
  <si>
    <t>Morbus Ormond</t>
  </si>
  <si>
    <t>Schwab, Klaus</t>
  </si>
  <si>
    <t>Bergmann, Helga Ilse</t>
  </si>
  <si>
    <t>Sieber, Vera</t>
  </si>
  <si>
    <t>Datum 3. FAPI PET/CT</t>
  </si>
  <si>
    <t>Kohl, Ulrike</t>
  </si>
  <si>
    <t>Franke-Polz, Stefan</t>
  </si>
  <si>
    <t>Barnard, Christiaan Jacobus</t>
  </si>
  <si>
    <t>Fink, Heike</t>
  </si>
  <si>
    <t>Kiefergelenksankylose</t>
  </si>
  <si>
    <t>Raum, Michael</t>
  </si>
  <si>
    <t>Koca, Beatrice</t>
  </si>
  <si>
    <t>Römer, Carmen</t>
  </si>
  <si>
    <t>Imhof, Stefanie</t>
  </si>
  <si>
    <t>Ströbel, Stefan</t>
  </si>
  <si>
    <t>Heidingsfelder, Jürgen</t>
  </si>
  <si>
    <t>Schiewe, Harry</t>
  </si>
  <si>
    <t>Pezerovic, Armina</t>
  </si>
  <si>
    <t>Serby, Anneliese</t>
  </si>
  <si>
    <t>Storch, Ralph</t>
  </si>
  <si>
    <t>Emmerich, Rudolf</t>
  </si>
  <si>
    <t>Kainz, Karl</t>
  </si>
  <si>
    <t>Myopathie (Statin vermittelt)</t>
  </si>
  <si>
    <t>Muric, Ramona</t>
  </si>
  <si>
    <t>Grof, Sascha</t>
  </si>
  <si>
    <t>Myositis</t>
  </si>
  <si>
    <t>Miletic, Maja</t>
  </si>
  <si>
    <t>Sprotte, Dietmar</t>
  </si>
  <si>
    <t>Schoeps, Andrea</t>
  </si>
  <si>
    <t>Probst, Bernhard</t>
  </si>
  <si>
    <t>Scheibner, Dirk</t>
  </si>
  <si>
    <t>Seitz, Helmut</t>
  </si>
  <si>
    <t>Metzler, Walter</t>
  </si>
  <si>
    <t>Koppenstein, Cindy</t>
  </si>
  <si>
    <t>Morgott, Ulrike</t>
  </si>
  <si>
    <t>Götz, Georg</t>
  </si>
  <si>
    <t>Blencke, Christine</t>
  </si>
  <si>
    <t>John, Hartmut</t>
  </si>
  <si>
    <t>Friedrichs, Paulina</t>
  </si>
  <si>
    <t>Atlantoaxialgelenk</t>
  </si>
  <si>
    <t>Facettengelenk HWK 2/3 rechts</t>
  </si>
  <si>
    <t>Facettengelenk HWK 2/3 links</t>
  </si>
  <si>
    <t>Facettengelenk LWK 4/5 rechts</t>
  </si>
  <si>
    <t xml:space="preserve">Tractus iliotibialis links </t>
  </si>
  <si>
    <t>rechtes Kniegelenk</t>
  </si>
  <si>
    <t>rechtes Schultergelenk</t>
  </si>
  <si>
    <t>Carpus rechts</t>
  </si>
  <si>
    <t>Sehnenscheide Dig 2 rechts</t>
  </si>
  <si>
    <t>Carpus links</t>
  </si>
  <si>
    <t>DIP Daumen links</t>
  </si>
  <si>
    <t>MCP Dig 4 links</t>
  </si>
  <si>
    <t>MCP Dig 5 links</t>
  </si>
  <si>
    <t>Atlantoaxiales Gelenk</t>
  </si>
  <si>
    <t xml:space="preserve">rechtes Kniegelenk </t>
  </si>
  <si>
    <t>Schulter rechts, Ansatz Deltoideus</t>
  </si>
  <si>
    <t>8. Rippe rechts, a.e. posttraumatisch</t>
  </si>
  <si>
    <t>Fibularismuskulatur links langstreckig OSG Bereich</t>
  </si>
  <si>
    <t xml:space="preserve">MTP Dig. 2 und 3 rechter Fuß </t>
  </si>
  <si>
    <t>DIP Dig 4 und 5 rechter Fuß</t>
  </si>
  <si>
    <t>DIP Dig 2 linker Fuß</t>
  </si>
  <si>
    <t>DIP Dig 3 linker Fuß</t>
  </si>
  <si>
    <t>Fibularismuskulatur rechts langstreckig OSG Bereich</t>
  </si>
  <si>
    <t>Extensorensehne Dig 5 rechte Hand</t>
  </si>
  <si>
    <t>Extensorensehne Dig 3 rechte Hand</t>
  </si>
  <si>
    <t>Radiocarpal rechte Hand a.e. Sehne</t>
  </si>
  <si>
    <t>Daumengrundgelenk linke Hand</t>
  </si>
  <si>
    <t>Extensorensehne linke Hand Dig 3</t>
  </si>
  <si>
    <t>DIP Dig 4 linke Hand</t>
  </si>
  <si>
    <t>PIP Dig 2 linke Hand</t>
  </si>
  <si>
    <t>4. Rippe rechts, a.e posttraumatisch</t>
  </si>
  <si>
    <t>Ansatzsehne der Fibularismuskulatur 3. Zeh rechts</t>
  </si>
  <si>
    <t>Ansatzsehne der Fibularismuskulatur 3. Zeh links</t>
  </si>
  <si>
    <t>PIP Dig 3 rechte Hand</t>
  </si>
  <si>
    <t>Lohmann,Björn</t>
  </si>
  <si>
    <t>Pahic,Sebastian</t>
  </si>
  <si>
    <t>PsA</t>
  </si>
  <si>
    <t>Facettengelenk HWK 1/2 links</t>
  </si>
  <si>
    <t>Facettengelenk HWK 4/5 links</t>
  </si>
  <si>
    <t>Abgangsbereich 2. Rippe rechts</t>
  </si>
  <si>
    <t>Abgangsbereich 10.Rippe rechts</t>
  </si>
  <si>
    <t xml:space="preserve">Kniegelenk links </t>
  </si>
  <si>
    <t>Facettengelenk HWK 1/2 rechts</t>
  </si>
  <si>
    <t xml:space="preserve">Ellenbogen rechts </t>
  </si>
  <si>
    <t>Facettengelenk HWK1/2 links</t>
  </si>
  <si>
    <t xml:space="preserve">Facettengelenk HWK 3/4 links </t>
  </si>
  <si>
    <t>Streit,Judith</t>
  </si>
  <si>
    <t>MCP Dig 5 linke Hand</t>
  </si>
  <si>
    <t>DIP Dig 4 rechter Fuß</t>
  </si>
  <si>
    <t>DIP Dig 3 rechter Fuß</t>
  </si>
  <si>
    <t>Articulatio talonaviculare rechter Fuß</t>
  </si>
  <si>
    <t>Flexorensehen linker Fuß</t>
  </si>
  <si>
    <t>Ansatzsehen M.deltoideus links</t>
  </si>
  <si>
    <t xml:space="preserve">MTP Dig 4 linker Fuß </t>
  </si>
  <si>
    <t>Daumensattelgelenk linke Hand</t>
  </si>
  <si>
    <t>Reinwand,Wendelin</t>
  </si>
  <si>
    <t>Hüfte rechts</t>
  </si>
  <si>
    <t>Ansatzsehne Tractus iliotibialis</t>
  </si>
  <si>
    <t>OSG linker Fuß</t>
  </si>
  <si>
    <t>USG linker Fuß</t>
  </si>
  <si>
    <t>OSG rechter Fuß</t>
  </si>
  <si>
    <t xml:space="preserve">MTP Dig 4 rechter Fuß </t>
  </si>
  <si>
    <t xml:space="preserve">DIP Dig 1 rechter Fuß </t>
  </si>
  <si>
    <t>MCP Dig III links</t>
  </si>
  <si>
    <t>MCP Dig III rechts</t>
  </si>
  <si>
    <t>MCP Dig V rechts</t>
  </si>
  <si>
    <t>Ulnocarpal rechts</t>
  </si>
  <si>
    <t>Kreiner,Betty</t>
  </si>
  <si>
    <t>Igel,Gerda</t>
  </si>
  <si>
    <t>Undifferenzierte Kollagenose</t>
  </si>
  <si>
    <t>Wohlrab,Kerstin</t>
  </si>
  <si>
    <t>VEDOSS (Systemische Sklerose)</t>
  </si>
  <si>
    <t>Drescher,Isolde</t>
  </si>
  <si>
    <t xml:space="preserve">Systemische Sklerose </t>
  </si>
  <si>
    <t>Schuh,Christine</t>
  </si>
  <si>
    <t>Büttner,Johannes</t>
  </si>
  <si>
    <t>Leithäuser,Felix</t>
  </si>
  <si>
    <t>Takayasu Arteriitis</t>
  </si>
  <si>
    <t>Deniz,Sevilay</t>
  </si>
  <si>
    <t>Bomhard, Ulrike</t>
  </si>
  <si>
    <t>Wjaya,Ratna</t>
  </si>
  <si>
    <t>LWK 4/5</t>
  </si>
  <si>
    <t xml:space="preserve">Ansatzsehne ischiocrurale Muskulatur links </t>
  </si>
  <si>
    <t>Kniegelenk links bei Knie-TEP</t>
  </si>
  <si>
    <t xml:space="preserve">Knie links bei Knie TEP </t>
  </si>
  <si>
    <t>DIP Dig 5 linker Fuß</t>
  </si>
  <si>
    <t>MTP Dig 5 rechter Fuß</t>
  </si>
  <si>
    <t>PIP Dig 1 rechter Fuß</t>
  </si>
  <si>
    <t>MCP Dig 3 linke Hand</t>
  </si>
  <si>
    <t>DIP Dig 1 rechte Hand</t>
  </si>
  <si>
    <t>MCP Dig 3 rechte Hand</t>
  </si>
  <si>
    <t>Tiedemann,Jörg</t>
  </si>
  <si>
    <t>Lig. Interspinalia BWK 2/3</t>
  </si>
  <si>
    <t>Lig. Interspinalia HWK7/BWK1</t>
  </si>
  <si>
    <t>Plantarfaszie rechts</t>
  </si>
  <si>
    <t>Frauenknecht,Fabienne</t>
  </si>
  <si>
    <t>Knie Innengelenk links</t>
  </si>
  <si>
    <t xml:space="preserve">Art. Talonavikulare linker Fuß </t>
  </si>
  <si>
    <t>Sehne M.fibularis longus bis plantar linker Fuß Höhe OSG</t>
  </si>
  <si>
    <t>Sehne M.fibularis longus bis plantar linker Fuß Höhe Ansatz</t>
  </si>
  <si>
    <t xml:space="preserve">MCP Dig 1 linker Fuß </t>
  </si>
  <si>
    <t>PIP Dig 3 rechter Fuß</t>
  </si>
  <si>
    <t xml:space="preserve">PIP Dig 4 rechter Fuß </t>
  </si>
  <si>
    <t xml:space="preserve">Großzehengrundgelenk rechter Fuß </t>
  </si>
  <si>
    <t>Carpus rechte Hand</t>
  </si>
  <si>
    <t>PIP Dig 1 rechte Hand</t>
  </si>
  <si>
    <t>MCP Dig 2 rechte Hand</t>
  </si>
  <si>
    <t>Carpus linke Hand</t>
  </si>
  <si>
    <t xml:space="preserve">PIP Dig 1 linke Hand </t>
  </si>
  <si>
    <t>MCP Dig 2 linke Hand</t>
  </si>
  <si>
    <t xml:space="preserve">Daumengrundgelenk linke Hand </t>
  </si>
  <si>
    <t>Art. Calcaneocuboideale linker Fuß</t>
  </si>
  <si>
    <t xml:space="preserve">Fibularissehne linker Fuß </t>
  </si>
  <si>
    <t>Os metacarpale Dig 4 rechte Hand mit Plattenosteosynthese</t>
  </si>
  <si>
    <t>PIP Dig 1 linke Hand</t>
  </si>
  <si>
    <t>Beusch,Stefan</t>
  </si>
  <si>
    <t>Interspinal Proc. Spinosi HWK2/HWK3</t>
  </si>
  <si>
    <t>kranial am Os ilium links Nähe ISG Fuge</t>
  </si>
  <si>
    <t>kranial am Os ilium rechts</t>
  </si>
  <si>
    <t xml:space="preserve">Tractus iliotibialis rechts </t>
  </si>
  <si>
    <t xml:space="preserve">OSG links </t>
  </si>
  <si>
    <t>Kranial am Os ilium rechts</t>
  </si>
  <si>
    <t>Zwischen Os metatarsalia 4 und 5</t>
  </si>
  <si>
    <t>Rossmeisl,Christian</t>
  </si>
  <si>
    <t>Ansatzsehne M.subscapularis links</t>
  </si>
  <si>
    <t xml:space="preserve">Ansatzsehne M. triceps brachii rechts </t>
  </si>
  <si>
    <t>M.biceps femoris Caput breve links</t>
  </si>
  <si>
    <t>Ansatzsehne M.quadriceps femoris links</t>
  </si>
  <si>
    <t>Intraartikulär rechtes Knie</t>
  </si>
  <si>
    <t>kaudal der linken Patella</t>
  </si>
  <si>
    <t>DIP Dig 1 rechter Fuß</t>
  </si>
  <si>
    <t xml:space="preserve">OSG rechter Fuß </t>
  </si>
  <si>
    <t xml:space="preserve">Plantarfaszie rechter Fuß </t>
  </si>
  <si>
    <t>Plantarfaszie linker Fuß Ansatzsehne</t>
  </si>
  <si>
    <t>PIP Dig 4 rechte Hand</t>
  </si>
  <si>
    <t>PIP Dig 2 rechte Hand</t>
  </si>
  <si>
    <t>Intraartikulär rechtes Kniegelen</t>
  </si>
  <si>
    <t>Recessus suprapatellaris rechts</t>
  </si>
  <si>
    <t>kaudal rechtes Knie</t>
  </si>
  <si>
    <t>DIP Dig 1 linker Fuß</t>
  </si>
  <si>
    <t>PIP Dig 3 rechts</t>
  </si>
  <si>
    <t>Sehne Fibularis Muskulatur links Höhe OSG</t>
  </si>
  <si>
    <t xml:space="preserve">Ansatzsehne Plantarfaszie </t>
  </si>
  <si>
    <t>DIP Dig 2 rechte Hand</t>
  </si>
  <si>
    <t>Carpal ulnar rechte Hand</t>
  </si>
  <si>
    <t>Ansatzsehne M.deltoideus rechts</t>
  </si>
  <si>
    <t>Ansatzsehne M.deltoideus links</t>
  </si>
  <si>
    <t>Facettengelenk LWK 3/4 links</t>
  </si>
  <si>
    <t xml:space="preserve">Facettengelenk LWK 4/5 links </t>
  </si>
  <si>
    <t xml:space="preserve">Ansatzsehne ischiocrurale Muskulatur rechts </t>
  </si>
  <si>
    <t>Gelenk zwischen Os naviculare, Os cuneiforme mediale und Os cuneiforme intermedium</t>
  </si>
  <si>
    <t xml:space="preserve">Tarsometatarsalgelenk Digitus V linker Fuß </t>
  </si>
  <si>
    <t>Metatarsophalangealgelenke Dig II/III linker Fuß</t>
  </si>
  <si>
    <t xml:space="preserve">Tarsometatarsalgelenk Digitus 2 rechter Fuß </t>
  </si>
  <si>
    <t>MCP Dig 5 rechte Hand</t>
  </si>
  <si>
    <t>Tractus iliotibialis rechts</t>
  </si>
  <si>
    <t>9. Rippe rechts lateral, a.e. posttraumatisch</t>
  </si>
  <si>
    <t>MCP Dig 2 und 3 linker Fuß</t>
  </si>
  <si>
    <t>DIP Dig 2 links</t>
  </si>
  <si>
    <t>DIP Dig 2 rechts</t>
  </si>
  <si>
    <t>PIP Dig 4 rechts</t>
  </si>
  <si>
    <t>Metatarsal rechter Fuß artikulär</t>
  </si>
  <si>
    <t>Strecksehne Dig 5 rechts</t>
  </si>
  <si>
    <t>Ansatzsehne  an Dig 1 rechte Hand Nähe DIP</t>
  </si>
  <si>
    <t>Ansatzsehne Dig 1 linke Hand Nähe DIP</t>
  </si>
  <si>
    <t xml:space="preserve">MCP Dig 3 linke Hand </t>
  </si>
  <si>
    <t>Facettengelenk BKW1/2</t>
  </si>
  <si>
    <t xml:space="preserve">Intercostal 1. und 2. Rippe rechts </t>
  </si>
  <si>
    <t>Facettengelenk links LWK5/SWK1</t>
  </si>
  <si>
    <t>Articulatio calcaneocuboideale linker Fuß</t>
  </si>
  <si>
    <t xml:space="preserve">DIP Dig 2 linker Fuß </t>
  </si>
  <si>
    <t xml:space="preserve">MCP 2 und 3 rechter Fuß </t>
  </si>
  <si>
    <t>Daumensattelgelenk rechte Hand</t>
  </si>
  <si>
    <t>MCP 2 linke Hand</t>
  </si>
  <si>
    <t>MCP 3 linke Hand</t>
  </si>
  <si>
    <t>Raulf, Friedrich</t>
  </si>
  <si>
    <t>Brusius,Gisela</t>
  </si>
  <si>
    <t>Ahlf, Daniela</t>
  </si>
  <si>
    <t>Overlap Kollagenose</t>
  </si>
  <si>
    <t>Ristic,Kristo</t>
  </si>
  <si>
    <t>Strobel, Anette</t>
  </si>
  <si>
    <t>Heitkämper, Thomas</t>
  </si>
  <si>
    <t>Sarkoidose</t>
  </si>
  <si>
    <t>Lisican,Rene</t>
  </si>
  <si>
    <t>Scleroderma like syndrome</t>
  </si>
  <si>
    <t>Radukin,Sladjana</t>
  </si>
  <si>
    <t>Zach, Johann</t>
  </si>
  <si>
    <t>Damberger,Wilhelm</t>
  </si>
  <si>
    <t>Eosinophile Fasziitis</t>
  </si>
  <si>
    <t>Steg, Renata</t>
  </si>
  <si>
    <t>Lienert,German</t>
  </si>
  <si>
    <t>Dieckvoss,Claudia</t>
  </si>
  <si>
    <t>Herter,Rolf</t>
  </si>
  <si>
    <t>M.Bechterew</t>
  </si>
  <si>
    <t>Rzonsa,Harald</t>
  </si>
  <si>
    <t>Bär,Erika</t>
  </si>
  <si>
    <t>Sysemtische Sklerose</t>
  </si>
  <si>
    <t>Meischner,Edgar</t>
  </si>
  <si>
    <t>Englmeier,Bastian</t>
  </si>
  <si>
    <t>Hüser,Matthias</t>
  </si>
  <si>
    <t>Häckel,Martin</t>
  </si>
  <si>
    <t>Herholz,Brigitte</t>
  </si>
  <si>
    <t>Kleemann,Simon</t>
  </si>
  <si>
    <t>Hofmann,Volker</t>
  </si>
  <si>
    <t>Schenkenbach, Manuel</t>
  </si>
  <si>
    <t>Lassel, Adriana-Codruta</t>
  </si>
  <si>
    <t>Datum 4. FAPI PET/CT</t>
  </si>
  <si>
    <t>Dölfel,Erwin</t>
  </si>
  <si>
    <t>Horndasch,Michaela</t>
  </si>
  <si>
    <t>V.a. PsA</t>
  </si>
  <si>
    <t>Ansari,Assad</t>
  </si>
  <si>
    <t>Gildersleeve, Cathrin</t>
  </si>
  <si>
    <t>Meister,Petra</t>
  </si>
  <si>
    <t>Cetin,Hatice</t>
  </si>
  <si>
    <t>Volkamer, Erich</t>
  </si>
  <si>
    <t>Ignatiadis,Panagiotis</t>
  </si>
  <si>
    <t>Krieger,Olga</t>
  </si>
  <si>
    <t>Heidecker,Daniel</t>
  </si>
  <si>
    <t>Schad, Matthias</t>
  </si>
  <si>
    <t>Banik,Johanna</t>
  </si>
  <si>
    <t>Walter,Julia</t>
  </si>
  <si>
    <t>Rieger, Iris</t>
  </si>
  <si>
    <t>Grimm,Irmtraud</t>
  </si>
  <si>
    <t>Puff, Daniela</t>
  </si>
  <si>
    <t>Knopf, Claudia</t>
  </si>
  <si>
    <t>Obert,Mischa</t>
  </si>
  <si>
    <t>Zwanzger, Anja</t>
  </si>
  <si>
    <t>Prä-PSA</t>
  </si>
  <si>
    <t>Öztürk,Yilmaz</t>
  </si>
  <si>
    <t>Dynamische Messungen</t>
  </si>
  <si>
    <t>Mahrle,Thomas</t>
  </si>
  <si>
    <t>Pruy-Popp,Carolin</t>
  </si>
  <si>
    <t>Marktgraf, Miriam</t>
  </si>
  <si>
    <t xml:space="preserve">Navalon Olmos, Carolina </t>
  </si>
  <si>
    <t>Fritzsche,Doreen</t>
  </si>
  <si>
    <t>Cibura,Rajmund</t>
  </si>
  <si>
    <t xml:space="preserve">Reif,Daniela </t>
  </si>
  <si>
    <t>Zipfel,Bernd</t>
  </si>
  <si>
    <t>Herzfeld, Claudia</t>
  </si>
  <si>
    <t>Lunz,Gerlinde</t>
  </si>
  <si>
    <t>Gnanapiragasam,Edna</t>
  </si>
  <si>
    <t>Hoffmann, Markus</t>
  </si>
  <si>
    <t>Ort,Horst</t>
  </si>
  <si>
    <t>V.a.seronegative RA DD: periphere SpA</t>
  </si>
  <si>
    <t>Striefler,Peter</t>
  </si>
  <si>
    <t>NET G2 der Schilddrüse</t>
  </si>
  <si>
    <t>Märtl, Susanne</t>
  </si>
  <si>
    <t>Ullmann, Christine</t>
  </si>
  <si>
    <t>Antretter,Monika</t>
  </si>
  <si>
    <t>Wiesinger,Wolfgang</t>
  </si>
  <si>
    <t>Pancreas-NET G2</t>
  </si>
  <si>
    <t>Seitz, Rita</t>
  </si>
  <si>
    <t>RA mit pulmonaler Beteiligung</t>
  </si>
  <si>
    <t>Frisch,Andreas</t>
  </si>
  <si>
    <t>Peker,Fethi</t>
  </si>
  <si>
    <t>Canovic, Alma</t>
  </si>
  <si>
    <t>Kreuzer, Thomas</t>
  </si>
  <si>
    <t>CUP Syndrom iliacal und inguinal</t>
  </si>
  <si>
    <t>Raithel,Benjamin</t>
  </si>
  <si>
    <t>Valentini,Maurzio</t>
  </si>
  <si>
    <t>Kortemeyer-Witt, Nien-Tanh</t>
  </si>
  <si>
    <t>SSc</t>
  </si>
  <si>
    <t>Braun, Harald</t>
  </si>
  <si>
    <t>Rödig, Rosaria</t>
  </si>
  <si>
    <t>Lachowicz, Anna Sophia</t>
  </si>
  <si>
    <t>SSC</t>
  </si>
  <si>
    <t>Bernabei,Vanessa</t>
  </si>
  <si>
    <t>Feigt,Katja</t>
  </si>
  <si>
    <t>Alkabani, Mohammad</t>
  </si>
  <si>
    <t xml:space="preserve">Hecht Kathrin </t>
  </si>
  <si>
    <t>Weller,Günter</t>
  </si>
  <si>
    <t>Schätz, Hans-Jürgen</t>
  </si>
  <si>
    <t>Arnold-Schmidt,Christine</t>
  </si>
  <si>
    <t>Graßl-Rößler, Daniela</t>
  </si>
  <si>
    <t>Schorn,Gottfried</t>
  </si>
  <si>
    <t>Bauer, Katrin</t>
  </si>
  <si>
    <t>Zehnter,Petra</t>
  </si>
  <si>
    <t>Reichel,Harald</t>
  </si>
  <si>
    <t>Wilhelm,Michael</t>
  </si>
  <si>
    <t>Seronegative RA</t>
  </si>
  <si>
    <t>Simotas,Ioannis</t>
  </si>
  <si>
    <t>Heubeck, Sabine</t>
  </si>
  <si>
    <t>Arthrose</t>
  </si>
  <si>
    <t>Brechner, Melanie</t>
  </si>
  <si>
    <t>Morner, Jürgen</t>
  </si>
  <si>
    <t>Ustinow, Oleg</t>
  </si>
  <si>
    <t>Temschenko,Ella</t>
  </si>
  <si>
    <t>Reichel,Claudia</t>
  </si>
  <si>
    <t>Hogan, Niall</t>
  </si>
  <si>
    <t>Hughes,Michael</t>
  </si>
  <si>
    <t>Dowling,Tracey</t>
  </si>
  <si>
    <t>McAuley,Mark</t>
  </si>
  <si>
    <t>Sichart,Güner</t>
  </si>
  <si>
    <t>Klasmann,Stefan</t>
  </si>
  <si>
    <t>Gelhaar,Peter</t>
  </si>
  <si>
    <t>Grabosch,Gernot</t>
  </si>
  <si>
    <t>Breha,Mariana</t>
  </si>
  <si>
    <t xml:space="preserve">SSc </t>
  </si>
  <si>
    <t>Bleyl,Eveline</t>
  </si>
  <si>
    <t>Hübner, Claudia</t>
  </si>
  <si>
    <t>Korn, Alexander</t>
  </si>
  <si>
    <t>Held, Heike</t>
  </si>
  <si>
    <t>Gugel,Klaus</t>
  </si>
  <si>
    <t>PsA; Hautläsionen</t>
  </si>
  <si>
    <t>Rudowitz, Patrick</t>
  </si>
  <si>
    <t>Keim,Noelia</t>
  </si>
  <si>
    <t>Merz,Ruth</t>
  </si>
  <si>
    <t>SpA/V.a. PsA</t>
  </si>
  <si>
    <t>Schemm,Hannah</t>
  </si>
  <si>
    <t>unklare Autoimmunerkrankung</t>
  </si>
  <si>
    <t>Schatt,Stefanie</t>
  </si>
  <si>
    <t>Zenk,Manfred</t>
  </si>
  <si>
    <t>Sehr gutes Therapieansprechen!</t>
  </si>
  <si>
    <t>Petrzik, Kerstin</t>
  </si>
  <si>
    <t>RA und Mukoviszidose</t>
  </si>
  <si>
    <t>Weber, Jürgen</t>
  </si>
  <si>
    <t>Moi,Karina</t>
  </si>
  <si>
    <t>COVID 19</t>
  </si>
  <si>
    <t>Abdrakov,Gulnara</t>
  </si>
  <si>
    <t>Mukoviszidose</t>
  </si>
  <si>
    <t>Dietrich,Monika</t>
  </si>
  <si>
    <t>Taran,Maria</t>
  </si>
  <si>
    <t>Schwarz,Sabine</t>
  </si>
  <si>
    <t>Wölfel,Sonja</t>
  </si>
  <si>
    <t>Fischer,Ludmilla</t>
  </si>
  <si>
    <t>Rötzer,Sabine</t>
  </si>
  <si>
    <t>Isenberg,Catherine Jill</t>
  </si>
  <si>
    <t>Wiechert,Jana</t>
  </si>
  <si>
    <t>Gensler,Katrin</t>
  </si>
  <si>
    <t>RA/periphere SpA</t>
  </si>
  <si>
    <t>Raspudic,Sonja</t>
  </si>
  <si>
    <t>Yarmolovskyi,ihor</t>
  </si>
  <si>
    <t>Schultz,Sven</t>
  </si>
  <si>
    <t>V.a. SpA</t>
  </si>
  <si>
    <t>Edle von Graeve, Sarah</t>
  </si>
  <si>
    <t>Oppelt, Erika</t>
  </si>
  <si>
    <t>Marunica, Emillija</t>
  </si>
  <si>
    <t>Myumyun, Renata</t>
  </si>
  <si>
    <t>Jaumann, Birgit</t>
  </si>
  <si>
    <t>NET Tumor SSTR neg</t>
  </si>
  <si>
    <t>Fink, Alla</t>
  </si>
  <si>
    <t>V.a.PsA</t>
  </si>
  <si>
    <t>Bauer, Thomas Richard</t>
  </si>
  <si>
    <t>Thäter,Norbert</t>
  </si>
  <si>
    <t>RA DD:PsA</t>
  </si>
  <si>
    <t>Stierhof,Veronika</t>
  </si>
  <si>
    <t>Grau,Max</t>
  </si>
  <si>
    <t>Winkelmeyr,Manfred</t>
  </si>
  <si>
    <t>Lengel,Frank</t>
  </si>
  <si>
    <t xml:space="preserve">Lange, Stefanie </t>
  </si>
  <si>
    <t>Grillenberger,Sascha</t>
  </si>
  <si>
    <t>Kermorvant,Jan</t>
  </si>
  <si>
    <t>Franz,Ludwig</t>
  </si>
  <si>
    <t>Ramming, Werner</t>
  </si>
  <si>
    <t>Degenerative Veränderungen</t>
  </si>
  <si>
    <t>Baydemir, Sara</t>
  </si>
  <si>
    <t>Röhmann,Michael</t>
  </si>
  <si>
    <t>Batz,Inna</t>
  </si>
  <si>
    <t>Rohrmayr,Cornelia</t>
  </si>
  <si>
    <t>Hochstein, Sabrina</t>
  </si>
  <si>
    <t>Datum 5. FAPI PET/CT</t>
  </si>
  <si>
    <t>Suss,Corinna</t>
  </si>
  <si>
    <t>Diffuse Sklerodermie</t>
  </si>
  <si>
    <t>Pawlik,Raymond</t>
  </si>
  <si>
    <t>Rektumkarzinom</t>
  </si>
  <si>
    <t>Meyer-Nagel,Claudia</t>
  </si>
  <si>
    <t>Strauß.Kerstin</t>
  </si>
  <si>
    <t>Zagrada, Dulina</t>
  </si>
  <si>
    <t>Multiple Enthesitiden, unklare rheumatische Erkrankung</t>
  </si>
  <si>
    <t>Wachsmuth, Andrea</t>
  </si>
  <si>
    <t>Beck, Ludwig</t>
  </si>
  <si>
    <t>Lungenerkrankung, COVID 19 Erkrankung</t>
  </si>
  <si>
    <t>Rauh,claudia</t>
  </si>
  <si>
    <t>RA, Multi Drug Resistance</t>
  </si>
  <si>
    <t>FAPI 46 ab 04.11.2022</t>
  </si>
  <si>
    <t>Kozmann, Nadine</t>
  </si>
  <si>
    <t>Monarthritis</t>
  </si>
  <si>
    <t>Beer, Angela</t>
  </si>
  <si>
    <t>Altenbach, Eva</t>
  </si>
  <si>
    <t>SAPHO Syndrom</t>
  </si>
  <si>
    <t>Wagner,Martin</t>
  </si>
  <si>
    <t>Mauder,Elfriede</t>
  </si>
  <si>
    <t>Bude-Klemmer, Judith</t>
  </si>
  <si>
    <t>Pomian, Angelika</t>
  </si>
  <si>
    <t>Ün, Hakan</t>
  </si>
  <si>
    <t>Kornagel, Kevin</t>
  </si>
  <si>
    <t>Osteosarkom</t>
  </si>
  <si>
    <t>Wägner, Frank</t>
  </si>
  <si>
    <t>Ghiga, Argentina</t>
  </si>
  <si>
    <t>SpA DD: seronegative RA</t>
  </si>
  <si>
    <t>Al, Ayhan</t>
  </si>
  <si>
    <t>Bährisch, Andreas Maximillian</t>
  </si>
  <si>
    <t>Ellegood, James</t>
  </si>
  <si>
    <t>Ollmann, Jörg</t>
  </si>
  <si>
    <t xml:space="preserve">Magenkarzinom </t>
  </si>
  <si>
    <t>Mohamad-Halbau, Hikmat</t>
  </si>
  <si>
    <t>Kollagenose undifferenziert</t>
  </si>
  <si>
    <t>Gomez-Weinert, Hazel</t>
  </si>
  <si>
    <t>Sjögren Syndrom</t>
  </si>
  <si>
    <t>Meier,Roland</t>
  </si>
  <si>
    <t>Alnader,Omar</t>
  </si>
  <si>
    <t>Stanik, Klaus</t>
  </si>
  <si>
    <t>Pancreas-Karzinom</t>
  </si>
  <si>
    <t>Frey, Herta Maria</t>
  </si>
  <si>
    <t>Link, Theodor</t>
  </si>
  <si>
    <t>ausgeprägt vor Ak Therapie</t>
  </si>
  <si>
    <t>Metzner,Claudia</t>
  </si>
  <si>
    <t>Prä-RA (JAKIBRA)</t>
  </si>
  <si>
    <t>Prä-RA Studie</t>
  </si>
  <si>
    <t>Hamdi,Aaliyah</t>
  </si>
  <si>
    <t>Nasopharynx-CA</t>
  </si>
  <si>
    <t>Vogel, Rainer</t>
  </si>
  <si>
    <t>Marusczyk, Jörg</t>
  </si>
  <si>
    <t>Prä-PsA</t>
  </si>
  <si>
    <t>Pergande, Sebastian</t>
  </si>
  <si>
    <t>Ilium-NET</t>
  </si>
  <si>
    <t>Bögelein, Mario</t>
  </si>
  <si>
    <t xml:space="preserve">Prä-RA </t>
  </si>
  <si>
    <t>Fiolka, Rainer</t>
  </si>
  <si>
    <t>Overlap RA und SpA</t>
  </si>
  <si>
    <t>Eisenmeier, Reinhard</t>
  </si>
  <si>
    <t>IgG4 Erkrankung</t>
  </si>
  <si>
    <t>FDG PET zum Vgl. vorliegend 06/2023</t>
  </si>
  <si>
    <t>Smith,Michael</t>
  </si>
  <si>
    <t>Vogel, Johanna</t>
  </si>
  <si>
    <t>Hand SpA/Pso</t>
  </si>
  <si>
    <t>Hand OA</t>
  </si>
  <si>
    <t>Lanzerath, Thomas</t>
  </si>
  <si>
    <t>PsO</t>
  </si>
  <si>
    <t>Psoriasis vulgaris</t>
  </si>
  <si>
    <t>Groß,Hanna</t>
  </si>
  <si>
    <t>Hofmann,Petra</t>
  </si>
  <si>
    <t>Loeffen,Lena</t>
  </si>
  <si>
    <t>Cystische Fibrose</t>
  </si>
  <si>
    <t>Böhm,Diethard</t>
  </si>
  <si>
    <t>Gute Übereinstimmung zur Hand MRT 13.12.2024</t>
  </si>
  <si>
    <t>Myokardiale Anreicherung</t>
  </si>
  <si>
    <t>Bücker,Martin</t>
  </si>
  <si>
    <t>Pancreas-NET</t>
  </si>
  <si>
    <t>Seifert,Sigrun</t>
  </si>
  <si>
    <t>Lenker, Martin</t>
  </si>
  <si>
    <t>Tercan,Muhammet</t>
  </si>
  <si>
    <t>Gutes Therapieansprechen!!!</t>
  </si>
  <si>
    <t>Kaderk,Martina</t>
  </si>
  <si>
    <t>Adulter M.Still</t>
  </si>
  <si>
    <t>Erlte,Christian</t>
  </si>
  <si>
    <t>F-18 FAPI</t>
  </si>
  <si>
    <t>Birner,Tanja</t>
  </si>
  <si>
    <t>Stein, Wolfgang</t>
  </si>
  <si>
    <t>Gicht</t>
  </si>
  <si>
    <t>F-18 FAPI, Dynamik!</t>
  </si>
  <si>
    <t>Schobert,Barbara</t>
  </si>
  <si>
    <t>NET G2</t>
  </si>
  <si>
    <t>Dotterweich, Renate</t>
  </si>
  <si>
    <t>Meier, Anton</t>
  </si>
  <si>
    <t>Dynamik &amp; Biopsie &amp; Serum</t>
  </si>
  <si>
    <t>Mehmedi,Valmire</t>
  </si>
  <si>
    <t>Muni, Guiseppe</t>
  </si>
  <si>
    <t>Baur, Lena</t>
  </si>
  <si>
    <t>Jarsetz,Ruth</t>
  </si>
  <si>
    <t>Detterbeck,Michael</t>
  </si>
  <si>
    <t>Gutes Therapieansprechen auf Abatacept seit 03/2024</t>
  </si>
  <si>
    <t>Ausgeprägter Befund, regredient im Verlauf</t>
  </si>
  <si>
    <t>Bruder,Sylvia</t>
  </si>
  <si>
    <t>Dütsch, Hilmar</t>
  </si>
  <si>
    <t>Drobnjak,Alexander</t>
  </si>
  <si>
    <t>unauffälliger Befund</t>
  </si>
  <si>
    <t xml:space="preserve">Astorino,Filomena </t>
  </si>
  <si>
    <t>Riedel Struma als Nebenbefund</t>
  </si>
  <si>
    <t>Behr,Marion</t>
  </si>
  <si>
    <t>geringe Krankheitsaktivität im FAPI PET</t>
  </si>
  <si>
    <t>Mahmoud, Fatima</t>
  </si>
  <si>
    <t>V.a. SSc</t>
  </si>
  <si>
    <t>Mohr,Winfried</t>
  </si>
  <si>
    <t>Wagner, Ingrid</t>
  </si>
  <si>
    <t>Wunsch,Marina</t>
  </si>
  <si>
    <t>Tuberöse Sklerose</t>
  </si>
  <si>
    <t>FAP positives Angiomyolipom. Tuberöse Sklerose FAP negativ</t>
  </si>
  <si>
    <t>Tkatschew, Denis Alekseevic</t>
  </si>
  <si>
    <t>Grüner, Manfred</t>
  </si>
  <si>
    <t>Dynamik Knie und Serum abnahme</t>
  </si>
  <si>
    <t>Meinzer, Andreas</t>
  </si>
  <si>
    <t>Eindrückliche Myositis, FDG negativ in 11/23</t>
  </si>
  <si>
    <t>Lauenburger, Gina</t>
  </si>
  <si>
    <t>unklare Arthraligien, Fibromyalgie</t>
  </si>
  <si>
    <t>unauffällig</t>
  </si>
  <si>
    <t>Dürrbeck, Sonnhild</t>
  </si>
  <si>
    <t>auffällig Knie, Dynamik, LWK 3 FAP positive Osteolyse, Mückenstich Fußrücken</t>
  </si>
  <si>
    <t>Mützel,Wilfried</t>
  </si>
  <si>
    <t>primär entzündliche pulmonale Läsion OL rechts</t>
  </si>
  <si>
    <t>Lorenz,Armin</t>
  </si>
  <si>
    <t xml:space="preserve">RA </t>
  </si>
  <si>
    <t>auffällige Hände, Linke Hand MRT von 04/24 zum Vgl. vorliegend</t>
  </si>
  <si>
    <t>Reichl,Martin</t>
  </si>
  <si>
    <t>Müller,Melanie</t>
  </si>
  <si>
    <t>SLE und SSC Overlap</t>
  </si>
  <si>
    <t>Lunge und teils muskulär</t>
  </si>
  <si>
    <t>Müller, Christine</t>
  </si>
  <si>
    <t>Pinkert, Wilhelm</t>
  </si>
  <si>
    <t>15.15.1952</t>
  </si>
  <si>
    <t>FAPI positiv Pulmonalklappe</t>
  </si>
  <si>
    <t>Sehr Auffällig, große Gelenke und Hände</t>
  </si>
  <si>
    <t>Ramic,Ramo</t>
  </si>
  <si>
    <t>Dynamik&amp; Serum</t>
  </si>
  <si>
    <t>Chuchrak, Ewa</t>
  </si>
  <si>
    <t>Knie und Fußwurzelknochen</t>
  </si>
  <si>
    <t>Großmann,Sophia</t>
  </si>
  <si>
    <t>Chronische Osteomyelitis</t>
  </si>
  <si>
    <t>Knie rechts Synovialits</t>
  </si>
  <si>
    <t>Evers, Anke</t>
  </si>
  <si>
    <t>Knie rechts, Dynamik, Serum</t>
  </si>
  <si>
    <t>Schwella, Maud</t>
  </si>
  <si>
    <t>Gonarthrose</t>
  </si>
  <si>
    <t>Dynamik bei Gonarthrose, dezent Knie rechts</t>
  </si>
  <si>
    <t>Amara,Faina</t>
  </si>
  <si>
    <t>SSC und Overlap Myositis</t>
  </si>
  <si>
    <t>Auffällig mehrere Gelenke und intramuskulär sowie Lunge</t>
  </si>
  <si>
    <t>Datum 6. FAPI PET/CT</t>
  </si>
  <si>
    <t>Neukam, Wolfgang</t>
  </si>
  <si>
    <t>IgG4 Syndrom</t>
  </si>
  <si>
    <t>Glandula submandibularis</t>
  </si>
  <si>
    <t>Feder, Roland</t>
  </si>
  <si>
    <t>Dynamik, Anstieg und dann Plateau</t>
  </si>
  <si>
    <t>Fischer-Stelzer, Angela</t>
  </si>
  <si>
    <t>Appendix-CA, Peritonealkarzinose</t>
  </si>
  <si>
    <t>Dolhaniuk, Ursuala</t>
  </si>
  <si>
    <t>Peritonealkarzinose, Mageninfiltration</t>
  </si>
  <si>
    <t>Fiala, Beata</t>
  </si>
  <si>
    <t>Antisynthetasesyndrom</t>
  </si>
  <si>
    <t>eher unauffällig</t>
  </si>
  <si>
    <t>unauffällig, Heberden Arthrose</t>
  </si>
  <si>
    <t>Geistlehner, Peter</t>
  </si>
  <si>
    <t>ausgeprägt Mesenterial vs. FDG PET 08/24</t>
  </si>
  <si>
    <t>Geiger,Dirk</t>
  </si>
  <si>
    <t>multiple Gelenke betroffen</t>
  </si>
  <si>
    <t>Buie,Gertraud</t>
  </si>
  <si>
    <t>Liegl,Wilhelm</t>
  </si>
  <si>
    <t>Ausgeprägt mit narbigen Veränderungen</t>
  </si>
  <si>
    <t>PIP D3 und Füße</t>
  </si>
  <si>
    <t>Bergmann, Rena</t>
  </si>
  <si>
    <t>Spadafora Bauer, Marirosa</t>
  </si>
  <si>
    <t>Therapierefraktäre RA</t>
  </si>
  <si>
    <t>sehr auffälliger Befund, fast alle Gelenke betroffen</t>
  </si>
  <si>
    <t xml:space="preserve"> </t>
  </si>
  <si>
    <t>Egerer, Alexandra</t>
  </si>
  <si>
    <t>Inflammatorische Myositis</t>
  </si>
  <si>
    <t>CASTLE Studie ausgeprägte Myositis</t>
  </si>
  <si>
    <t>Grausgruber, Nora Lea Silvana</t>
  </si>
  <si>
    <t>Systemische Sklerose, Castle Studie, beginnende Lungenfibrose</t>
  </si>
  <si>
    <t>Neubauer,Bernd</t>
  </si>
  <si>
    <t>Amiodaron assoziierte Lungenfibrose</t>
  </si>
  <si>
    <t>Ösophagusbeteiligung</t>
  </si>
  <si>
    <t>Liebig, Birgit</t>
  </si>
  <si>
    <t>Vor T-Zell Engager</t>
  </si>
  <si>
    <t>Dugalitsch,Diana</t>
  </si>
  <si>
    <t>Beginnende Lungenfibrose, dezent</t>
  </si>
  <si>
    <t>Mercan, Sinan</t>
  </si>
  <si>
    <t>Dynamik, Serumröhrchen</t>
  </si>
  <si>
    <t>Dula, Adrian-Costel</t>
  </si>
  <si>
    <t>Hautveränderungen, FDG PET 04/24 zum Vergleich</t>
  </si>
  <si>
    <t>Richter, Ute</t>
  </si>
  <si>
    <t>Ruckdeschel,Christian</t>
  </si>
  <si>
    <t>Sehr auffällig, gute Korrelation mit klinischen Angaben</t>
  </si>
  <si>
    <t>Bützow, Sven</t>
  </si>
  <si>
    <t>Siebert, Leni Victoria</t>
  </si>
  <si>
    <t>Kind! Bereits Auffälligkeiten!</t>
  </si>
  <si>
    <t>Helldörfer, Irene</t>
  </si>
  <si>
    <t>Pancreaskarzinom</t>
  </si>
  <si>
    <t>Betz,Lion</t>
  </si>
  <si>
    <t>Akren besonders auffällig bei klinisch Rattenbissnekrosen</t>
  </si>
  <si>
    <t>Chruszczow-Osiniak</t>
  </si>
  <si>
    <t>Jahn, Rainer</t>
  </si>
  <si>
    <t>Stofledt, Horst-Dieter</t>
  </si>
  <si>
    <t>Gleißner, Matthias</t>
  </si>
  <si>
    <t>Auffällige Lunge</t>
  </si>
  <si>
    <t>Wenig Auffällig, einzelne Gelenke</t>
  </si>
  <si>
    <t>Auch Auffällig Knie und Füße und Hände</t>
  </si>
  <si>
    <t>Först, Wolfgang</t>
  </si>
  <si>
    <t>Bechterew</t>
  </si>
  <si>
    <t>Noack, Tanja</t>
  </si>
  <si>
    <t>JAKIBRA Studie Knie links</t>
  </si>
  <si>
    <t>Kremer, Jurij</t>
  </si>
  <si>
    <t>Auffällig multiple Manifestationen</t>
  </si>
  <si>
    <t>Winter, Roman</t>
  </si>
  <si>
    <t>Bronchialkarzinom</t>
  </si>
  <si>
    <t>Ott, Stephan</t>
  </si>
  <si>
    <t>Mersch, Nicole</t>
  </si>
  <si>
    <t>Ostler, Lia Rebecca</t>
  </si>
  <si>
    <t>myokardiale Beteiligung, pulmonale Hypertonie</t>
  </si>
  <si>
    <t>Lindner, Michael</t>
  </si>
  <si>
    <t xml:space="preserve">nur periphere, Füße </t>
  </si>
  <si>
    <t>Kolbe, Matthias</t>
  </si>
  <si>
    <t>pulmonal auffällig</t>
  </si>
  <si>
    <t>Rieger,Sabine</t>
  </si>
  <si>
    <t>Knie Dynamik</t>
  </si>
  <si>
    <t>Müller, Margarethe</t>
  </si>
  <si>
    <t>Sehr gutes Therapieansprechen auf CAR-T</t>
  </si>
  <si>
    <t>Waidmayr, Julia// Gessler</t>
  </si>
  <si>
    <t>Hofmann, Dorea</t>
  </si>
  <si>
    <t>SsC</t>
  </si>
  <si>
    <t>regredient</t>
  </si>
  <si>
    <t>Strobel, Marion</t>
  </si>
  <si>
    <t>Serum Röhrchen und Biopsie geplant, gering aktiv, eher degenerativ</t>
  </si>
  <si>
    <t>Gruna, Boguslawa</t>
  </si>
  <si>
    <t>Hoch Floride, nahezu alle Gelenke betroffen</t>
  </si>
  <si>
    <t>Segtrop,Bianca</t>
  </si>
  <si>
    <t>RA/PsA Overlap</t>
  </si>
  <si>
    <t>Chenna, Carim</t>
  </si>
  <si>
    <t>Dlugosch, Dominique</t>
  </si>
  <si>
    <t>FDG PET/CT 08.01.2025 zum Vergleich vorliegend, Hier ähnliches Speicherverhalten</t>
  </si>
  <si>
    <t>Haber,Betina</t>
  </si>
  <si>
    <t>Mehrere Gelenke betroffen DD: degenerativ</t>
  </si>
  <si>
    <t>FAPI 04</t>
  </si>
  <si>
    <t>Schleifer, Ulrike</t>
  </si>
  <si>
    <t>Meister, Angelika</t>
  </si>
  <si>
    <t>Sarkom</t>
  </si>
  <si>
    <t>auffällige Verkalkungen, pulmonale und myokardiale Beteiligung</t>
  </si>
  <si>
    <t>auffällig um das Sarkom</t>
  </si>
  <si>
    <t>Taranenko, Snezhana</t>
  </si>
  <si>
    <t>Lunge und fraglich Haut</t>
  </si>
  <si>
    <t>Meister, Anja</t>
  </si>
  <si>
    <t>Lunge, vor CAR-T</t>
  </si>
  <si>
    <t>Mülller, Heidi</t>
  </si>
  <si>
    <t>sehr auffällig, baseline vor B-Zell Depletion</t>
  </si>
  <si>
    <t>Reinhardt, Patrick</t>
  </si>
  <si>
    <t>Weierst, Karin</t>
  </si>
  <si>
    <t>sehr auffällig, kurz vorher wurde T-Cell Engager Therapie begonnen</t>
  </si>
  <si>
    <t>Datum 7. FAPI PET</t>
  </si>
  <si>
    <t>Schutzbier, Ernst</t>
  </si>
  <si>
    <t>Lungenbeteiligung, Leberfibrose, Sehr ausgeprägt</t>
  </si>
  <si>
    <t>Yu, Lan Lucy</t>
  </si>
  <si>
    <t>Kurz, Heinz</t>
  </si>
  <si>
    <t>Arthros Knie</t>
  </si>
  <si>
    <t>Dynamik</t>
  </si>
  <si>
    <t>Kohlwes, Olaf</t>
  </si>
  <si>
    <t>Polychondritis</t>
  </si>
  <si>
    <t>Bauer-Lampl, Christian</t>
  </si>
  <si>
    <t>Lunge auffällig</t>
  </si>
  <si>
    <t>Friederichs, Elia</t>
  </si>
  <si>
    <t>Langerhanszellhistiozytose</t>
  </si>
  <si>
    <t>Meth, Kathrin</t>
  </si>
  <si>
    <t>Arthrose Knie</t>
  </si>
  <si>
    <t>Hellerbrand, Claus</t>
  </si>
  <si>
    <t>Siegelringzellkarzinom Darm</t>
  </si>
  <si>
    <t>Varatharajan, Vanessa</t>
  </si>
  <si>
    <t>Juvenile Arthritis</t>
  </si>
  <si>
    <t>unauffällige Dynamik</t>
  </si>
  <si>
    <t>Gugel, Anna</t>
  </si>
  <si>
    <t>Status idem</t>
  </si>
  <si>
    <t xml:space="preserve">Schuster, Ricarda </t>
  </si>
  <si>
    <t>auffällige Peritonealkarzinose</t>
  </si>
  <si>
    <t>Lechner, Elke</t>
  </si>
  <si>
    <t>RA/Mischkollagenose</t>
  </si>
  <si>
    <t>nur Thorax, FAPI positiv</t>
  </si>
  <si>
    <t>Schmid, Hildegard</t>
  </si>
  <si>
    <t>FDG rezent gering floride</t>
  </si>
  <si>
    <t>Radnai, Franz</t>
  </si>
  <si>
    <t>Komplexe Vorgeschichte, a.e. Pleurakarzinose</t>
  </si>
  <si>
    <t>Auffällige Pleurakarzinose rechts</t>
  </si>
  <si>
    <t>König, Jürgen</t>
  </si>
  <si>
    <t>Prävertrebrale Weichteilmanschette eher FAPI positiv, LK FDG positiv</t>
  </si>
  <si>
    <t>Hellge, Goswinde</t>
  </si>
  <si>
    <t>Teils FAPI positiv, teils FDG positiv</t>
  </si>
  <si>
    <t>Pokorny, Irene</t>
  </si>
  <si>
    <t>Markowiak, Dorothea</t>
  </si>
  <si>
    <t>Verdacht auf Magen-CA mit ausgedehnter Metastasierung</t>
  </si>
  <si>
    <t>Szymanowski, Heike</t>
  </si>
  <si>
    <t>Ausgeprägter Befund</t>
  </si>
  <si>
    <t>Vittinghoff, Sebastian</t>
  </si>
  <si>
    <t>Kardiale Sarkoidose</t>
  </si>
  <si>
    <t>Ausgeprägter Befund linksventrikulär</t>
  </si>
  <si>
    <t>Staratschek, Martin G</t>
  </si>
  <si>
    <t>Kein florider Befund</t>
  </si>
  <si>
    <t>Rottmann, Ingrid</t>
  </si>
  <si>
    <t>Lohvinenko, Viktor</t>
  </si>
  <si>
    <t>Minimal gesteigert an der Wand der thorakalen Aorta, PMR, Enthesitis rechte Schulter</t>
  </si>
  <si>
    <t>Retroperitoneal links an der Bauchwand</t>
  </si>
  <si>
    <t>Dörfer,Gabriele</t>
  </si>
  <si>
    <t>Köppl, Ursula</t>
  </si>
  <si>
    <t>Hände und Füße sowie V.a. Lungenbefall, hochaktiv</t>
  </si>
  <si>
    <t>Bürgermeister, Hans-Stephan</t>
  </si>
  <si>
    <t>Seronegative RA/SpA</t>
  </si>
  <si>
    <t xml:space="preserve">ausgeprägt Handgelenk rechts, Omarthrose bds. </t>
  </si>
  <si>
    <t>Vaismann, Svetlana</t>
  </si>
  <si>
    <t>Trinks, Andreas Maximillian</t>
  </si>
  <si>
    <t>Hämmer, Marianne</t>
  </si>
  <si>
    <t>Hubert, Ursula</t>
  </si>
  <si>
    <t>Vaskulits</t>
  </si>
  <si>
    <t>FAPI postiives Enchondrom</t>
  </si>
  <si>
    <t>Köttig, Jürgen</t>
  </si>
  <si>
    <t>NEC der Harnblase</t>
  </si>
  <si>
    <t>Böttcher, Laura</t>
  </si>
  <si>
    <t>Unauffällig</t>
  </si>
  <si>
    <t>Eggebrecht, Frank</t>
  </si>
  <si>
    <t>FDG Auffällig: FAPI unauffällig</t>
  </si>
  <si>
    <t>Krause, Björn</t>
  </si>
  <si>
    <t>FDG und FAPI: Sialadenitis, pulmonale und renale Beteiligung</t>
  </si>
  <si>
    <t>Öchsler, Patrick</t>
  </si>
  <si>
    <t>Marschall, Thomas</t>
  </si>
  <si>
    <t>Paravast, aus Berlin</t>
  </si>
  <si>
    <t>Gruber, Dagmar</t>
  </si>
  <si>
    <t>FDG und FAPI positive Vaskulits</t>
  </si>
  <si>
    <t>Manger, Renate</t>
  </si>
  <si>
    <t>Sturm, Katharina</t>
  </si>
  <si>
    <t>Antonoci, Sergiu</t>
  </si>
  <si>
    <t>Kunz, Guenter</t>
  </si>
  <si>
    <t>Disseminierte ossäre Metastasierung</t>
  </si>
  <si>
    <t>Isik, Salih</t>
  </si>
  <si>
    <t>Tuna-Klingler, Zeynep</t>
  </si>
  <si>
    <t>Dezente pulmonale Fibrose, aus Charite</t>
  </si>
  <si>
    <t>May, Brigitte</t>
  </si>
  <si>
    <t>nur dezente Anreicherungen Aorta</t>
  </si>
  <si>
    <t>Kratzer, Marcel</t>
  </si>
  <si>
    <t>Sarkom rechtes Diaphragma, FAPI positiv</t>
  </si>
  <si>
    <t>Schmitt, Jürgen</t>
  </si>
  <si>
    <t>Sarkom rechter Unterschenkel, kräftig FAPI positiv</t>
  </si>
  <si>
    <t>Heimann, Olaf</t>
  </si>
  <si>
    <t>HIV, Lungenfibrose</t>
  </si>
  <si>
    <t>ausgeprägter Befund myokardial und pulmonal</t>
  </si>
  <si>
    <t>Spitzner, Vera</t>
  </si>
  <si>
    <t>Seuberth, Werner</t>
  </si>
  <si>
    <t>Blasenkarzinom</t>
  </si>
  <si>
    <t>fraglich nur Harnblase, Omarthrose rechts</t>
  </si>
  <si>
    <t>Lankes, Johann</t>
  </si>
  <si>
    <t>Biermann, Angelika</t>
  </si>
  <si>
    <t>Pulmonale Beteiligung</t>
  </si>
  <si>
    <t>Adelmann, Kerstin</t>
  </si>
  <si>
    <t>Polyarthritis, aber teils auch degenerativ axial und peripher</t>
  </si>
  <si>
    <t xml:space="preserve">Segnstock, Artemis </t>
  </si>
  <si>
    <t xml:space="preserve">auffällig Ellebogen bds. </t>
  </si>
  <si>
    <t>Trbunja, Marigona</t>
  </si>
  <si>
    <t>Heinz, Julia</t>
  </si>
  <si>
    <t>Floride Arthritis Zehengelenke</t>
  </si>
  <si>
    <t>Eichelsdörfer, Jasmin</t>
  </si>
  <si>
    <t>Pra-PSA</t>
  </si>
  <si>
    <t>Knie rechts und Sprunggelenk rechts</t>
  </si>
  <si>
    <t>König, Andreas</t>
  </si>
  <si>
    <t>Prä-PSA (PsO)</t>
  </si>
  <si>
    <t>V.a. Myositis</t>
  </si>
  <si>
    <t>Datum 8. FAPI PET</t>
  </si>
  <si>
    <t>Striegel, Barbara</t>
  </si>
  <si>
    <t>Dynamik, Synovialitis Uptake beiderseits</t>
  </si>
  <si>
    <t>Robl, Marion</t>
  </si>
  <si>
    <t>Lungenbeteiligung, Hautbeteiligung an den Händen?</t>
  </si>
  <si>
    <t>Muskulatur und Lunge stark betroffen</t>
  </si>
  <si>
    <t>Nguyen, Bao Chi</t>
  </si>
  <si>
    <t>Juvenile Kollagenose</t>
  </si>
  <si>
    <t>Lungenbeteiligung</t>
  </si>
  <si>
    <t>Zhao, Zhe</t>
  </si>
  <si>
    <t>Peritonealkarzinose am Pancreas und im Becken</t>
  </si>
  <si>
    <t>Rümpelein, Erhard</t>
  </si>
  <si>
    <t>Sell,Marco</t>
  </si>
  <si>
    <t>Myxoides Liposarkom</t>
  </si>
  <si>
    <t>Flauer FAPI Uptake, unklare Läsion linker Unterschenkel</t>
  </si>
  <si>
    <t>Multiple Hand-und Fußgelenke, V.a. Chondrocalcinose, schönes Bild für Publikation</t>
  </si>
  <si>
    <t>Eichenmüller, Dagmar</t>
  </si>
  <si>
    <t>Golsch, Renate</t>
  </si>
  <si>
    <t>Eosinophile Pneumonie, interstielle Lungenerkrankung</t>
  </si>
  <si>
    <t>intensive FAPI Anreicherung in den Konsolidierungen, sehr eindrücklich</t>
  </si>
  <si>
    <t>Lenz, Raoul Julien</t>
  </si>
  <si>
    <t>Myositis und Subcutane noduläre Veränderungen, Lungenbeteiligung</t>
  </si>
  <si>
    <t>Bätz, Thomas</t>
  </si>
  <si>
    <t>FAPI positive cervikale Lymphknoten, pulmonale Veränderungen</t>
  </si>
  <si>
    <t>Sell, Justin</t>
  </si>
  <si>
    <t>Pulmonale Beteiligung und Myokardiale Beteiligung</t>
  </si>
  <si>
    <t>Hoffmann, Rainer</t>
  </si>
  <si>
    <t>Kollagenose</t>
  </si>
  <si>
    <t>deutliche Darstellung der myokardialen Beteiligung</t>
  </si>
  <si>
    <t>Franke, Andreas</t>
  </si>
  <si>
    <t>periphere SpA</t>
  </si>
  <si>
    <t>Beteiligung v.a. Hände und Füße</t>
  </si>
  <si>
    <t>Rücker, Steffen</t>
  </si>
  <si>
    <t>Triton Tumor, Sarkom</t>
  </si>
  <si>
    <t>Nur Lokalbefund nach Exzision</t>
  </si>
  <si>
    <t>Yol, Yusuf</t>
  </si>
  <si>
    <t>primär unauffällig</t>
  </si>
  <si>
    <t>Clark,Marina</t>
  </si>
  <si>
    <t>Muskeln und Lunge auffällig</t>
  </si>
  <si>
    <t>FAPI positives Mamma-CA 2021</t>
  </si>
  <si>
    <t>Wolf, Erwin</t>
  </si>
  <si>
    <t>Cebecci, Dilber</t>
  </si>
  <si>
    <t>Angioödem, Urtikaria</t>
  </si>
  <si>
    <t>Engelhardt, Ottmar</t>
  </si>
  <si>
    <t xml:space="preserve">Leiomyosarkom </t>
  </si>
  <si>
    <t xml:space="preserve">kräftiger Lokalbefund </t>
  </si>
  <si>
    <t>Madaj,Heike</t>
  </si>
  <si>
    <t>No</t>
  </si>
  <si>
    <t>DoB</t>
  </si>
  <si>
    <t>Scandate</t>
  </si>
  <si>
    <t>Eberwein, Bernd</t>
  </si>
  <si>
    <t>IgG4 Sialadenitis</t>
  </si>
  <si>
    <t>Parotis, unklare Pancreasanreicherung</t>
  </si>
  <si>
    <t>Karpinska, Adrianna</t>
  </si>
  <si>
    <t>Mischkollagenose/Systemsklerose</t>
  </si>
  <si>
    <t>Karpinska, Dariy</t>
  </si>
  <si>
    <t>Butterhof, Christine</t>
  </si>
  <si>
    <t>Schönknecht, Suchada</t>
  </si>
  <si>
    <t>Seronegative Arthritis</t>
  </si>
  <si>
    <t xml:space="preserve">Gelenkassoziiert Ellenbogen rechts, unspezifisch Kniegelenk bds. </t>
  </si>
  <si>
    <t>Kraus, Helga</t>
  </si>
  <si>
    <t>POLARIS, PsA</t>
  </si>
  <si>
    <t>Flexorensehnen, Kniegelenk</t>
  </si>
  <si>
    <t>Rackelmann, Siegline</t>
  </si>
  <si>
    <t>PsO, V.a. PsA</t>
  </si>
  <si>
    <t>Synovialitis ulnocarpal rechtes Handgelenk</t>
  </si>
  <si>
    <t>Stark, Karl</t>
  </si>
  <si>
    <t>Verdacht auf Myositis</t>
  </si>
  <si>
    <t xml:space="preserve">Keine Myositis, degenerative Veränderungen </t>
  </si>
  <si>
    <t>Schott, Kerstin</t>
  </si>
  <si>
    <t>multiple gelenkassoziierte Tracerspeicherungen</t>
  </si>
  <si>
    <t>Kusafuka-Muangu, Blache</t>
  </si>
  <si>
    <t>Buchert, Niko</t>
  </si>
  <si>
    <t>Sigmakarzinom</t>
  </si>
  <si>
    <t>Büttner Jürgen</t>
  </si>
  <si>
    <t>axiale Beteiligung, BWK11, Hände und Füße beteiligt</t>
  </si>
  <si>
    <t>Truckenbrodt, Simone</t>
  </si>
  <si>
    <t>RA, pulmonale Beteilung</t>
  </si>
  <si>
    <t>Nummer</t>
  </si>
  <si>
    <t>Scanrange</t>
  </si>
  <si>
    <t>Einicke-Merker, Tanja</t>
  </si>
  <si>
    <t>Hände</t>
  </si>
  <si>
    <t>Erdem, Ahmet</t>
  </si>
  <si>
    <t>ISG&amp;LWS</t>
  </si>
  <si>
    <t>Sakroilitiis</t>
  </si>
  <si>
    <t>Babayev, Shahriyar</t>
  </si>
  <si>
    <t>TK und WS</t>
  </si>
  <si>
    <t>auffällig, Handgelenk</t>
  </si>
  <si>
    <t>Gömmel, Erwin</t>
  </si>
  <si>
    <t>Hände beiderseits</t>
  </si>
  <si>
    <t>Name, Vorname</t>
  </si>
  <si>
    <t>Nink, Axel</t>
  </si>
  <si>
    <t>Meyer, Gerhard</t>
  </si>
  <si>
    <t>auffällig, Synovialitis links, FAPI negative Erosion Digitus III links, angrenzende FAPI positive Synovialitis</t>
  </si>
  <si>
    <t>Trivuncevic, Ruza</t>
  </si>
  <si>
    <t xml:space="preserve">UA und TK </t>
  </si>
  <si>
    <t>Sarkom Unterarm links und ergänzender GK</t>
  </si>
  <si>
    <t>Ünlütürk, Ayhan</t>
  </si>
  <si>
    <t>SpA, Sakrolilitis, Pancreasanreicherung</t>
  </si>
  <si>
    <t>Stammskelett FAPI positiv</t>
  </si>
  <si>
    <t>aus Studie ausgeschlossen</t>
  </si>
  <si>
    <t>Günce, Belgin</t>
  </si>
  <si>
    <t>histologisch gesicherte lymphozytäre Pneumonie</t>
  </si>
  <si>
    <t>Ausgeprägte multilokuläre RA mit FAPI positiver Lungenbeteiligung</t>
  </si>
  <si>
    <t>Alcamo, Antonio</t>
  </si>
  <si>
    <t>Autoimmunpancreatitis, deutlich Darstellbar unter 10 mg Prednisolon</t>
  </si>
  <si>
    <t>Geier, Kurt</t>
  </si>
  <si>
    <t>residuelles Tumorgewebe nach Immuntherapie, Lungenfibrose</t>
  </si>
  <si>
    <t>Rahn, Andreas</t>
  </si>
  <si>
    <t>Autoimmunmyositis mit lungenbeteiligung</t>
  </si>
  <si>
    <t>kräftige FAPI Anreicherung intrapulmonal mit fibrotischen CT Veränderungen</t>
  </si>
  <si>
    <t>Breun, Leonhard</t>
  </si>
  <si>
    <t>Harnstau, Lungebeteiligung</t>
  </si>
  <si>
    <t>Scheb, Veit</t>
  </si>
  <si>
    <t>Retroperitoneales Liposarkom</t>
  </si>
  <si>
    <t>Lungenfiliae, FAPI positiv</t>
  </si>
  <si>
    <t>Schütz,Marcel</t>
  </si>
  <si>
    <t>Ausgeprägter Befund, Nierentophi, V.a. beginnende Lungenfibrose, multiple Sehnen mit Gichtkristallen</t>
  </si>
  <si>
    <t>Elzemann, David</t>
  </si>
  <si>
    <t>Sarkoisose mit Fasziitis</t>
  </si>
  <si>
    <t>gutes Ansprechen nach FDG PET 01/2025</t>
  </si>
  <si>
    <t>Bäcker, Paula</t>
  </si>
  <si>
    <t>Juvenile Systemsklerose</t>
  </si>
  <si>
    <t>geringer FAPI Uptake in mehreren Verkalkungen, FAPI positive Lungenfibrose</t>
  </si>
  <si>
    <t>Koslar, Kathi</t>
  </si>
  <si>
    <t>Krukenbergtumor Ovar rechts, siegelringzellartig in Histo</t>
  </si>
  <si>
    <t>FAPI positive Peritonealkarzinose disseminiert</t>
  </si>
  <si>
    <t>Lindner, Monika</t>
  </si>
  <si>
    <t>Speicheldrüsen beiderseits, V.a. Myositis</t>
  </si>
  <si>
    <t>Yasar, Mahrican</t>
  </si>
  <si>
    <t>Kräftige pulmonale Traceranreicherung UIC Pattern, Honeycoombing</t>
  </si>
  <si>
    <t>Zeithammel, Eduard</t>
  </si>
  <si>
    <t>SpA und Hidradenitis supportiva</t>
  </si>
  <si>
    <t>Auffällige dermale FAP Expression bei klinischen multifokalen Abszessen</t>
  </si>
  <si>
    <t>keine Fibroblastenaktivierung, keine Aktivität im Ösophagusbreischluck und KardioMRT von 2025</t>
  </si>
  <si>
    <t>Stillerich, Mario</t>
  </si>
  <si>
    <t>Di Ciero, Anna Martina</t>
  </si>
  <si>
    <t>Schilddrüse FAPI positiv/FDG negativ, guter Mismatch Befund</t>
  </si>
  <si>
    <t>Für Seminars in Nuclear Medicine Figure</t>
  </si>
  <si>
    <t>Chubych, Oryna</t>
  </si>
  <si>
    <t>Unterschenkel und Hände</t>
  </si>
  <si>
    <t>Lang, Wolfgang</t>
  </si>
  <si>
    <t>Körperstamm, Hände und Wirbelsäule</t>
  </si>
  <si>
    <t>sehr auffällig</t>
  </si>
  <si>
    <t>Fasziitis, sehr Auffällig V.a. Unterschenkel, gute Übereinstimmung STIR Sequenz</t>
  </si>
  <si>
    <t>Pfeiffer-Ritter, Eva-Marie</t>
  </si>
  <si>
    <t>Mischkollagenose, Raynaud , "Mechanic Hands"</t>
  </si>
  <si>
    <t>Lungenfibrose, Myositis, Knie-TEP links a.e. reaktiv</t>
  </si>
  <si>
    <t>Svara, Dirk</t>
  </si>
  <si>
    <t>periphere SpA DD: Seronegative RA</t>
  </si>
  <si>
    <t>Solitär linkes Handgelenk Synovitis, Tendovaginitis Sehnen der Hand, Erguss linke Hand</t>
  </si>
  <si>
    <t>Flick, Katja</t>
  </si>
  <si>
    <t>Dakroadenitis, kräftig FAPI positiv, zudem FAPI positiver mesenterialer LK</t>
  </si>
  <si>
    <t>Zakahl,Zeinab</t>
  </si>
  <si>
    <t>Kind, intensive Lungenbeteiligung, sehr stark FAPI positiv</t>
  </si>
  <si>
    <t>Huchler, Joachim</t>
  </si>
  <si>
    <t>Kräftige Speicherung um die Hüft-TEP rechts, Achillessehne links</t>
  </si>
  <si>
    <t>Scandate Follow-Up</t>
  </si>
  <si>
    <t>Birner, Carmen</t>
  </si>
  <si>
    <t>Endometriose</t>
  </si>
  <si>
    <t>fokale Läsion am Sigma</t>
  </si>
  <si>
    <t>singulärer Herd am Sigma</t>
  </si>
  <si>
    <t>Weiland, Thomas</t>
  </si>
  <si>
    <t>Bekannte SSC</t>
  </si>
  <si>
    <t>Lungenfibrose, FAPI positiv, FAPI positive Lymphadenopathie intrathorakal</t>
  </si>
  <si>
    <t>Buttah, Leila</t>
  </si>
  <si>
    <t>keine axiale FAPI Anreicherung, peripher einzelne Ansatzsehnentendinitien, V.a. FAPI negatives NSA links</t>
  </si>
  <si>
    <t>Appel, Alexander</t>
  </si>
  <si>
    <t>POLARIS, flau mehrere Lokalisationen</t>
  </si>
  <si>
    <t>Holzapfel, Karin</t>
  </si>
  <si>
    <t>Unkl. Hypophysitis dd Pachymeningitis</t>
  </si>
  <si>
    <t>sehr auffällig, Hypophyse, beide Sinus maxillaris, Vaskulitisähnlich, Nierenparenchym rechts, Mamma links, parakardiales fettgewebe</t>
  </si>
  <si>
    <t xml:space="preserve">Virnstein, Katrin </t>
  </si>
  <si>
    <t>SpA mit Augenbeteilung</t>
  </si>
  <si>
    <t>Rechtsbetonte, FAP-positive SST-Arthrosen. Mögliche Beteiligung der Strecksehnenfächer 2-4 Hand rechts,Tendovaginitis.</t>
  </si>
  <si>
    <t>Ludwig, Stefanie</t>
  </si>
  <si>
    <t>CED-assoziierte Arthritis</t>
  </si>
  <si>
    <t>Stark, Andrea</t>
  </si>
  <si>
    <t>POLARIS mit PET/MRT, Knie bds. und Füße bds. ausgeprägt</t>
  </si>
  <si>
    <t>Kaiser, Michael</t>
  </si>
  <si>
    <t>SSC vor T-Cell Engager</t>
  </si>
  <si>
    <t>Kräftig e FAPI positive Lungenfibrose, NSIP Muster</t>
  </si>
  <si>
    <t>Sarkom Unterarm</t>
  </si>
  <si>
    <t>Sarkom Unterarm links und ergänzender GK, PET/MRT</t>
  </si>
  <si>
    <t>Feicht, Lydia</t>
  </si>
  <si>
    <t>Sarkom Oberarm links, suspekte LK</t>
  </si>
  <si>
    <t>Lokalbefund, V.a. synchrones Dünndarm-NET</t>
  </si>
  <si>
    <t>Ruppel, Irina</t>
  </si>
  <si>
    <t>Sjögren Syndrom mit ass. ILD</t>
  </si>
  <si>
    <t>inteniv intrapulmonal, nix in der Speicheldrüse</t>
  </si>
  <si>
    <t>Bergmann, Manfred</t>
  </si>
  <si>
    <t>CCC</t>
  </si>
  <si>
    <t>Konstant intrahepatisch, Lungenrundherd FAPI positiv</t>
  </si>
  <si>
    <t>Gaal, Ronja</t>
  </si>
  <si>
    <t>POLARIS</t>
  </si>
  <si>
    <t>Unlütürk, aydan</t>
  </si>
  <si>
    <t>Dörnenburg, Frank</t>
  </si>
  <si>
    <t>Sarkom linke Thoraxwand</t>
  </si>
  <si>
    <t>Johannes-Richter, Karin</t>
  </si>
  <si>
    <t>Pancreas-CA</t>
  </si>
  <si>
    <t>Regassa, Dawit</t>
  </si>
  <si>
    <t>Bartholome, Jasmin</t>
  </si>
  <si>
    <t>unauffälliger Befund, ggf. rechter Daumen</t>
  </si>
  <si>
    <t>flau FAPI positiv in der linken Thoraxwand nach RCT, 5 Minuten p.i. aufgelegt</t>
  </si>
  <si>
    <t>Reddersen, Hans-Joachim</t>
  </si>
  <si>
    <t>Knie und mehrere Beugesehnen</t>
  </si>
  <si>
    <t>Witting, Jennifer</t>
  </si>
  <si>
    <t>Al-Mahdawi, Abdullah</t>
  </si>
  <si>
    <t>V.a. Endometrioseherd links iliacal</t>
  </si>
  <si>
    <t>Keine signifikante Myositis</t>
  </si>
  <si>
    <t>Lang,Werner</t>
  </si>
  <si>
    <t>Sprunggelenk links, FAPI positiver Lungenrundherd</t>
  </si>
  <si>
    <t>Emck Tröger, Geert</t>
  </si>
  <si>
    <t>Interspinal Höhe BWK 1-BWK4, Kniegelenk bds., Tendinitis rechtsbetont in beiden Füßen, peripankreatische Weichgewebsverdichtung</t>
  </si>
  <si>
    <t>Gareis, Birgit</t>
  </si>
  <si>
    <t>PET/MRT unauffällig</t>
  </si>
  <si>
    <t>Sponsel, Norbert</t>
  </si>
  <si>
    <t>Sarkom Arm</t>
  </si>
  <si>
    <t>Nur Sarkom FAPI positiv, keine Filiae</t>
  </si>
  <si>
    <t>Matkovskyi, Mykola</t>
  </si>
  <si>
    <t>Vor allem Sehenen Füße</t>
  </si>
  <si>
    <t>Wesolowski, Robert</t>
  </si>
  <si>
    <t>allenfalls sehr flau pulmonal</t>
  </si>
  <si>
    <t>Meier, Karl-Heinz</t>
  </si>
  <si>
    <t>Systemische Skerlose mit Lungenfibrose</t>
  </si>
  <si>
    <t>FAPI positive Lungenfibrose, CT graphisch konstant</t>
  </si>
  <si>
    <t>Grekova, Iryna</t>
  </si>
  <si>
    <t>Seropostive RA</t>
  </si>
  <si>
    <t>Kniegelenke bds., rechts &gt; links, Biopsie geplant</t>
  </si>
  <si>
    <t>Reintanz, Kathrin</t>
  </si>
  <si>
    <t>Autoinflammatorisches Syndrom</t>
  </si>
  <si>
    <t>Catikkas, Aykut</t>
  </si>
  <si>
    <t>Synovialitis Knie beiderseits mit Ergusskomponente</t>
  </si>
  <si>
    <t>Eischer, Erika</t>
  </si>
  <si>
    <t>Obemeyer, Andrea</t>
  </si>
  <si>
    <t>Richter, Karina</t>
  </si>
  <si>
    <t>Wehrfitz, Jürgen</t>
  </si>
  <si>
    <t>Bronchialkarzinom Oberlappen links</t>
  </si>
  <si>
    <t>FAPI positiv mit LK Filiae, reaktiv entlang Aortenprothese</t>
  </si>
  <si>
    <t>Schmidt, Ottilie</t>
  </si>
  <si>
    <t>Sjögren-Syndrom</t>
  </si>
  <si>
    <t>Sehr ausgeprägter Fall, deutliche Lungenfibrose, kräftiger Perikarderguss</t>
  </si>
  <si>
    <t>multiple Auffälligkeiten, Achillessehne, multiple Gelenke linkes Handgelenk, gutes Therapieansprechen!</t>
  </si>
  <si>
    <t>Leberfiliae, disseminierte Peritonealkarzinose, PET/MRT, LK Mammaria Stromgebiet rechts</t>
  </si>
  <si>
    <t>Heilemann, Michael</t>
  </si>
  <si>
    <t xml:space="preserve">POLARIS, Kniegelenk links, linkes OSG, weitere multifokale Gelenke, Rippenserienfraktur bds. </t>
  </si>
  <si>
    <t>Dengler, Maria-Sophie</t>
  </si>
  <si>
    <t xml:space="preserve">FAPI positive Sakroilitiis </t>
  </si>
  <si>
    <t>Iliyazov, Onur</t>
  </si>
  <si>
    <t>POLARIS, mehrere Große Gelenke, keine Sakroilitis</t>
  </si>
  <si>
    <t>Deinlein, Thomas</t>
  </si>
  <si>
    <t>weitestgehend unauffällig, Fleckig in der Milz unklarer Ursache</t>
  </si>
  <si>
    <t>Oleszak,Christian</t>
  </si>
  <si>
    <t>CED-assoziierte SpA</t>
  </si>
  <si>
    <t>Handgelenk rechts und Kniegelenk rechts, sehr flau</t>
  </si>
  <si>
    <t>Roth, Michael</t>
  </si>
  <si>
    <t xml:space="preserve">ausgeprägter Befall ohne Tophi, hohe synoviale Aktivität </t>
  </si>
  <si>
    <t>Neb,David</t>
  </si>
  <si>
    <t>a.e. unauffällig, Sinusitis</t>
  </si>
  <si>
    <t>Karasev,Alexandr</t>
  </si>
  <si>
    <t>Neurofibromatose</t>
  </si>
  <si>
    <t>NET des Ileums rechts parailikal, FAPI positive Neurofibrome, venöse Malformation</t>
  </si>
  <si>
    <t>Fuhrmann, Kerstin</t>
  </si>
  <si>
    <t>Periphere SpA</t>
  </si>
  <si>
    <t>PET/MRT Synoviale KM Aufnahme linke Hand ohne FAP Expression, FAP Anreicherung intercarpal ohne MRT Korrelat</t>
  </si>
  <si>
    <t xml:space="preserve">Thomas, Michaela </t>
  </si>
  <si>
    <t>Deutliche FAP Postive Lungenfibrose, FDG PET 07/2025, FAP positive Sakroilitis</t>
  </si>
  <si>
    <t>Beißer, Anja</t>
  </si>
  <si>
    <t>Datum 9. FAPI PET</t>
  </si>
  <si>
    <t>Schleußinger, Lena</t>
  </si>
  <si>
    <t>PET/MRT rechte Hand, KM Anreichernde Synovialitis mit sehr guter Übereinstimmender FAP Anreicherung</t>
  </si>
  <si>
    <t>Liu, Rong</t>
  </si>
  <si>
    <t>schirmer, Karin</t>
  </si>
  <si>
    <t>Schätzler, Emily</t>
  </si>
  <si>
    <t>V.a. Autoimmunpankreatitis</t>
  </si>
  <si>
    <t>FAPI positive Läsion Cauda Pancreatis</t>
  </si>
  <si>
    <t>Müller, Daniel</t>
  </si>
  <si>
    <t>unauffällig, PET/MRT</t>
  </si>
  <si>
    <t>gutes Ansprechen auf Bizekitumab</t>
  </si>
  <si>
    <t>Moussa, Naima</t>
  </si>
  <si>
    <t>Kind auffällige Myositis im PET/MRT</t>
  </si>
  <si>
    <t>Waczenski, Karin</t>
  </si>
  <si>
    <t>PET/MRT auffällig Handwurzelknochen, Rhizarthrose und DIP Digitus 2 rechts</t>
  </si>
  <si>
    <t>Bohoslova, Anastasiia</t>
  </si>
  <si>
    <t>V.a. Herde beiderseits pararektal</t>
  </si>
  <si>
    <t>Muck, Pritika</t>
  </si>
  <si>
    <t>Multiple Endometrioseherde DD: Vor-Ops</t>
  </si>
  <si>
    <t>Michel, Antje</t>
  </si>
  <si>
    <t>SpA POLARIS</t>
  </si>
  <si>
    <t>kräftig FAPI positve Sakrolitis und SC Gelenk links</t>
  </si>
  <si>
    <t>Wenig, Rita</t>
  </si>
  <si>
    <t>Glandula submandibularis, Lunge links fraglich</t>
  </si>
  <si>
    <t>Bader, Manuela</t>
  </si>
  <si>
    <t>Kardiakarzinom</t>
  </si>
  <si>
    <t>Multiple LK-Filia supradiaphragmal und infradiaphragmal</t>
  </si>
  <si>
    <t>FAPI positive Nierenanreicherung</t>
  </si>
  <si>
    <t>Enderlein, Elvira</t>
  </si>
  <si>
    <t>POLARIS, v.a. Handgelenke beiderseits</t>
  </si>
  <si>
    <t>Satici, Levent</t>
  </si>
  <si>
    <t>Fokussuche Hypereosinophile</t>
  </si>
  <si>
    <t>Janetzke, Tabea</t>
  </si>
  <si>
    <t>Mischkollagenose</t>
  </si>
  <si>
    <t>Voigt, Bernd-Michael</t>
  </si>
  <si>
    <t>.</t>
  </si>
  <si>
    <t>Kautny, Jürgen</t>
  </si>
  <si>
    <t>IgG4 Retorperitonealfibrose</t>
  </si>
  <si>
    <t>Pickel-Schmitt, Margit</t>
  </si>
  <si>
    <t>RA unter MTX</t>
  </si>
  <si>
    <t>nur Hände und Ellenbogen, mehrere Gelenke betroffen, u.a. Olecranon rechts</t>
  </si>
  <si>
    <t>Fichtner, Richard</t>
  </si>
  <si>
    <t>extrem auffälliger Befund mit Befall Hände, Füße und deutlich Kniegelenk bds.  Unklare Lymphadenopathie thorakal</t>
  </si>
  <si>
    <t>Krause,Andrea</t>
  </si>
  <si>
    <t>V.a. Herde pararektal</t>
  </si>
  <si>
    <t>Florova, Martina</t>
  </si>
  <si>
    <t>V.a. Herd parauterin</t>
  </si>
  <si>
    <t>Fabrizius, Angelika</t>
  </si>
  <si>
    <t>Refrakträre Polyarthritis</t>
  </si>
  <si>
    <t>multifokale FAPI positive Gelenke, große und kleine Gelenke</t>
  </si>
  <si>
    <t>Meier, Christian</t>
  </si>
  <si>
    <t>POLARIS, kräftig FAPI positive Sakroilitis</t>
  </si>
  <si>
    <t>Müller, Artur</t>
  </si>
  <si>
    <t>Statin induzierte Myositis</t>
  </si>
  <si>
    <t>auffällig ischiocrurale Muskulatur</t>
  </si>
  <si>
    <t>Herdegen, Rainer</t>
  </si>
  <si>
    <t>Solitärer Fibröser Tumor Thorax</t>
  </si>
  <si>
    <t>Kräftige Anreicherung Pancreas, schwächer intratumoral</t>
  </si>
  <si>
    <t>Barthelmes, Sandra</t>
  </si>
  <si>
    <t>Serexhe, Bernhard</t>
  </si>
  <si>
    <t>SSc unter Teclistamab</t>
  </si>
  <si>
    <t xml:space="preserve">Ausgeprägt bds. Pulmonal </t>
  </si>
  <si>
    <t>Myositis und Lungenbeteiligung</t>
  </si>
  <si>
    <t>Baran, Bernd</t>
  </si>
  <si>
    <t>SpA externer Patient</t>
  </si>
  <si>
    <t>extern, mehrere Ansatzsehnen, v.a. Hände und Füße</t>
  </si>
  <si>
    <t>Haas, Christian</t>
  </si>
  <si>
    <t>V.a. sehenassoziiert in den Händen und Füßen</t>
  </si>
  <si>
    <t>Langer, Petra</t>
  </si>
  <si>
    <t>Herd ventral des Uterus</t>
  </si>
  <si>
    <t>Brendel,Reinhold</t>
  </si>
  <si>
    <t>Nase,Karin</t>
  </si>
  <si>
    <t>Ösophagus-CA</t>
  </si>
  <si>
    <t>V.a. Pancreaskopf-CA, FDG aus Vorjahr negativ</t>
  </si>
  <si>
    <t>Primarius und LK Filiae thorakal</t>
  </si>
  <si>
    <t>Müller-Liesaus, Christine</t>
  </si>
  <si>
    <t>Kräftig Bipulmonal</t>
  </si>
  <si>
    <t>Brenner, Norbert</t>
  </si>
  <si>
    <t>NET Tumor vor RLT</t>
  </si>
  <si>
    <t>Kräftige FAPI Speicherung intratumoral, RLT als Therapieoption</t>
  </si>
  <si>
    <t>Albad, Manal</t>
  </si>
  <si>
    <t>Polyarthralgien</t>
  </si>
  <si>
    <t>Myositisverdacht, einzelnen Sehnen im Fußbreich</t>
  </si>
  <si>
    <t>Biermann-Jäckel, Ulrike</t>
  </si>
  <si>
    <t>Therapierefraktäre ILD</t>
  </si>
  <si>
    <t>LK mediastinal und epigastrisch, pulmonal nur flau FAPI positiv</t>
  </si>
  <si>
    <t>Chubych,Oryna</t>
  </si>
  <si>
    <t>GvHD Faszien Unterschenkel und Unterarme</t>
  </si>
  <si>
    <t>Schlüter, Tim</t>
  </si>
  <si>
    <t>V.a. GvHD</t>
  </si>
  <si>
    <t>Dülger, Göksel</t>
  </si>
  <si>
    <t>Unklare Pannikulitis</t>
  </si>
  <si>
    <t>Pannikulitis nur Flau FAPI positiv, Unklarer FAP positiver Fokus im rechten Obb</t>
  </si>
  <si>
    <t>Schellmann, Nadine</t>
  </si>
  <si>
    <t>Spalte1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</si>
</sst>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2" x14ac:knownFonts="1">
    <font>
      <sz val="11"/>
      <color theme="1"/>
      <name val="Calibri"/>
      <family val="2"/>
      <scheme val="minor"/>
    </font>
    <font>
      <sz val="11"/>
      <color theme="4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name val="Calibri"/>
      <family val="2"/>
      <scheme val="minor"/>
    </font>
    <font>
      <sz val="11"/>
      <color theme="5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FFFCC"/>
      </patternFill>
    </fill>
    <fill>
      <patternFill patternType="solid">
        <fgColor rgb="FFFFC7CE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5">
    <xf numFmtId="0" fontId="0" fillId="0" borderId="0"/>
    <xf numFmtId="0" fontId="8" fillId="8" borderId="0" applyNumberFormat="0" applyBorder="0" applyAlignment="0" applyProtection="0"/>
    <xf numFmtId="0" fontId="9" fillId="9" borderId="1" applyNumberFormat="0" applyAlignment="0" applyProtection="0"/>
    <xf numFmtId="0" fontId="7" fillId="10" borderId="2" applyNumberFormat="0" applyFont="0" applyAlignment="0" applyProtection="0"/>
    <xf numFmtId="0" fontId="11" fillId="11" borderId="0" applyNumberFormat="0" applyBorder="0" applyAlignment="0" applyProtection="0"/>
  </cellStyleXfs>
  <cellXfs count="37">
    <xf numFmtId="0" fontId="0" fillId="0" borderId="0" xfId="0"/>
    <xf numFmtId="14" fontId="0" fillId="0" borderId="0" xfId="0" applyNumberFormat="1"/>
    <xf numFmtId="0" fontId="1" fillId="0" borderId="0" xfId="0" applyFont="1"/>
    <xf numFmtId="14" fontId="1" fillId="0" borderId="0" xfId="0" applyNumberFormat="1" applyFont="1"/>
    <xf numFmtId="0" fontId="2" fillId="0" borderId="0" xfId="0" applyFont="1"/>
    <xf numFmtId="14" fontId="2" fillId="0" borderId="0" xfId="0" applyNumberFormat="1" applyFont="1"/>
    <xf numFmtId="2" fontId="0" fillId="0" borderId="0" xfId="0" applyNumberFormat="1"/>
    <xf numFmtId="0" fontId="3" fillId="0" borderId="0" xfId="0" applyFont="1"/>
    <xf numFmtId="164" fontId="0" fillId="0" borderId="0" xfId="0" applyNumberFormat="1"/>
    <xf numFmtId="0" fontId="4" fillId="0" borderId="0" xfId="0" applyFont="1"/>
    <xf numFmtId="1" fontId="0" fillId="0" borderId="0" xfId="0" applyNumberFormat="1"/>
    <xf numFmtId="2" fontId="0" fillId="2" borderId="0" xfId="0" applyNumberFormat="1" applyFill="1"/>
    <xf numFmtId="2" fontId="2" fillId="0" borderId="0" xfId="0" applyNumberFormat="1" applyFont="1"/>
    <xf numFmtId="0" fontId="5" fillId="0" borderId="0" xfId="0" applyFont="1"/>
    <xf numFmtId="14" fontId="4" fillId="0" borderId="0" xfId="0" applyNumberFormat="1" applyFont="1"/>
    <xf numFmtId="0" fontId="0" fillId="4" borderId="0" xfId="0" applyFill="1"/>
    <xf numFmtId="14" fontId="0" fillId="3" borderId="0" xfId="0" applyNumberFormat="1" applyFill="1"/>
    <xf numFmtId="0" fontId="0" fillId="5" borderId="0" xfId="0" applyFill="1"/>
    <xf numFmtId="0" fontId="0" fillId="3" borderId="0" xfId="0" applyFill="1"/>
    <xf numFmtId="0" fontId="0" fillId="6" borderId="0" xfId="0" applyFill="1"/>
    <xf numFmtId="0" fontId="4" fillId="6" borderId="0" xfId="0" applyFont="1" applyFill="1"/>
    <xf numFmtId="0" fontId="0" fillId="7" borderId="0" xfId="0" applyFill="1"/>
    <xf numFmtId="0" fontId="6" fillId="0" borderId="0" xfId="0" applyFont="1"/>
    <xf numFmtId="0" fontId="8" fillId="8" borderId="0" xfId="1"/>
    <xf numFmtId="0" fontId="2" fillId="8" borderId="0" xfId="1" applyFont="1"/>
    <xf numFmtId="0" fontId="0" fillId="0" borderId="0" xfId="0" applyAlignment="1">
      <alignment horizontal="center"/>
    </xf>
    <xf numFmtId="0" fontId="10" fillId="0" borderId="0" xfId="0" applyFont="1"/>
    <xf numFmtId="0" fontId="11" fillId="11" borderId="0" xfId="4"/>
    <xf numFmtId="14" fontId="10" fillId="0" borderId="0" xfId="0" applyNumberFormat="1" applyFont="1"/>
    <xf numFmtId="14" fontId="8" fillId="8" borderId="0" xfId="1" applyNumberFormat="1"/>
    <xf numFmtId="0" fontId="9" fillId="9" borderId="0" xfId="2" applyBorder="1"/>
    <xf numFmtId="0" fontId="0" fillId="0" borderId="1" xfId="0" applyBorder="1"/>
    <xf numFmtId="0" fontId="2" fillId="10" borderId="0" xfId="3" applyFont="1" applyBorder="1"/>
    <xf numFmtId="0" fontId="0" fillId="0" borderId="2" xfId="0" applyBorder="1"/>
    <xf numFmtId="0" fontId="0" fillId="10" borderId="0" xfId="3" applyFont="1" applyBorder="1"/>
    <xf numFmtId="0" fontId="0" fillId="0" borderId="0" xfId="0" applyBorder="1"/>
    <xf numFmtId="14" fontId="0" fillId="0" borderId="0" xfId="0" applyNumberFormat="1" applyBorder="1"/>
  </cellXfs>
  <cellStyles count="5">
    <cellStyle name="Eingabe" xfId="2" builtinId="20"/>
    <cellStyle name="Neutral" xfId="1" builtinId="28"/>
    <cellStyle name="Notiz" xfId="3" builtinId="10"/>
    <cellStyle name="Schlecht" xfId="4" builtinId="27"/>
    <cellStyle name="Standard" xfId="0" builtinId="0"/>
  </cellStyles>
  <dxfs count="2">
    <dxf>
      <numFmt numFmtId="19" formatCode="dd/mm/yy"/>
    </dxf>
    <dxf>
      <numFmt numFmtId="19" formatCode="dd/mm/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32E5314-7162-D140-A4AA-2169A7090E75}" name="Tabelle1" displayName="Tabelle1" ref="A1:P847" totalsRowShown="0">
  <autoFilter ref="A1:P847" xr:uid="{832E5314-7162-D140-A4AA-2169A7090E75}"/>
  <sortState xmlns:xlrd2="http://schemas.microsoft.com/office/spreadsheetml/2017/richdata2" ref="A2:P847">
    <sortCondition descending="1" ref="D1:D847"/>
  </sortState>
  <tableColumns count="16">
    <tableColumn id="1" xr3:uid="{0D4AB4AD-FC0C-2245-AFD8-3AEAB1897810}" name="Spalte1"/>
    <tableColumn id="2" xr3:uid="{CC50766E-1975-8442-A47F-93F4188AD532}" name="Name"/>
    <tableColumn id="3" xr3:uid="{917AB53D-A51C-0945-9472-BE319D93F15E}" name="Geburtsdatum" dataDxfId="1"/>
    <tableColumn id="4" xr3:uid="{F93EABE2-72B1-C341-A429-FB9614F515F6}" name="Scandatum" dataDxfId="0"/>
    <tableColumn id="5" xr3:uid="{4E6FE1D3-5DE9-374A-8C1A-76D3A269FE34}" name="Indikation"/>
    <tableColumn id="6" xr3:uid="{0F4C6DB4-3DA3-114E-B874-BBB64C2DF477}" name="Datum 2. FAPI PET/CT"/>
    <tableColumn id="7" xr3:uid="{A188B598-D6E6-BD43-8B44-66755B0A8431}" name="Datum 3. FAPI PET/CT"/>
    <tableColumn id="8" xr3:uid="{A6704D80-343F-DF45-8C03-05EBE20738DF}" name="Datum 4. FAPI PET/CT"/>
    <tableColumn id="9" xr3:uid="{7220519D-58C1-8A45-AD0A-79298F4CF236}" name="Datum 5. FAPI PET/CT"/>
    <tableColumn id="10" xr3:uid="{9647214B-122C-BF4F-AD8E-08343829EE22}" name="Datum 6. FAPI PET/CT"/>
    <tableColumn id="11" xr3:uid="{560644C5-4C21-FD4A-9739-5A935A105B6B}" name="Datum 7. FAPI PET"/>
    <tableColumn id="12" xr3:uid="{34194FBD-EBF5-594E-B4F5-6917BFE52A44}" name="Datum 8. FAPI PET"/>
    <tableColumn id="13" xr3:uid="{C0084CB4-2A9A-B94C-B43B-7DCFA890465C}" name="Datum 9. FAPI PET"/>
    <tableColumn id="14" xr3:uid="{64692F6D-3067-2648-B3E8-FD9EA1DF2B2E}" name="Datum 1. FDG PET"/>
    <tableColumn id="15" xr3:uid="{26054E42-DCC4-7B42-9A60-A6A085E240CA}" name="Datum 2. FDG PET"/>
    <tableColumn id="16" xr3:uid="{3680CC51-9396-5240-8E89-2655EDCADBBB}" name="Ergebni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847"/>
  <sheetViews>
    <sheetView tabSelected="1" zoomScale="90" zoomScaleNormal="90" workbookViewId="0">
      <pane ySplit="1" topLeftCell="A80" activePane="bottomLeft" state="frozen"/>
      <selection pane="bottomLeft" activeCell="E66" sqref="E66"/>
    </sheetView>
  </sheetViews>
  <sheetFormatPr baseColWidth="10" defaultRowHeight="15" x14ac:dyDescent="0.2"/>
  <cols>
    <col min="2" max="2" width="24.33203125" bestFit="1" customWidth="1"/>
    <col min="3" max="3" width="14" customWidth="1"/>
    <col min="4" max="4" width="11.83203125" customWidth="1"/>
    <col min="5" max="5" width="37.5" bestFit="1" customWidth="1"/>
    <col min="6" max="16" width="37.5" customWidth="1"/>
  </cols>
  <sheetData>
    <row r="1" spans="1:16" x14ac:dyDescent="0.2">
      <c r="A1" t="s">
        <v>2289</v>
      </c>
      <c r="B1" t="s">
        <v>0</v>
      </c>
      <c r="C1" t="s">
        <v>1</v>
      </c>
      <c r="D1" t="s">
        <v>2</v>
      </c>
      <c r="E1" t="s">
        <v>3</v>
      </c>
      <c r="F1" t="s">
        <v>84</v>
      </c>
      <c r="G1" t="s">
        <v>1153</v>
      </c>
      <c r="H1" t="s">
        <v>1394</v>
      </c>
      <c r="I1" t="s">
        <v>1548</v>
      </c>
      <c r="J1" t="s">
        <v>1705</v>
      </c>
      <c r="K1" t="s">
        <v>1815</v>
      </c>
      <c r="L1" t="s">
        <v>1927</v>
      </c>
      <c r="M1" t="s">
        <v>2195</v>
      </c>
      <c r="N1" t="s">
        <v>86</v>
      </c>
      <c r="O1" t="s">
        <v>87</v>
      </c>
      <c r="P1" t="s">
        <v>984</v>
      </c>
    </row>
    <row r="2" spans="1:16" x14ac:dyDescent="0.2">
      <c r="A2">
        <v>103</v>
      </c>
      <c r="B2" t="s">
        <v>398</v>
      </c>
      <c r="C2" s="1">
        <v>28533</v>
      </c>
      <c r="D2" t="s">
        <v>958</v>
      </c>
    </row>
    <row r="3" spans="1:16" x14ac:dyDescent="0.2">
      <c r="A3">
        <v>800</v>
      </c>
      <c r="B3" t="s">
        <v>2120</v>
      </c>
      <c r="C3" s="1">
        <v>36731</v>
      </c>
      <c r="D3" s="1">
        <v>46368</v>
      </c>
      <c r="E3" t="s">
        <v>209</v>
      </c>
      <c r="F3" s="1">
        <v>46099</v>
      </c>
      <c r="G3" t="s">
        <v>2121</v>
      </c>
    </row>
    <row r="4" spans="1:16" x14ac:dyDescent="0.2">
      <c r="A4">
        <v>801</v>
      </c>
      <c r="B4" t="s">
        <v>2122</v>
      </c>
      <c r="C4" s="1">
        <v>32242</v>
      </c>
      <c r="D4" s="1">
        <v>46361</v>
      </c>
      <c r="E4" t="s">
        <v>209</v>
      </c>
      <c r="F4" s="1">
        <v>46099</v>
      </c>
      <c r="G4" t="s">
        <v>2121</v>
      </c>
    </row>
    <row r="5" spans="1:16" x14ac:dyDescent="0.2">
      <c r="A5">
        <v>875</v>
      </c>
      <c r="B5" t="s">
        <v>2285</v>
      </c>
      <c r="C5" s="1">
        <v>23640</v>
      </c>
      <c r="D5" s="1">
        <v>46230</v>
      </c>
      <c r="E5" t="s">
        <v>2286</v>
      </c>
      <c r="G5" t="s">
        <v>2287</v>
      </c>
    </row>
    <row r="6" spans="1:16" x14ac:dyDescent="0.2">
      <c r="A6">
        <v>876</v>
      </c>
      <c r="B6" t="s">
        <v>2288</v>
      </c>
      <c r="C6" s="1">
        <v>31390</v>
      </c>
      <c r="D6" s="1">
        <v>46230</v>
      </c>
      <c r="E6" t="s">
        <v>1224</v>
      </c>
      <c r="G6" t="s">
        <v>1673</v>
      </c>
    </row>
    <row r="7" spans="1:16" x14ac:dyDescent="0.2">
      <c r="A7">
        <v>874</v>
      </c>
      <c r="B7" t="s">
        <v>2283</v>
      </c>
      <c r="C7" s="1">
        <v>30283</v>
      </c>
      <c r="D7" s="1">
        <v>46227</v>
      </c>
      <c r="E7" t="s">
        <v>2284</v>
      </c>
    </row>
    <row r="8" spans="1:16" x14ac:dyDescent="0.2">
      <c r="A8">
        <v>872</v>
      </c>
      <c r="B8" t="s">
        <v>2278</v>
      </c>
      <c r="C8" s="1">
        <v>24654</v>
      </c>
      <c r="D8" s="1">
        <v>46223</v>
      </c>
      <c r="E8" t="s">
        <v>2279</v>
      </c>
      <c r="G8" t="s">
        <v>2280</v>
      </c>
    </row>
    <row r="9" spans="1:16" x14ac:dyDescent="0.2">
      <c r="A9">
        <v>869</v>
      </c>
      <c r="B9" t="s">
        <v>2270</v>
      </c>
      <c r="C9" s="1">
        <v>30928</v>
      </c>
      <c r="D9" s="1">
        <v>46218</v>
      </c>
      <c r="E9" t="s">
        <v>1453</v>
      </c>
      <c r="G9" t="s">
        <v>2271</v>
      </c>
    </row>
    <row r="10" spans="1:16" x14ac:dyDescent="0.2">
      <c r="A10">
        <v>870</v>
      </c>
      <c r="B10" t="s">
        <v>2272</v>
      </c>
      <c r="C10" s="1">
        <v>22232</v>
      </c>
      <c r="D10" s="1">
        <v>46218</v>
      </c>
      <c r="E10" t="s">
        <v>2273</v>
      </c>
      <c r="G10" t="s">
        <v>2274</v>
      </c>
    </row>
    <row r="11" spans="1:16" x14ac:dyDescent="0.2">
      <c r="A11">
        <v>871</v>
      </c>
      <c r="B11" t="s">
        <v>2275</v>
      </c>
      <c r="C11" s="1">
        <v>31660</v>
      </c>
      <c r="D11" s="1">
        <v>46218</v>
      </c>
      <c r="E11" t="s">
        <v>2276</v>
      </c>
      <c r="G11" t="s">
        <v>2277</v>
      </c>
    </row>
    <row r="12" spans="1:16" x14ac:dyDescent="0.2">
      <c r="A12">
        <v>867</v>
      </c>
      <c r="B12" t="s">
        <v>2265</v>
      </c>
      <c r="C12" s="1">
        <v>23900</v>
      </c>
      <c r="D12" s="1">
        <v>46213</v>
      </c>
      <c r="E12" t="s">
        <v>73</v>
      </c>
      <c r="G12" t="s">
        <v>2268</v>
      </c>
    </row>
    <row r="13" spans="1:16" x14ac:dyDescent="0.2">
      <c r="A13">
        <v>868</v>
      </c>
      <c r="B13" t="s">
        <v>2266</v>
      </c>
      <c r="C13" s="1">
        <v>21319</v>
      </c>
      <c r="D13" s="1">
        <v>46213</v>
      </c>
      <c r="E13" t="s">
        <v>2267</v>
      </c>
      <c r="G13" t="s">
        <v>2269</v>
      </c>
    </row>
    <row r="14" spans="1:16" x14ac:dyDescent="0.2">
      <c r="A14">
        <v>865</v>
      </c>
      <c r="B14" t="s">
        <v>2261</v>
      </c>
      <c r="C14" s="1">
        <v>25689</v>
      </c>
      <c r="D14" s="1">
        <v>46211</v>
      </c>
      <c r="E14" t="s">
        <v>1988</v>
      </c>
      <c r="G14" t="s">
        <v>2262</v>
      </c>
    </row>
    <row r="15" spans="1:16" x14ac:dyDescent="0.2">
      <c r="A15">
        <v>864</v>
      </c>
      <c r="B15" t="s">
        <v>2258</v>
      </c>
      <c r="C15" s="1">
        <v>25792</v>
      </c>
      <c r="D15" s="1">
        <v>46209</v>
      </c>
      <c r="E15" t="s">
        <v>2259</v>
      </c>
      <c r="G15" t="s">
        <v>2260</v>
      </c>
    </row>
    <row r="16" spans="1:16" x14ac:dyDescent="0.2">
      <c r="A16">
        <v>863</v>
      </c>
      <c r="B16" t="s">
        <v>2254</v>
      </c>
      <c r="C16" s="1">
        <v>18475</v>
      </c>
      <c r="D16" s="1">
        <v>46206</v>
      </c>
      <c r="E16" t="s">
        <v>2255</v>
      </c>
      <c r="G16" t="s">
        <v>2256</v>
      </c>
    </row>
    <row r="17" spans="1:7" x14ac:dyDescent="0.2">
      <c r="A17">
        <v>866</v>
      </c>
      <c r="B17" t="s">
        <v>2263</v>
      </c>
      <c r="C17" s="1">
        <v>28737</v>
      </c>
      <c r="D17" s="1">
        <v>46206</v>
      </c>
      <c r="E17" t="s">
        <v>2086</v>
      </c>
      <c r="G17" t="s">
        <v>2264</v>
      </c>
    </row>
    <row r="18" spans="1:7" x14ac:dyDescent="0.2">
      <c r="A18">
        <v>861</v>
      </c>
      <c r="B18" t="s">
        <v>2250</v>
      </c>
      <c r="C18" s="1">
        <v>20663</v>
      </c>
      <c r="D18" s="1">
        <v>46202</v>
      </c>
      <c r="E18" t="s">
        <v>2251</v>
      </c>
      <c r="G18" t="s">
        <v>2252</v>
      </c>
    </row>
    <row r="19" spans="1:7" x14ac:dyDescent="0.2">
      <c r="A19">
        <v>862</v>
      </c>
      <c r="B19" t="s">
        <v>2253</v>
      </c>
      <c r="C19" s="1">
        <v>27696</v>
      </c>
      <c r="D19" s="1">
        <v>46202</v>
      </c>
      <c r="E19" t="s">
        <v>1119</v>
      </c>
    </row>
    <row r="20" spans="1:7" x14ac:dyDescent="0.2">
      <c r="A20">
        <v>859</v>
      </c>
      <c r="B20" t="s">
        <v>2247</v>
      </c>
      <c r="C20" s="1">
        <v>33610</v>
      </c>
      <c r="D20" s="1">
        <v>46199</v>
      </c>
      <c r="E20" t="s">
        <v>387</v>
      </c>
      <c r="G20" t="s">
        <v>2204</v>
      </c>
    </row>
    <row r="21" spans="1:7" x14ac:dyDescent="0.2">
      <c r="A21">
        <v>860</v>
      </c>
      <c r="B21" t="s">
        <v>1170</v>
      </c>
      <c r="C21" s="1">
        <v>25024</v>
      </c>
      <c r="D21" s="1">
        <v>46199</v>
      </c>
      <c r="E21" t="s">
        <v>2248</v>
      </c>
      <c r="G21" t="s">
        <v>2249</v>
      </c>
    </row>
    <row r="22" spans="1:7" x14ac:dyDescent="0.2">
      <c r="A22">
        <v>858</v>
      </c>
      <c r="B22" t="s">
        <v>2245</v>
      </c>
      <c r="C22" s="1">
        <v>37204</v>
      </c>
      <c r="D22" s="1">
        <v>46197</v>
      </c>
      <c r="E22" t="s">
        <v>387</v>
      </c>
      <c r="G22" t="s">
        <v>2246</v>
      </c>
    </row>
    <row r="23" spans="1:7" x14ac:dyDescent="0.2">
      <c r="A23">
        <v>857</v>
      </c>
      <c r="B23" t="s">
        <v>2242</v>
      </c>
      <c r="C23" s="1">
        <v>23242</v>
      </c>
      <c r="D23" s="1">
        <v>46195</v>
      </c>
      <c r="E23" t="s">
        <v>2243</v>
      </c>
      <c r="G23" t="s">
        <v>2244</v>
      </c>
    </row>
    <row r="24" spans="1:7" x14ac:dyDescent="0.2">
      <c r="A24">
        <v>853</v>
      </c>
      <c r="B24" t="s">
        <v>2233</v>
      </c>
      <c r="C24" s="1">
        <v>24864</v>
      </c>
      <c r="D24" s="1">
        <v>46192</v>
      </c>
      <c r="E24" t="s">
        <v>2234</v>
      </c>
      <c r="G24" t="s">
        <v>2235</v>
      </c>
    </row>
    <row r="25" spans="1:7" x14ac:dyDescent="0.2">
      <c r="A25">
        <v>854</v>
      </c>
      <c r="B25" t="s">
        <v>2236</v>
      </c>
      <c r="C25" s="1">
        <v>24971</v>
      </c>
      <c r="D25" s="1">
        <v>46192</v>
      </c>
      <c r="E25" t="s">
        <v>2154</v>
      </c>
      <c r="G25" t="s">
        <v>2237</v>
      </c>
    </row>
    <row r="26" spans="1:7" x14ac:dyDescent="0.2">
      <c r="A26">
        <v>855</v>
      </c>
      <c r="B26" t="s">
        <v>2238</v>
      </c>
      <c r="C26" s="1">
        <v>29551</v>
      </c>
      <c r="D26" s="1">
        <v>46192</v>
      </c>
      <c r="E26" t="s">
        <v>2086</v>
      </c>
      <c r="G26" t="s">
        <v>2239</v>
      </c>
    </row>
    <row r="27" spans="1:7" x14ac:dyDescent="0.2">
      <c r="A27">
        <v>856</v>
      </c>
      <c r="B27" t="s">
        <v>2240</v>
      </c>
      <c r="C27" s="1">
        <v>33493</v>
      </c>
      <c r="D27" s="1">
        <v>46192</v>
      </c>
      <c r="E27" t="s">
        <v>2086</v>
      </c>
      <c r="G27" t="s">
        <v>2241</v>
      </c>
    </row>
    <row r="28" spans="1:7" x14ac:dyDescent="0.2">
      <c r="A28">
        <v>852</v>
      </c>
      <c r="B28" t="s">
        <v>2231</v>
      </c>
      <c r="C28" s="1">
        <v>23881</v>
      </c>
      <c r="D28" s="1">
        <v>46188</v>
      </c>
      <c r="E28" t="s">
        <v>2232</v>
      </c>
      <c r="G28" t="s">
        <v>1673</v>
      </c>
    </row>
    <row r="29" spans="1:7" x14ac:dyDescent="0.2">
      <c r="A29">
        <v>849</v>
      </c>
      <c r="B29" t="s">
        <v>2225</v>
      </c>
      <c r="C29" s="1">
        <v>41536</v>
      </c>
      <c r="D29" s="1">
        <v>46185</v>
      </c>
      <c r="E29" t="s">
        <v>2226</v>
      </c>
      <c r="G29" t="s">
        <v>1673</v>
      </c>
    </row>
    <row r="30" spans="1:7" x14ac:dyDescent="0.2">
      <c r="A30">
        <v>850</v>
      </c>
      <c r="B30" t="s">
        <v>2227</v>
      </c>
      <c r="C30" s="1">
        <v>36591</v>
      </c>
      <c r="D30" s="1">
        <v>46185</v>
      </c>
      <c r="E30" t="s">
        <v>2228</v>
      </c>
      <c r="G30" t="s">
        <v>1673</v>
      </c>
    </row>
    <row r="31" spans="1:7" x14ac:dyDescent="0.2">
      <c r="A31">
        <v>851</v>
      </c>
      <c r="B31" t="s">
        <v>2229</v>
      </c>
      <c r="C31" s="1">
        <v>23332</v>
      </c>
      <c r="D31" s="1">
        <v>46185</v>
      </c>
      <c r="E31" t="s">
        <v>1174</v>
      </c>
      <c r="G31" t="s">
        <v>1673</v>
      </c>
    </row>
    <row r="32" spans="1:7" x14ac:dyDescent="0.2">
      <c r="A32">
        <v>848</v>
      </c>
      <c r="B32" t="s">
        <v>2223</v>
      </c>
      <c r="C32" s="1">
        <v>21782</v>
      </c>
      <c r="D32" s="1">
        <v>46183</v>
      </c>
      <c r="E32" t="s">
        <v>1224</v>
      </c>
      <c r="G32" t="s">
        <v>2224</v>
      </c>
    </row>
    <row r="33" spans="1:7" x14ac:dyDescent="0.2">
      <c r="A33">
        <v>846</v>
      </c>
      <c r="B33" t="s">
        <v>2217</v>
      </c>
      <c r="C33" s="1">
        <v>20199</v>
      </c>
      <c r="D33" s="1">
        <v>46181</v>
      </c>
      <c r="E33" t="s">
        <v>73</v>
      </c>
      <c r="G33" t="s">
        <v>2218</v>
      </c>
    </row>
    <row r="34" spans="1:7" x14ac:dyDescent="0.2">
      <c r="A34">
        <v>847</v>
      </c>
      <c r="B34" t="s">
        <v>2219</v>
      </c>
      <c r="C34" s="1">
        <v>25243</v>
      </c>
      <c r="D34" s="1">
        <v>46181</v>
      </c>
      <c r="E34" t="s">
        <v>2220</v>
      </c>
      <c r="G34" t="s">
        <v>2221</v>
      </c>
    </row>
    <row r="35" spans="1:7" x14ac:dyDescent="0.2">
      <c r="A35">
        <v>845</v>
      </c>
      <c r="B35" t="s">
        <v>2214</v>
      </c>
      <c r="C35" s="1">
        <v>24657</v>
      </c>
      <c r="D35" s="1">
        <v>46176</v>
      </c>
      <c r="E35" t="s">
        <v>2215</v>
      </c>
      <c r="G35" t="s">
        <v>2216</v>
      </c>
    </row>
    <row r="36" spans="1:7" x14ac:dyDescent="0.2">
      <c r="A36">
        <v>842</v>
      </c>
      <c r="B36" t="s">
        <v>2208</v>
      </c>
      <c r="C36" s="1">
        <v>21408</v>
      </c>
      <c r="D36" s="1">
        <v>46171</v>
      </c>
      <c r="E36" t="s">
        <v>1224</v>
      </c>
      <c r="G36" t="s">
        <v>2209</v>
      </c>
    </row>
    <row r="37" spans="1:7" x14ac:dyDescent="0.2">
      <c r="A37">
        <v>843</v>
      </c>
      <c r="B37" t="s">
        <v>2210</v>
      </c>
      <c r="C37" s="1">
        <v>33477</v>
      </c>
      <c r="D37" s="1">
        <v>46171</v>
      </c>
      <c r="E37" t="s">
        <v>2086</v>
      </c>
      <c r="G37" t="s">
        <v>2211</v>
      </c>
    </row>
    <row r="38" spans="1:7" x14ac:dyDescent="0.2">
      <c r="A38">
        <v>841</v>
      </c>
      <c r="B38" t="s">
        <v>2206</v>
      </c>
      <c r="C38" s="1">
        <v>42946</v>
      </c>
      <c r="D38" s="1">
        <v>46169</v>
      </c>
      <c r="E38" t="s">
        <v>1174</v>
      </c>
      <c r="G38" t="s">
        <v>2207</v>
      </c>
    </row>
    <row r="39" spans="1:7" x14ac:dyDescent="0.2">
      <c r="A39">
        <v>844</v>
      </c>
      <c r="B39" t="s">
        <v>2212</v>
      </c>
      <c r="C39" s="1">
        <v>35180</v>
      </c>
      <c r="D39" s="1">
        <v>46169</v>
      </c>
      <c r="E39" t="s">
        <v>2086</v>
      </c>
      <c r="G39" t="s">
        <v>2213</v>
      </c>
    </row>
    <row r="40" spans="1:7" x14ac:dyDescent="0.2">
      <c r="A40">
        <v>838</v>
      </c>
      <c r="B40" t="s">
        <v>2200</v>
      </c>
      <c r="C40" s="1">
        <v>39648</v>
      </c>
      <c r="D40" s="1">
        <v>46164</v>
      </c>
      <c r="E40" t="s">
        <v>2201</v>
      </c>
      <c r="G40" t="s">
        <v>2202</v>
      </c>
    </row>
    <row r="41" spans="1:7" x14ac:dyDescent="0.2">
      <c r="A41">
        <v>839</v>
      </c>
      <c r="B41" t="s">
        <v>2203</v>
      </c>
      <c r="C41" s="1">
        <v>32585</v>
      </c>
      <c r="D41" s="1">
        <v>46164</v>
      </c>
      <c r="E41" t="s">
        <v>1174</v>
      </c>
      <c r="G41" t="s">
        <v>2204</v>
      </c>
    </row>
    <row r="42" spans="1:7" x14ac:dyDescent="0.2">
      <c r="A42">
        <v>836</v>
      </c>
      <c r="B42" t="s">
        <v>2198</v>
      </c>
      <c r="C42" s="1">
        <v>28098</v>
      </c>
      <c r="D42" s="1">
        <v>46160</v>
      </c>
      <c r="E42" t="s">
        <v>2167</v>
      </c>
      <c r="G42" t="s">
        <v>1673</v>
      </c>
    </row>
    <row r="43" spans="1:7" x14ac:dyDescent="0.2">
      <c r="A43">
        <v>835</v>
      </c>
      <c r="B43" t="s">
        <v>2196</v>
      </c>
      <c r="C43" s="1">
        <v>33593</v>
      </c>
      <c r="D43" s="1">
        <v>46157</v>
      </c>
      <c r="E43" t="s">
        <v>447</v>
      </c>
      <c r="G43" t="s">
        <v>2197</v>
      </c>
    </row>
    <row r="44" spans="1:7" x14ac:dyDescent="0.2">
      <c r="A44">
        <v>837</v>
      </c>
      <c r="B44" t="s">
        <v>2199</v>
      </c>
      <c r="C44" s="1">
        <v>23548</v>
      </c>
      <c r="D44" s="1">
        <v>46155</v>
      </c>
      <c r="E44" t="s">
        <v>972</v>
      </c>
      <c r="G44" t="s">
        <v>1673</v>
      </c>
    </row>
    <row r="45" spans="1:7" x14ac:dyDescent="0.2">
      <c r="A45">
        <v>833</v>
      </c>
      <c r="B45" t="s">
        <v>2192</v>
      </c>
      <c r="C45" s="1">
        <v>23285</v>
      </c>
      <c r="D45" s="1">
        <v>46153</v>
      </c>
      <c r="E45" t="s">
        <v>1609</v>
      </c>
      <c r="G45" t="s">
        <v>2193</v>
      </c>
    </row>
    <row r="46" spans="1:7" x14ac:dyDescent="0.2">
      <c r="A46">
        <v>834</v>
      </c>
      <c r="B46" t="s">
        <v>2194</v>
      </c>
      <c r="C46" s="1">
        <v>29830</v>
      </c>
      <c r="D46" s="1">
        <v>46153</v>
      </c>
      <c r="E46" t="s">
        <v>377</v>
      </c>
      <c r="G46" t="s">
        <v>1673</v>
      </c>
    </row>
    <row r="47" spans="1:7" x14ac:dyDescent="0.2">
      <c r="A47">
        <v>830</v>
      </c>
      <c r="B47" t="s">
        <v>2184</v>
      </c>
      <c r="C47" s="1">
        <v>33750</v>
      </c>
      <c r="D47" s="1">
        <v>46150</v>
      </c>
      <c r="E47" t="s">
        <v>73</v>
      </c>
      <c r="G47" t="s">
        <v>2185</v>
      </c>
    </row>
    <row r="48" spans="1:7" x14ac:dyDescent="0.2">
      <c r="A48">
        <v>831</v>
      </c>
      <c r="B48" t="s">
        <v>2186</v>
      </c>
      <c r="C48" s="1">
        <v>23599</v>
      </c>
      <c r="D48" s="1">
        <v>46150</v>
      </c>
      <c r="E48" t="s">
        <v>2187</v>
      </c>
      <c r="G48" t="s">
        <v>2188</v>
      </c>
    </row>
    <row r="49" spans="1:7" x14ac:dyDescent="0.2">
      <c r="A49">
        <v>832</v>
      </c>
      <c r="B49" t="s">
        <v>2189</v>
      </c>
      <c r="C49" s="1">
        <v>27255</v>
      </c>
      <c r="D49" s="1">
        <v>46150</v>
      </c>
      <c r="E49" t="s">
        <v>2190</v>
      </c>
      <c r="G49" t="s">
        <v>2191</v>
      </c>
    </row>
    <row r="50" spans="1:7" x14ac:dyDescent="0.2">
      <c r="A50">
        <v>829</v>
      </c>
      <c r="B50" t="s">
        <v>2182</v>
      </c>
      <c r="C50" s="1">
        <v>25359</v>
      </c>
      <c r="D50" s="1">
        <v>46147</v>
      </c>
      <c r="E50" t="s">
        <v>1637</v>
      </c>
      <c r="G50" t="s">
        <v>2183</v>
      </c>
    </row>
    <row r="51" spans="1:7" x14ac:dyDescent="0.2">
      <c r="A51">
        <v>826</v>
      </c>
      <c r="B51" t="s">
        <v>2175</v>
      </c>
      <c r="C51" s="1">
        <v>37453</v>
      </c>
      <c r="D51" s="1">
        <v>46141</v>
      </c>
      <c r="E51" t="s">
        <v>387</v>
      </c>
      <c r="G51" t="s">
        <v>2176</v>
      </c>
    </row>
    <row r="52" spans="1:7" x14ac:dyDescent="0.2">
      <c r="A52">
        <v>827</v>
      </c>
      <c r="B52" t="s">
        <v>2177</v>
      </c>
      <c r="C52" s="1">
        <v>31973</v>
      </c>
      <c r="D52" s="1">
        <v>46139</v>
      </c>
      <c r="E52" t="s">
        <v>387</v>
      </c>
      <c r="G52" t="s">
        <v>2178</v>
      </c>
    </row>
    <row r="53" spans="1:7" x14ac:dyDescent="0.2">
      <c r="A53">
        <v>828</v>
      </c>
      <c r="B53" t="s">
        <v>2179</v>
      </c>
      <c r="C53" s="1">
        <v>35059</v>
      </c>
      <c r="D53" s="1">
        <v>46139</v>
      </c>
      <c r="E53" t="s">
        <v>2180</v>
      </c>
      <c r="G53" t="s">
        <v>2181</v>
      </c>
    </row>
    <row r="54" spans="1:7" x14ac:dyDescent="0.2">
      <c r="A54">
        <v>824</v>
      </c>
      <c r="B54" t="s">
        <v>2171</v>
      </c>
      <c r="C54" s="1">
        <v>27884</v>
      </c>
      <c r="D54" s="1">
        <v>46138</v>
      </c>
      <c r="E54" t="s">
        <v>1224</v>
      </c>
      <c r="F54" s="1">
        <v>46226</v>
      </c>
      <c r="G54" t="s">
        <v>2172</v>
      </c>
    </row>
    <row r="55" spans="1:7" x14ac:dyDescent="0.2">
      <c r="A55">
        <v>825</v>
      </c>
      <c r="B55" t="s">
        <v>2173</v>
      </c>
      <c r="C55" s="1">
        <v>36029</v>
      </c>
      <c r="D55" s="1">
        <v>46138</v>
      </c>
      <c r="E55" t="s">
        <v>387</v>
      </c>
      <c r="G55" t="s">
        <v>2174</v>
      </c>
    </row>
    <row r="56" spans="1:7" x14ac:dyDescent="0.2">
      <c r="A56">
        <v>822</v>
      </c>
      <c r="B56" t="s">
        <v>2163</v>
      </c>
      <c r="C56" s="1">
        <v>22361</v>
      </c>
      <c r="D56" s="1">
        <v>46132</v>
      </c>
      <c r="E56" t="s">
        <v>2164</v>
      </c>
      <c r="G56" t="s">
        <v>2165</v>
      </c>
    </row>
    <row r="57" spans="1:7" x14ac:dyDescent="0.2">
      <c r="A57">
        <v>823</v>
      </c>
      <c r="B57" t="s">
        <v>2166</v>
      </c>
      <c r="C57" s="1">
        <v>23508</v>
      </c>
      <c r="D57" s="1">
        <v>46132</v>
      </c>
      <c r="E57" t="s">
        <v>2167</v>
      </c>
      <c r="G57" t="s">
        <v>1673</v>
      </c>
    </row>
    <row r="58" spans="1:7" x14ac:dyDescent="0.2">
      <c r="A58">
        <v>819</v>
      </c>
      <c r="B58" t="s">
        <v>2160</v>
      </c>
      <c r="C58" s="1">
        <v>17083</v>
      </c>
      <c r="D58" s="1">
        <v>46129</v>
      </c>
      <c r="E58" t="s">
        <v>5</v>
      </c>
      <c r="G58" t="s">
        <v>2170</v>
      </c>
    </row>
    <row r="59" spans="1:7" x14ac:dyDescent="0.2">
      <c r="A59">
        <v>820</v>
      </c>
      <c r="B59" t="s">
        <v>2161</v>
      </c>
      <c r="C59" s="1">
        <v>26392</v>
      </c>
      <c r="D59" s="1">
        <v>46129</v>
      </c>
      <c r="E59" t="s">
        <v>2086</v>
      </c>
      <c r="G59" t="s">
        <v>1673</v>
      </c>
    </row>
    <row r="60" spans="1:7" x14ac:dyDescent="0.2">
      <c r="A60">
        <v>821</v>
      </c>
      <c r="B60" t="s">
        <v>2162</v>
      </c>
      <c r="C60" s="1">
        <v>33009</v>
      </c>
      <c r="D60" s="1">
        <v>46129</v>
      </c>
      <c r="E60" t="s">
        <v>387</v>
      </c>
      <c r="G60" t="s">
        <v>1673</v>
      </c>
    </row>
    <row r="61" spans="1:7" x14ac:dyDescent="0.2">
      <c r="A61">
        <v>817</v>
      </c>
      <c r="B61" t="s">
        <v>2156</v>
      </c>
      <c r="C61" s="1">
        <v>29839</v>
      </c>
      <c r="D61" s="1">
        <v>46127</v>
      </c>
      <c r="E61" t="s">
        <v>2157</v>
      </c>
      <c r="G61" t="s">
        <v>1673</v>
      </c>
    </row>
    <row r="62" spans="1:7" x14ac:dyDescent="0.2">
      <c r="A62">
        <v>818</v>
      </c>
      <c r="B62" t="s">
        <v>2158</v>
      </c>
      <c r="C62" s="1">
        <v>25544</v>
      </c>
      <c r="D62" s="1">
        <v>46127</v>
      </c>
      <c r="E62" t="s">
        <v>1224</v>
      </c>
      <c r="G62" t="s">
        <v>2159</v>
      </c>
    </row>
    <row r="63" spans="1:7" x14ac:dyDescent="0.2">
      <c r="A63">
        <v>814</v>
      </c>
      <c r="B63" t="s">
        <v>2148</v>
      </c>
      <c r="C63" s="1">
        <v>28500</v>
      </c>
      <c r="D63" s="1">
        <v>46125</v>
      </c>
      <c r="E63" t="s">
        <v>1257</v>
      </c>
      <c r="G63" t="s">
        <v>2149</v>
      </c>
    </row>
    <row r="64" spans="1:7" x14ac:dyDescent="0.2">
      <c r="A64">
        <v>815</v>
      </c>
      <c r="B64" t="s">
        <v>2150</v>
      </c>
      <c r="C64" s="1">
        <v>19971</v>
      </c>
      <c r="D64" s="1">
        <v>46125</v>
      </c>
      <c r="E64" t="s">
        <v>2151</v>
      </c>
      <c r="G64" t="s">
        <v>2152</v>
      </c>
    </row>
    <row r="65" spans="1:7" x14ac:dyDescent="0.2">
      <c r="A65">
        <v>816</v>
      </c>
      <c r="B65" t="s">
        <v>2153</v>
      </c>
      <c r="C65" s="1">
        <v>26207</v>
      </c>
      <c r="D65" s="1">
        <v>46125</v>
      </c>
      <c r="E65" t="s">
        <v>2154</v>
      </c>
      <c r="G65" t="s">
        <v>2155</v>
      </c>
    </row>
    <row r="66" spans="1:7" x14ac:dyDescent="0.2">
      <c r="A66">
        <v>813</v>
      </c>
      <c r="B66" t="s">
        <v>2146</v>
      </c>
      <c r="C66" s="1">
        <v>29267</v>
      </c>
      <c r="D66" s="1">
        <v>46122</v>
      </c>
      <c r="E66" t="s">
        <v>1988</v>
      </c>
      <c r="G66" t="s">
        <v>2147</v>
      </c>
    </row>
    <row r="67" spans="1:7" x14ac:dyDescent="0.2">
      <c r="A67">
        <v>811</v>
      </c>
      <c r="B67" t="s">
        <v>2141</v>
      </c>
      <c r="C67" s="1">
        <v>22831</v>
      </c>
      <c r="D67" s="1">
        <v>46120</v>
      </c>
      <c r="E67" t="s">
        <v>1174</v>
      </c>
      <c r="G67" t="s">
        <v>2142</v>
      </c>
    </row>
    <row r="68" spans="1:7" x14ac:dyDescent="0.2">
      <c r="A68">
        <v>812</v>
      </c>
      <c r="B68" t="s">
        <v>2143</v>
      </c>
      <c r="C68" s="1">
        <v>23751</v>
      </c>
      <c r="D68" s="1">
        <v>46120</v>
      </c>
      <c r="E68" t="s">
        <v>2144</v>
      </c>
      <c r="G68" t="s">
        <v>2145</v>
      </c>
    </row>
    <row r="69" spans="1:7" x14ac:dyDescent="0.2">
      <c r="A69">
        <v>809</v>
      </c>
      <c r="B69" t="s">
        <v>2137</v>
      </c>
      <c r="C69" s="1">
        <v>25689</v>
      </c>
      <c r="D69" s="1">
        <v>46112</v>
      </c>
      <c r="E69" t="s">
        <v>1988</v>
      </c>
      <c r="G69" t="s">
        <v>2138</v>
      </c>
    </row>
    <row r="70" spans="1:7" x14ac:dyDescent="0.2">
      <c r="A70">
        <v>810</v>
      </c>
      <c r="B70" t="s">
        <v>2139</v>
      </c>
      <c r="C70" s="1">
        <v>34183</v>
      </c>
      <c r="D70" s="1">
        <v>46112</v>
      </c>
      <c r="E70" t="s">
        <v>1988</v>
      </c>
      <c r="F70" s="1">
        <v>46211</v>
      </c>
      <c r="G70" t="s">
        <v>2140</v>
      </c>
    </row>
    <row r="71" spans="1:7" x14ac:dyDescent="0.2">
      <c r="A71">
        <v>807</v>
      </c>
      <c r="B71" t="s">
        <v>2133</v>
      </c>
      <c r="C71" s="1">
        <v>32920</v>
      </c>
      <c r="D71" s="1">
        <v>46108</v>
      </c>
      <c r="E71" t="s">
        <v>2086</v>
      </c>
      <c r="G71" t="s">
        <v>2135</v>
      </c>
    </row>
    <row r="72" spans="1:7" x14ac:dyDescent="0.2">
      <c r="A72">
        <v>808</v>
      </c>
      <c r="B72" t="s">
        <v>2134</v>
      </c>
      <c r="C72" s="1">
        <v>34892</v>
      </c>
      <c r="D72" s="1">
        <v>46108</v>
      </c>
      <c r="E72" t="s">
        <v>1174</v>
      </c>
      <c r="G72" t="s">
        <v>2136</v>
      </c>
    </row>
    <row r="73" spans="1:7" x14ac:dyDescent="0.2">
      <c r="A73">
        <v>806</v>
      </c>
      <c r="B73" t="s">
        <v>2131</v>
      </c>
      <c r="C73" s="1">
        <v>27275</v>
      </c>
      <c r="D73" s="1">
        <v>46106</v>
      </c>
      <c r="E73" t="s">
        <v>1988</v>
      </c>
      <c r="G73" t="s">
        <v>2132</v>
      </c>
    </row>
    <row r="74" spans="1:7" x14ac:dyDescent="0.2">
      <c r="A74">
        <v>804</v>
      </c>
      <c r="B74" t="s">
        <v>2127</v>
      </c>
      <c r="C74" s="1">
        <v>40123</v>
      </c>
      <c r="D74" s="1">
        <v>46104</v>
      </c>
      <c r="E74" t="s">
        <v>972</v>
      </c>
      <c r="G74" t="s">
        <v>1654</v>
      </c>
    </row>
    <row r="75" spans="1:7" x14ac:dyDescent="0.2">
      <c r="A75">
        <v>805</v>
      </c>
      <c r="B75" t="s">
        <v>2128</v>
      </c>
      <c r="C75" s="1">
        <v>40259</v>
      </c>
      <c r="D75" s="1">
        <v>46104</v>
      </c>
      <c r="E75" t="s">
        <v>377</v>
      </c>
      <c r="G75" t="s">
        <v>2129</v>
      </c>
    </row>
    <row r="76" spans="1:7" x14ac:dyDescent="0.2">
      <c r="A76">
        <v>802</v>
      </c>
      <c r="B76" t="s">
        <v>2123</v>
      </c>
      <c r="C76" s="1">
        <v>24253</v>
      </c>
      <c r="D76" s="1">
        <v>46101</v>
      </c>
      <c r="E76" t="s">
        <v>2124</v>
      </c>
      <c r="G76" t="s">
        <v>2130</v>
      </c>
    </row>
    <row r="77" spans="1:7" x14ac:dyDescent="0.2">
      <c r="A77">
        <v>803</v>
      </c>
      <c r="B77" t="s">
        <v>2125</v>
      </c>
      <c r="C77" s="1">
        <v>27485</v>
      </c>
      <c r="D77" s="1">
        <v>46101</v>
      </c>
      <c r="E77" t="s">
        <v>2126</v>
      </c>
      <c r="F77" s="1">
        <v>46195</v>
      </c>
      <c r="G77" t="s">
        <v>1714</v>
      </c>
    </row>
    <row r="78" spans="1:7" x14ac:dyDescent="0.2">
      <c r="A78">
        <v>798</v>
      </c>
      <c r="B78" t="s">
        <v>2114</v>
      </c>
      <c r="C78" s="1">
        <v>27368</v>
      </c>
      <c r="D78" s="1">
        <v>46097</v>
      </c>
      <c r="E78" t="s">
        <v>2115</v>
      </c>
      <c r="F78" s="1">
        <v>46195</v>
      </c>
      <c r="G78" t="s">
        <v>2116</v>
      </c>
    </row>
    <row r="79" spans="1:7" x14ac:dyDescent="0.2">
      <c r="A79">
        <v>799</v>
      </c>
      <c r="B79" t="s">
        <v>2117</v>
      </c>
      <c r="C79" s="1">
        <v>19324</v>
      </c>
      <c r="D79" s="1">
        <v>46097</v>
      </c>
      <c r="E79" t="s">
        <v>2118</v>
      </c>
      <c r="G79" t="s">
        <v>2119</v>
      </c>
    </row>
    <row r="80" spans="1:7" x14ac:dyDescent="0.2">
      <c r="A80">
        <v>795</v>
      </c>
      <c r="B80" t="s">
        <v>2106</v>
      </c>
      <c r="C80" s="1">
        <v>28435</v>
      </c>
      <c r="D80" s="1">
        <v>46080</v>
      </c>
      <c r="E80" t="s">
        <v>2107</v>
      </c>
      <c r="G80" t="s">
        <v>2108</v>
      </c>
    </row>
    <row r="81" spans="1:7" x14ac:dyDescent="0.2">
      <c r="A81">
        <v>797</v>
      </c>
      <c r="B81" t="s">
        <v>2111</v>
      </c>
      <c r="C81" s="1">
        <v>23888</v>
      </c>
      <c r="D81" s="1">
        <v>46080</v>
      </c>
      <c r="E81" t="s">
        <v>2112</v>
      </c>
      <c r="G81" t="s">
        <v>2113</v>
      </c>
    </row>
    <row r="82" spans="1:7" x14ac:dyDescent="0.2">
      <c r="A82">
        <v>794</v>
      </c>
      <c r="B82" t="s">
        <v>2104</v>
      </c>
      <c r="C82" s="1">
        <v>27712</v>
      </c>
      <c r="D82" s="1">
        <v>46078</v>
      </c>
      <c r="E82" t="s">
        <v>1224</v>
      </c>
      <c r="F82" s="1">
        <v>46174</v>
      </c>
      <c r="G82" t="s">
        <v>2105</v>
      </c>
    </row>
    <row r="83" spans="1:7" x14ac:dyDescent="0.2">
      <c r="A83">
        <v>791</v>
      </c>
      <c r="B83" t="s">
        <v>2096</v>
      </c>
      <c r="C83" s="1">
        <v>20726</v>
      </c>
      <c r="D83" s="1">
        <v>46073</v>
      </c>
      <c r="E83" t="s">
        <v>2097</v>
      </c>
      <c r="G83" t="s">
        <v>2098</v>
      </c>
    </row>
    <row r="84" spans="1:7" x14ac:dyDescent="0.2">
      <c r="A84">
        <v>792</v>
      </c>
      <c r="B84" t="s">
        <v>2099</v>
      </c>
      <c r="C84" s="1">
        <v>25420</v>
      </c>
      <c r="D84" s="1">
        <v>46073</v>
      </c>
      <c r="E84" t="s">
        <v>2100</v>
      </c>
      <c r="G84" t="s">
        <v>2101</v>
      </c>
    </row>
    <row r="85" spans="1:7" x14ac:dyDescent="0.2">
      <c r="A85">
        <v>793</v>
      </c>
      <c r="B85" t="s">
        <v>2102</v>
      </c>
      <c r="C85" s="1">
        <v>34975</v>
      </c>
      <c r="D85" s="1">
        <v>46073</v>
      </c>
      <c r="E85" t="s">
        <v>2103</v>
      </c>
      <c r="G85" t="s">
        <v>1673</v>
      </c>
    </row>
    <row r="86" spans="1:7" x14ac:dyDescent="0.2">
      <c r="A86">
        <v>790</v>
      </c>
      <c r="B86" t="s">
        <v>2094</v>
      </c>
      <c r="C86" s="1">
        <v>25961</v>
      </c>
      <c r="D86" s="1">
        <v>46071</v>
      </c>
      <c r="E86" t="s">
        <v>1224</v>
      </c>
      <c r="F86" s="1">
        <v>46162</v>
      </c>
      <c r="G86" t="s">
        <v>2095</v>
      </c>
    </row>
    <row r="87" spans="1:7" x14ac:dyDescent="0.2">
      <c r="A87">
        <v>788</v>
      </c>
      <c r="B87" t="s">
        <v>2089</v>
      </c>
      <c r="C87" s="1">
        <v>32282</v>
      </c>
      <c r="D87" s="1">
        <v>46069</v>
      </c>
      <c r="E87" t="s">
        <v>2090</v>
      </c>
      <c r="G87" t="s">
        <v>2091</v>
      </c>
    </row>
    <row r="88" spans="1:7" x14ac:dyDescent="0.2">
      <c r="A88">
        <v>789</v>
      </c>
      <c r="B88" t="s">
        <v>2092</v>
      </c>
      <c r="C88" s="1">
        <v>28372</v>
      </c>
      <c r="D88" s="1">
        <v>46069</v>
      </c>
      <c r="E88" t="s">
        <v>209</v>
      </c>
      <c r="G88" t="s">
        <v>2093</v>
      </c>
    </row>
    <row r="89" spans="1:7" x14ac:dyDescent="0.2">
      <c r="A89">
        <v>787</v>
      </c>
      <c r="B89" t="s">
        <v>2085</v>
      </c>
      <c r="C89" s="1">
        <v>22148</v>
      </c>
      <c r="D89" s="1">
        <v>46066</v>
      </c>
      <c r="E89" t="s">
        <v>2086</v>
      </c>
      <c r="G89" t="s">
        <v>2088</v>
      </c>
    </row>
    <row r="90" spans="1:7" x14ac:dyDescent="0.2">
      <c r="A90">
        <v>785</v>
      </c>
      <c r="B90" t="s">
        <v>2080</v>
      </c>
      <c r="C90" s="1">
        <v>43542</v>
      </c>
      <c r="D90" s="1">
        <v>46062</v>
      </c>
      <c r="E90" t="s">
        <v>972</v>
      </c>
      <c r="G90" t="s">
        <v>2081</v>
      </c>
    </row>
    <row r="91" spans="1:7" x14ac:dyDescent="0.2">
      <c r="A91">
        <v>786</v>
      </c>
      <c r="B91" t="s">
        <v>2082</v>
      </c>
      <c r="C91" s="1">
        <v>21854</v>
      </c>
      <c r="D91" s="1">
        <v>46062</v>
      </c>
      <c r="E91" t="s">
        <v>1467</v>
      </c>
      <c r="G91" t="s">
        <v>2083</v>
      </c>
    </row>
    <row r="92" spans="1:7" x14ac:dyDescent="0.2">
      <c r="A92">
        <v>784</v>
      </c>
      <c r="B92" t="s">
        <v>2078</v>
      </c>
      <c r="C92" s="1">
        <v>24157</v>
      </c>
      <c r="D92" s="1">
        <v>46059</v>
      </c>
      <c r="E92" t="s">
        <v>1609</v>
      </c>
      <c r="G92" t="s">
        <v>2079</v>
      </c>
    </row>
    <row r="93" spans="1:7" x14ac:dyDescent="0.2">
      <c r="A93">
        <v>783</v>
      </c>
      <c r="B93" t="s">
        <v>2075</v>
      </c>
      <c r="C93" s="1">
        <v>24141</v>
      </c>
      <c r="D93" s="1">
        <v>46057</v>
      </c>
      <c r="E93" t="s">
        <v>2076</v>
      </c>
      <c r="G93" t="s">
        <v>2077</v>
      </c>
    </row>
    <row r="94" spans="1:7" x14ac:dyDescent="0.2">
      <c r="A94">
        <v>782</v>
      </c>
      <c r="B94" t="s">
        <v>2072</v>
      </c>
      <c r="C94" s="1">
        <v>19824</v>
      </c>
      <c r="D94" s="1">
        <v>46055</v>
      </c>
      <c r="E94" t="s">
        <v>2073</v>
      </c>
      <c r="G94" t="s">
        <v>2074</v>
      </c>
    </row>
    <row r="95" spans="1:7" x14ac:dyDescent="0.2">
      <c r="A95">
        <v>873</v>
      </c>
      <c r="B95" t="s">
        <v>2281</v>
      </c>
      <c r="C95" s="1">
        <v>33476</v>
      </c>
      <c r="D95" s="1">
        <v>46050</v>
      </c>
      <c r="E95" t="s">
        <v>2282</v>
      </c>
      <c r="F95" s="1">
        <v>46227</v>
      </c>
    </row>
    <row r="96" spans="1:7" x14ac:dyDescent="0.2">
      <c r="A96">
        <v>780</v>
      </c>
      <c r="B96" t="s">
        <v>2062</v>
      </c>
      <c r="C96" s="1">
        <v>32880</v>
      </c>
      <c r="D96" s="1">
        <v>46048</v>
      </c>
      <c r="E96" t="s">
        <v>1453</v>
      </c>
      <c r="G96" t="s">
        <v>2061</v>
      </c>
    </row>
    <row r="97" spans="1:7" x14ac:dyDescent="0.2">
      <c r="A97">
        <v>781</v>
      </c>
      <c r="B97" t="s">
        <v>2063</v>
      </c>
      <c r="C97" s="1">
        <v>24925</v>
      </c>
      <c r="D97" s="1">
        <v>46048</v>
      </c>
      <c r="E97" t="s">
        <v>73</v>
      </c>
      <c r="G97" t="s">
        <v>2064</v>
      </c>
    </row>
    <row r="98" spans="1:7" x14ac:dyDescent="0.2">
      <c r="A98">
        <v>778</v>
      </c>
      <c r="B98" t="s">
        <v>2056</v>
      </c>
      <c r="C98" s="1">
        <v>37075</v>
      </c>
      <c r="D98" s="1">
        <v>46045</v>
      </c>
      <c r="E98" t="s">
        <v>1453</v>
      </c>
      <c r="G98" t="s">
        <v>2057</v>
      </c>
    </row>
    <row r="99" spans="1:7" x14ac:dyDescent="0.2">
      <c r="A99">
        <v>779</v>
      </c>
      <c r="B99" t="s">
        <v>2058</v>
      </c>
      <c r="C99" s="1">
        <v>28240</v>
      </c>
      <c r="D99" s="1">
        <v>46045</v>
      </c>
      <c r="E99" t="s">
        <v>2059</v>
      </c>
      <c r="G99" t="s">
        <v>2060</v>
      </c>
    </row>
    <row r="100" spans="1:7" x14ac:dyDescent="0.2">
      <c r="A100">
        <v>777</v>
      </c>
      <c r="B100" t="s">
        <v>2054</v>
      </c>
      <c r="C100" s="1">
        <v>25052</v>
      </c>
      <c r="D100" s="1">
        <v>46041</v>
      </c>
      <c r="E100" t="s">
        <v>1586</v>
      </c>
      <c r="G100" t="s">
        <v>2055</v>
      </c>
    </row>
    <row r="101" spans="1:7" x14ac:dyDescent="0.2">
      <c r="A101">
        <v>775</v>
      </c>
      <c r="B101" t="s">
        <v>2048</v>
      </c>
      <c r="C101" s="1">
        <v>46036</v>
      </c>
      <c r="D101" s="1">
        <v>46036</v>
      </c>
      <c r="E101" t="s">
        <v>2049</v>
      </c>
      <c r="G101" t="s">
        <v>2050</v>
      </c>
    </row>
    <row r="102" spans="1:7" x14ac:dyDescent="0.2">
      <c r="A102">
        <v>776</v>
      </c>
      <c r="B102" t="s">
        <v>2051</v>
      </c>
      <c r="C102" s="1">
        <v>23687</v>
      </c>
      <c r="D102" s="1">
        <v>46036</v>
      </c>
      <c r="E102" t="s">
        <v>2052</v>
      </c>
      <c r="G102" t="s">
        <v>2053</v>
      </c>
    </row>
    <row r="103" spans="1:7" x14ac:dyDescent="0.2">
      <c r="A103">
        <v>774</v>
      </c>
      <c r="B103" t="s">
        <v>2045</v>
      </c>
      <c r="C103" s="1">
        <v>40141</v>
      </c>
      <c r="D103" s="1">
        <v>46034</v>
      </c>
      <c r="E103" t="s">
        <v>2046</v>
      </c>
      <c r="G103" t="s">
        <v>2047</v>
      </c>
    </row>
    <row r="104" spans="1:7" x14ac:dyDescent="0.2">
      <c r="A104">
        <v>772</v>
      </c>
      <c r="B104" t="s">
        <v>2040</v>
      </c>
      <c r="C104" s="1">
        <v>20257</v>
      </c>
      <c r="D104" s="1">
        <v>46013</v>
      </c>
      <c r="E104" t="s">
        <v>2041</v>
      </c>
      <c r="G104" t="s">
        <v>2042</v>
      </c>
    </row>
    <row r="105" spans="1:7" x14ac:dyDescent="0.2">
      <c r="A105">
        <v>773</v>
      </c>
      <c r="B105" t="s">
        <v>2043</v>
      </c>
      <c r="C105" s="1">
        <v>35700</v>
      </c>
      <c r="D105" s="1">
        <v>46013</v>
      </c>
      <c r="E105" t="s">
        <v>1637</v>
      </c>
      <c r="G105" t="s">
        <v>2044</v>
      </c>
    </row>
    <row r="106" spans="1:7" x14ac:dyDescent="0.2">
      <c r="A106">
        <v>768</v>
      </c>
      <c r="B106" t="s">
        <v>2031</v>
      </c>
      <c r="C106" s="1">
        <v>28218</v>
      </c>
      <c r="D106" s="1">
        <v>46006</v>
      </c>
      <c r="E106" t="s">
        <v>73</v>
      </c>
      <c r="G106" t="s">
        <v>2032</v>
      </c>
    </row>
    <row r="107" spans="1:7" x14ac:dyDescent="0.2">
      <c r="A107">
        <v>769</v>
      </c>
      <c r="B107" t="s">
        <v>2033</v>
      </c>
      <c r="C107" s="1">
        <v>18197</v>
      </c>
      <c r="D107" s="1">
        <v>46006</v>
      </c>
      <c r="E107" t="s">
        <v>1582</v>
      </c>
      <c r="G107" t="s">
        <v>2034</v>
      </c>
    </row>
    <row r="108" spans="1:7" x14ac:dyDescent="0.2">
      <c r="A108">
        <v>770</v>
      </c>
      <c r="B108" t="s">
        <v>2035</v>
      </c>
      <c r="C108" s="1">
        <v>24624</v>
      </c>
      <c r="D108" s="1">
        <v>46006</v>
      </c>
      <c r="E108" t="s">
        <v>2036</v>
      </c>
      <c r="G108" t="s">
        <v>2037</v>
      </c>
    </row>
    <row r="109" spans="1:7" x14ac:dyDescent="0.2">
      <c r="A109">
        <v>771</v>
      </c>
      <c r="B109" t="s">
        <v>2038</v>
      </c>
      <c r="C109" s="1">
        <v>17431</v>
      </c>
      <c r="D109" s="1">
        <v>46006</v>
      </c>
      <c r="E109" t="s">
        <v>73</v>
      </c>
      <c r="G109" t="s">
        <v>2039</v>
      </c>
    </row>
    <row r="110" spans="1:7" x14ac:dyDescent="0.2">
      <c r="A110">
        <v>767</v>
      </c>
      <c r="B110" t="s">
        <v>2028</v>
      </c>
      <c r="C110" s="1">
        <v>24563</v>
      </c>
      <c r="D110" s="1">
        <v>45999</v>
      </c>
      <c r="E110" t="s">
        <v>447</v>
      </c>
      <c r="G110" t="s">
        <v>2030</v>
      </c>
    </row>
    <row r="111" spans="1:7" x14ac:dyDescent="0.2">
      <c r="A111">
        <v>796</v>
      </c>
      <c r="B111" t="s">
        <v>2021</v>
      </c>
      <c r="C111" s="1">
        <v>18726</v>
      </c>
      <c r="D111" s="1">
        <v>45994</v>
      </c>
      <c r="E111" t="s">
        <v>2109</v>
      </c>
      <c r="F111" s="1">
        <v>46080</v>
      </c>
      <c r="G111" t="s">
        <v>2110</v>
      </c>
    </row>
    <row r="112" spans="1:7" x14ac:dyDescent="0.2">
      <c r="A112">
        <v>752</v>
      </c>
      <c r="B112" t="s">
        <v>1970</v>
      </c>
      <c r="C112" s="1">
        <v>22234</v>
      </c>
      <c r="D112" s="1">
        <v>45992</v>
      </c>
      <c r="E112" t="s">
        <v>1971</v>
      </c>
      <c r="G112" t="s">
        <v>1972</v>
      </c>
    </row>
    <row r="113" spans="1:7" x14ac:dyDescent="0.2">
      <c r="A113">
        <v>766</v>
      </c>
      <c r="B113" t="s">
        <v>2003</v>
      </c>
      <c r="C113" s="1">
        <v>29936</v>
      </c>
      <c r="D113" s="1">
        <v>45989</v>
      </c>
      <c r="E113" t="s">
        <v>2004</v>
      </c>
      <c r="G113" t="s">
        <v>2029</v>
      </c>
    </row>
    <row r="114" spans="1:7" x14ac:dyDescent="0.2">
      <c r="A114">
        <v>763</v>
      </c>
      <c r="B114" t="s">
        <v>1998</v>
      </c>
      <c r="C114" s="1">
        <v>25767</v>
      </c>
      <c r="D114" s="1">
        <v>45982</v>
      </c>
      <c r="E114" t="s">
        <v>1707</v>
      </c>
      <c r="G114" t="s">
        <v>1673</v>
      </c>
    </row>
    <row r="115" spans="1:7" x14ac:dyDescent="0.2">
      <c r="A115">
        <v>764</v>
      </c>
      <c r="B115" t="s">
        <v>1999</v>
      </c>
      <c r="C115" s="1">
        <v>25555</v>
      </c>
      <c r="D115" s="1">
        <v>45982</v>
      </c>
      <c r="E115" t="s">
        <v>2000</v>
      </c>
      <c r="G115" t="s">
        <v>1673</v>
      </c>
    </row>
    <row r="116" spans="1:7" x14ac:dyDescent="0.2">
      <c r="A116">
        <v>765</v>
      </c>
      <c r="B116" t="s">
        <v>2001</v>
      </c>
      <c r="C116" s="1">
        <v>23735</v>
      </c>
      <c r="D116" s="1">
        <v>45982</v>
      </c>
      <c r="E116" t="s">
        <v>1637</v>
      </c>
      <c r="G116" t="s">
        <v>2002</v>
      </c>
    </row>
    <row r="117" spans="1:7" x14ac:dyDescent="0.2">
      <c r="A117">
        <v>762</v>
      </c>
      <c r="B117" t="s">
        <v>1996</v>
      </c>
      <c r="C117" s="1">
        <v>23397</v>
      </c>
      <c r="D117" s="1">
        <v>45978</v>
      </c>
      <c r="E117" t="s">
        <v>1988</v>
      </c>
      <c r="F117" s="1">
        <v>46064</v>
      </c>
      <c r="G117" t="s">
        <v>1997</v>
      </c>
    </row>
    <row r="118" spans="1:7" x14ac:dyDescent="0.2">
      <c r="A118">
        <v>760</v>
      </c>
      <c r="B118" t="s">
        <v>1990</v>
      </c>
      <c r="C118" s="1">
        <v>25676</v>
      </c>
      <c r="D118" s="1">
        <v>45971</v>
      </c>
      <c r="E118" t="s">
        <v>1991</v>
      </c>
      <c r="G118" t="s">
        <v>1992</v>
      </c>
    </row>
    <row r="119" spans="1:7" x14ac:dyDescent="0.2">
      <c r="A119">
        <v>761</v>
      </c>
      <c r="B119" t="s">
        <v>1993</v>
      </c>
      <c r="C119" s="1">
        <v>23771</v>
      </c>
      <c r="D119" s="1">
        <v>45971</v>
      </c>
      <c r="E119" t="s">
        <v>1994</v>
      </c>
      <c r="G119" t="s">
        <v>1995</v>
      </c>
    </row>
    <row r="120" spans="1:7" x14ac:dyDescent="0.2">
      <c r="A120">
        <v>759</v>
      </c>
      <c r="B120" t="s">
        <v>1987</v>
      </c>
      <c r="C120" s="1">
        <v>20959</v>
      </c>
      <c r="D120" s="1">
        <v>45968</v>
      </c>
      <c r="E120" t="s">
        <v>1988</v>
      </c>
      <c r="F120" s="1">
        <v>46064</v>
      </c>
      <c r="G120" t="s">
        <v>1989</v>
      </c>
    </row>
    <row r="121" spans="1:7" x14ac:dyDescent="0.2">
      <c r="A121">
        <v>758</v>
      </c>
      <c r="B121" t="s">
        <v>1984</v>
      </c>
      <c r="C121" s="1">
        <v>26372</v>
      </c>
      <c r="D121" s="1">
        <v>45964</v>
      </c>
      <c r="E121" t="s">
        <v>1985</v>
      </c>
      <c r="G121" t="s">
        <v>1986</v>
      </c>
    </row>
    <row r="122" spans="1:7" x14ac:dyDescent="0.2">
      <c r="A122">
        <v>755</v>
      </c>
      <c r="B122" t="s">
        <v>1980</v>
      </c>
      <c r="C122" s="1">
        <v>39656</v>
      </c>
      <c r="D122" s="1">
        <v>45957</v>
      </c>
      <c r="E122" t="s">
        <v>1981</v>
      </c>
      <c r="G122" t="s">
        <v>1673</v>
      </c>
    </row>
    <row r="123" spans="1:7" x14ac:dyDescent="0.2">
      <c r="A123">
        <v>756</v>
      </c>
      <c r="B123" t="s">
        <v>1982</v>
      </c>
      <c r="C123" s="1">
        <v>41012</v>
      </c>
      <c r="D123" s="1">
        <v>45957</v>
      </c>
      <c r="E123" t="s">
        <v>1981</v>
      </c>
      <c r="G123" t="s">
        <v>1673</v>
      </c>
    </row>
    <row r="124" spans="1:7" x14ac:dyDescent="0.2">
      <c r="A124">
        <v>757</v>
      </c>
      <c r="B124" t="s">
        <v>1983</v>
      </c>
      <c r="C124" s="1">
        <v>23528</v>
      </c>
      <c r="D124" s="1">
        <v>45957</v>
      </c>
      <c r="E124" t="s">
        <v>447</v>
      </c>
      <c r="F124" s="1">
        <v>46138</v>
      </c>
      <c r="G124" t="s">
        <v>2169</v>
      </c>
    </row>
    <row r="125" spans="1:7" x14ac:dyDescent="0.2">
      <c r="A125">
        <v>754</v>
      </c>
      <c r="B125" t="s">
        <v>1977</v>
      </c>
      <c r="C125" s="1">
        <v>21351</v>
      </c>
      <c r="D125" s="1">
        <v>45950</v>
      </c>
      <c r="E125" t="s">
        <v>1978</v>
      </c>
      <c r="G125" t="s">
        <v>1979</v>
      </c>
    </row>
    <row r="126" spans="1:7" x14ac:dyDescent="0.2">
      <c r="A126">
        <v>840</v>
      </c>
      <c r="B126" t="s">
        <v>2018</v>
      </c>
      <c r="C126" s="1">
        <v>19176</v>
      </c>
      <c r="D126" s="1">
        <v>45947</v>
      </c>
      <c r="E126" t="s">
        <v>1224</v>
      </c>
      <c r="F126" s="1">
        <v>46164</v>
      </c>
      <c r="G126" t="s">
        <v>2205</v>
      </c>
    </row>
    <row r="127" spans="1:7" x14ac:dyDescent="0.2">
      <c r="A127">
        <v>753</v>
      </c>
      <c r="B127" t="s">
        <v>1973</v>
      </c>
      <c r="C127" s="1">
        <v>24437</v>
      </c>
      <c r="D127" s="1">
        <v>45943</v>
      </c>
      <c r="E127" t="s">
        <v>1586</v>
      </c>
      <c r="G127" t="s">
        <v>1913</v>
      </c>
    </row>
    <row r="128" spans="1:7" x14ac:dyDescent="0.2">
      <c r="A128">
        <v>751</v>
      </c>
      <c r="B128" t="s">
        <v>1968</v>
      </c>
      <c r="C128" s="1">
        <v>26698</v>
      </c>
      <c r="D128" s="1">
        <v>45936</v>
      </c>
      <c r="E128" t="s">
        <v>1969</v>
      </c>
      <c r="G128" t="s">
        <v>1673</v>
      </c>
    </row>
    <row r="129" spans="1:8" x14ac:dyDescent="0.2">
      <c r="A129">
        <v>750</v>
      </c>
      <c r="B129" t="s">
        <v>1967</v>
      </c>
      <c r="C129" s="1">
        <v>22622</v>
      </c>
      <c r="D129" s="1">
        <v>45923</v>
      </c>
      <c r="E129" t="s">
        <v>73</v>
      </c>
      <c r="G129" t="s">
        <v>1673</v>
      </c>
    </row>
    <row r="130" spans="1:8" x14ac:dyDescent="0.2">
      <c r="A130">
        <v>749</v>
      </c>
      <c r="B130" t="s">
        <v>1964</v>
      </c>
      <c r="C130" s="1">
        <v>27990</v>
      </c>
      <c r="D130" s="1">
        <v>45922</v>
      </c>
      <c r="E130" t="s">
        <v>1174</v>
      </c>
      <c r="G130" t="s">
        <v>1965</v>
      </c>
    </row>
    <row r="131" spans="1:8" x14ac:dyDescent="0.2">
      <c r="A131">
        <v>747</v>
      </c>
      <c r="B131" t="s">
        <v>1959</v>
      </c>
      <c r="C131" s="1">
        <v>32322</v>
      </c>
      <c r="D131" s="1">
        <v>45912</v>
      </c>
      <c r="E131" t="s">
        <v>1960</v>
      </c>
      <c r="F131" s="1">
        <v>46013</v>
      </c>
      <c r="G131" t="s">
        <v>1961</v>
      </c>
    </row>
    <row r="132" spans="1:8" x14ac:dyDescent="0.2">
      <c r="A132">
        <v>748</v>
      </c>
      <c r="B132" t="s">
        <v>1962</v>
      </c>
      <c r="C132" s="1">
        <v>29640</v>
      </c>
      <c r="D132" s="1">
        <v>45912</v>
      </c>
      <c r="E132" t="s">
        <v>73</v>
      </c>
      <c r="G132" t="s">
        <v>1963</v>
      </c>
    </row>
    <row r="133" spans="1:8" x14ac:dyDescent="0.2">
      <c r="A133">
        <v>745</v>
      </c>
      <c r="B133" t="s">
        <v>1953</v>
      </c>
      <c r="C133" s="1">
        <v>23647</v>
      </c>
      <c r="D133" s="1">
        <v>45901</v>
      </c>
      <c r="E133" t="s">
        <v>1954</v>
      </c>
      <c r="G133" t="s">
        <v>1955</v>
      </c>
    </row>
    <row r="134" spans="1:8" x14ac:dyDescent="0.2">
      <c r="A134">
        <v>746</v>
      </c>
      <c r="B134" t="s">
        <v>1956</v>
      </c>
      <c r="C134" s="1">
        <v>31243</v>
      </c>
      <c r="D134" s="1">
        <v>45901</v>
      </c>
      <c r="E134" t="s">
        <v>1957</v>
      </c>
      <c r="G134" t="s">
        <v>1958</v>
      </c>
    </row>
    <row r="135" spans="1:8" x14ac:dyDescent="0.2">
      <c r="A135">
        <v>741</v>
      </c>
      <c r="B135" t="s">
        <v>1949</v>
      </c>
      <c r="C135" s="1">
        <v>24786</v>
      </c>
      <c r="D135" s="1">
        <v>45894</v>
      </c>
      <c r="E135" t="s">
        <v>1609</v>
      </c>
      <c r="G135" t="s">
        <v>1950</v>
      </c>
    </row>
    <row r="136" spans="1:8" x14ac:dyDescent="0.2">
      <c r="A136">
        <v>742</v>
      </c>
      <c r="B136" t="s">
        <v>1951</v>
      </c>
      <c r="C136" s="1">
        <v>26047</v>
      </c>
      <c r="D136" s="1">
        <v>45894</v>
      </c>
      <c r="E136" t="s">
        <v>377</v>
      </c>
      <c r="G136" t="s">
        <v>1952</v>
      </c>
    </row>
    <row r="137" spans="1:8" x14ac:dyDescent="0.2">
      <c r="A137">
        <v>740</v>
      </c>
      <c r="B137" t="s">
        <v>1947</v>
      </c>
      <c r="C137" s="1">
        <v>26982</v>
      </c>
      <c r="D137" s="1">
        <v>45887</v>
      </c>
      <c r="E137" t="s">
        <v>1716</v>
      </c>
      <c r="G137" t="s">
        <v>1948</v>
      </c>
    </row>
    <row r="138" spans="1:8" x14ac:dyDescent="0.2">
      <c r="A138">
        <v>738</v>
      </c>
      <c r="B138" t="s">
        <v>1943</v>
      </c>
      <c r="C138" s="1">
        <v>20660</v>
      </c>
      <c r="D138" s="1">
        <v>45880</v>
      </c>
      <c r="E138" t="s">
        <v>1026</v>
      </c>
      <c r="G138" t="s">
        <v>1880</v>
      </c>
    </row>
    <row r="139" spans="1:8" x14ac:dyDescent="0.2">
      <c r="A139">
        <v>739</v>
      </c>
      <c r="B139" t="s">
        <v>1944</v>
      </c>
      <c r="C139" s="1">
        <v>18646</v>
      </c>
      <c r="D139" s="1">
        <v>45880</v>
      </c>
      <c r="E139" t="s">
        <v>1945</v>
      </c>
      <c r="G139" t="s">
        <v>1946</v>
      </c>
    </row>
    <row r="140" spans="1:8" x14ac:dyDescent="0.2">
      <c r="A140">
        <v>736</v>
      </c>
      <c r="B140" t="s">
        <v>1938</v>
      </c>
      <c r="C140" s="1">
        <v>23749</v>
      </c>
      <c r="D140" s="1">
        <v>45877</v>
      </c>
      <c r="E140" t="s">
        <v>35</v>
      </c>
      <c r="G140" t="s">
        <v>1942</v>
      </c>
    </row>
    <row r="141" spans="1:8" x14ac:dyDescent="0.2">
      <c r="A141">
        <v>737</v>
      </c>
      <c r="B141" t="s">
        <v>1939</v>
      </c>
      <c r="C141" s="1">
        <v>26825</v>
      </c>
      <c r="D141" s="1">
        <v>45877</v>
      </c>
      <c r="E141" t="s">
        <v>1940</v>
      </c>
      <c r="F141" s="1">
        <v>45936</v>
      </c>
      <c r="G141" t="s">
        <v>1941</v>
      </c>
    </row>
    <row r="142" spans="1:8" x14ac:dyDescent="0.2">
      <c r="A142">
        <v>734</v>
      </c>
      <c r="B142" t="s">
        <v>1933</v>
      </c>
      <c r="C142" s="1">
        <v>40708</v>
      </c>
      <c r="D142" s="1">
        <v>45873</v>
      </c>
      <c r="E142" t="s">
        <v>1934</v>
      </c>
      <c r="F142" s="1">
        <v>46041</v>
      </c>
      <c r="G142" t="s">
        <v>1935</v>
      </c>
    </row>
    <row r="143" spans="1:8" x14ac:dyDescent="0.2">
      <c r="A143">
        <v>735</v>
      </c>
      <c r="B143" t="s">
        <v>1936</v>
      </c>
      <c r="C143" s="1">
        <v>33236</v>
      </c>
      <c r="D143" s="1">
        <v>45873</v>
      </c>
      <c r="E143" t="s">
        <v>1582</v>
      </c>
      <c r="F143" s="1">
        <v>45989</v>
      </c>
      <c r="G143" s="1">
        <v>46097</v>
      </c>
      <c r="H143" t="s">
        <v>1937</v>
      </c>
    </row>
    <row r="144" spans="1:8" x14ac:dyDescent="0.2">
      <c r="A144">
        <v>732</v>
      </c>
      <c r="B144" t="s">
        <v>1928</v>
      </c>
      <c r="C144" s="1">
        <v>24131</v>
      </c>
      <c r="D144" s="1">
        <v>45863</v>
      </c>
      <c r="E144" t="s">
        <v>1700</v>
      </c>
      <c r="G144" t="s">
        <v>1929</v>
      </c>
    </row>
    <row r="145" spans="1:7" x14ac:dyDescent="0.2">
      <c r="A145">
        <v>733</v>
      </c>
      <c r="B145" t="s">
        <v>1930</v>
      </c>
      <c r="C145" s="1">
        <v>30130</v>
      </c>
      <c r="D145" s="1">
        <v>45863</v>
      </c>
      <c r="E145" t="s">
        <v>1453</v>
      </c>
      <c r="G145" t="s">
        <v>1931</v>
      </c>
    </row>
    <row r="146" spans="1:7" x14ac:dyDescent="0.2">
      <c r="A146">
        <v>731</v>
      </c>
      <c r="B146" t="s">
        <v>1924</v>
      </c>
      <c r="C146" s="1">
        <v>28668</v>
      </c>
      <c r="D146" s="1">
        <v>45859</v>
      </c>
      <c r="E146" t="s">
        <v>1925</v>
      </c>
      <c r="G146" t="s">
        <v>1926</v>
      </c>
    </row>
    <row r="147" spans="1:7" x14ac:dyDescent="0.2">
      <c r="A147">
        <v>729</v>
      </c>
      <c r="B147" t="s">
        <v>1919</v>
      </c>
      <c r="C147" s="1">
        <v>29831</v>
      </c>
      <c r="D147" s="1">
        <v>45856</v>
      </c>
      <c r="E147" t="s">
        <v>1415</v>
      </c>
      <c r="G147" t="s">
        <v>1920</v>
      </c>
    </row>
    <row r="148" spans="1:7" x14ac:dyDescent="0.2">
      <c r="A148">
        <v>730</v>
      </c>
      <c r="B148" t="s">
        <v>1921</v>
      </c>
      <c r="C148" s="1">
        <v>30762</v>
      </c>
      <c r="D148" s="1">
        <v>45856</v>
      </c>
      <c r="E148" t="s">
        <v>1922</v>
      </c>
      <c r="G148" t="s">
        <v>1923</v>
      </c>
    </row>
    <row r="149" spans="1:7" x14ac:dyDescent="0.2">
      <c r="A149">
        <v>726</v>
      </c>
      <c r="B149" t="s">
        <v>1914</v>
      </c>
      <c r="C149" s="1">
        <v>27900</v>
      </c>
      <c r="D149" s="1">
        <v>45845</v>
      </c>
      <c r="E149" t="s">
        <v>387</v>
      </c>
      <c r="G149" t="s">
        <v>1915</v>
      </c>
    </row>
    <row r="150" spans="1:7" x14ac:dyDescent="0.2">
      <c r="A150">
        <v>727</v>
      </c>
      <c r="B150" t="s">
        <v>1916</v>
      </c>
      <c r="C150" s="1">
        <v>32533</v>
      </c>
      <c r="D150" s="1">
        <v>45845</v>
      </c>
      <c r="E150" t="s">
        <v>1224</v>
      </c>
      <c r="G150" t="s">
        <v>1917</v>
      </c>
    </row>
    <row r="151" spans="1:7" x14ac:dyDescent="0.2">
      <c r="A151">
        <v>728</v>
      </c>
      <c r="B151" t="s">
        <v>1918</v>
      </c>
      <c r="C151" s="1">
        <v>34349</v>
      </c>
      <c r="D151" s="1">
        <v>45845</v>
      </c>
      <c r="E151" t="s">
        <v>1415</v>
      </c>
      <c r="G151" t="s">
        <v>1880</v>
      </c>
    </row>
    <row r="152" spans="1:7" x14ac:dyDescent="0.2">
      <c r="A152">
        <v>723</v>
      </c>
      <c r="B152" t="s">
        <v>1908</v>
      </c>
      <c r="C152" s="1">
        <v>15767</v>
      </c>
      <c r="D152" s="1">
        <v>45831</v>
      </c>
      <c r="E152" t="s">
        <v>1909</v>
      </c>
      <c r="G152" t="s">
        <v>1910</v>
      </c>
    </row>
    <row r="153" spans="1:7" x14ac:dyDescent="0.2">
      <c r="A153">
        <v>724</v>
      </c>
      <c r="B153" t="s">
        <v>1911</v>
      </c>
      <c r="C153" s="1">
        <v>17366</v>
      </c>
      <c r="D153" s="1">
        <v>45831</v>
      </c>
      <c r="E153" t="s">
        <v>1026</v>
      </c>
      <c r="G153" t="s">
        <v>1880</v>
      </c>
    </row>
    <row r="154" spans="1:7" x14ac:dyDescent="0.2">
      <c r="A154">
        <v>725</v>
      </c>
      <c r="B154" t="s">
        <v>1912</v>
      </c>
      <c r="C154" s="1">
        <v>19540</v>
      </c>
      <c r="D154" s="1">
        <v>45831</v>
      </c>
      <c r="E154" t="s">
        <v>1453</v>
      </c>
      <c r="G154" t="s">
        <v>1913</v>
      </c>
    </row>
    <row r="155" spans="1:7" x14ac:dyDescent="0.2">
      <c r="A155">
        <v>721</v>
      </c>
      <c r="B155" t="s">
        <v>1904</v>
      </c>
      <c r="C155" s="1">
        <v>22755</v>
      </c>
      <c r="D155" s="1">
        <v>45824</v>
      </c>
      <c r="E155" t="s">
        <v>1905</v>
      </c>
      <c r="G155" t="s">
        <v>1906</v>
      </c>
    </row>
    <row r="156" spans="1:7" x14ac:dyDescent="0.2">
      <c r="A156">
        <v>722</v>
      </c>
      <c r="B156" t="s">
        <v>1907</v>
      </c>
      <c r="C156" s="1">
        <v>15176</v>
      </c>
      <c r="D156" s="1">
        <v>45824</v>
      </c>
      <c r="E156" t="s">
        <v>1026</v>
      </c>
      <c r="G156" t="s">
        <v>1880</v>
      </c>
    </row>
    <row r="157" spans="1:7" x14ac:dyDescent="0.2">
      <c r="A157">
        <v>720</v>
      </c>
      <c r="B157" t="s">
        <v>1902</v>
      </c>
      <c r="C157" s="1">
        <v>29457</v>
      </c>
      <c r="D157" s="1">
        <v>45821</v>
      </c>
      <c r="E157" t="s">
        <v>1803</v>
      </c>
      <c r="G157" t="s">
        <v>1903</v>
      </c>
    </row>
    <row r="158" spans="1:7" x14ac:dyDescent="0.2">
      <c r="A158">
        <v>717</v>
      </c>
      <c r="B158" t="s">
        <v>1896</v>
      </c>
      <c r="C158" s="1">
        <v>31194</v>
      </c>
      <c r="D158" s="1">
        <v>45814</v>
      </c>
      <c r="E158" t="s">
        <v>1453</v>
      </c>
      <c r="F158" s="1">
        <v>45908</v>
      </c>
      <c r="G158" t="s">
        <v>1897</v>
      </c>
    </row>
    <row r="159" spans="1:7" x14ac:dyDescent="0.2">
      <c r="A159">
        <v>718</v>
      </c>
      <c r="B159" t="s">
        <v>1898</v>
      </c>
      <c r="C159" s="1">
        <v>17761</v>
      </c>
      <c r="D159" s="1">
        <v>45814</v>
      </c>
      <c r="E159" t="s">
        <v>1026</v>
      </c>
      <c r="G159" t="s">
        <v>1899</v>
      </c>
    </row>
    <row r="160" spans="1:7" x14ac:dyDescent="0.2">
      <c r="A160">
        <v>719</v>
      </c>
      <c r="B160" t="s">
        <v>1900</v>
      </c>
      <c r="C160" s="1">
        <v>32144</v>
      </c>
      <c r="D160" s="1">
        <v>45814</v>
      </c>
      <c r="E160" t="s">
        <v>1803</v>
      </c>
      <c r="G160" t="s">
        <v>1901</v>
      </c>
    </row>
    <row r="161" spans="1:7" x14ac:dyDescent="0.2">
      <c r="A161">
        <v>715</v>
      </c>
      <c r="B161" t="s">
        <v>1893</v>
      </c>
      <c r="C161" s="1">
        <v>15964</v>
      </c>
      <c r="D161" s="1">
        <v>45810</v>
      </c>
      <c r="E161" t="s">
        <v>1772</v>
      </c>
      <c r="G161" t="s">
        <v>1894</v>
      </c>
    </row>
    <row r="162" spans="1:7" x14ac:dyDescent="0.2">
      <c r="A162">
        <v>716</v>
      </c>
      <c r="B162" t="s">
        <v>1895</v>
      </c>
      <c r="C162" s="1">
        <v>23012</v>
      </c>
      <c r="D162" s="1">
        <v>45810</v>
      </c>
      <c r="E162" t="s">
        <v>1026</v>
      </c>
      <c r="G162" t="s">
        <v>1880</v>
      </c>
    </row>
    <row r="163" spans="1:7" x14ac:dyDescent="0.2">
      <c r="A163">
        <v>713</v>
      </c>
      <c r="B163" t="s">
        <v>1891</v>
      </c>
      <c r="C163" s="1">
        <v>35051</v>
      </c>
      <c r="D163" s="1">
        <v>45807</v>
      </c>
      <c r="E163" t="s">
        <v>1415</v>
      </c>
      <c r="G163" t="s">
        <v>1880</v>
      </c>
    </row>
    <row r="164" spans="1:7" x14ac:dyDescent="0.2">
      <c r="A164">
        <v>714</v>
      </c>
      <c r="B164" t="s">
        <v>1892</v>
      </c>
      <c r="C164" s="1">
        <v>32768</v>
      </c>
      <c r="D164" s="1">
        <v>45807</v>
      </c>
      <c r="E164" t="s">
        <v>1415</v>
      </c>
      <c r="G164" t="s">
        <v>1880</v>
      </c>
    </row>
    <row r="165" spans="1:7" x14ac:dyDescent="0.2">
      <c r="A165">
        <v>712</v>
      </c>
      <c r="B165" t="s">
        <v>1888</v>
      </c>
      <c r="C165" s="1">
        <v>23689</v>
      </c>
      <c r="D165" s="1">
        <v>45803</v>
      </c>
      <c r="E165" t="s">
        <v>1026</v>
      </c>
      <c r="G165" t="s">
        <v>1889</v>
      </c>
    </row>
    <row r="166" spans="1:7" x14ac:dyDescent="0.2">
      <c r="A166">
        <v>712</v>
      </c>
      <c r="B166" t="s">
        <v>1890</v>
      </c>
      <c r="C166" s="1">
        <v>16805</v>
      </c>
      <c r="D166" s="1">
        <v>45803</v>
      </c>
      <c r="E166" t="s">
        <v>1875</v>
      </c>
      <c r="G166" t="s">
        <v>1880</v>
      </c>
    </row>
    <row r="167" spans="1:7" x14ac:dyDescent="0.2">
      <c r="A167">
        <v>709</v>
      </c>
      <c r="B167" t="s">
        <v>1883</v>
      </c>
      <c r="C167" s="1">
        <v>26850</v>
      </c>
      <c r="D167" s="1">
        <v>45800</v>
      </c>
      <c r="E167" t="s">
        <v>73</v>
      </c>
      <c r="F167" s="1">
        <v>45929</v>
      </c>
      <c r="G167" t="s">
        <v>1884</v>
      </c>
    </row>
    <row r="168" spans="1:7" x14ac:dyDescent="0.2">
      <c r="A168">
        <v>710</v>
      </c>
      <c r="B168" t="s">
        <v>1885</v>
      </c>
      <c r="C168" s="1">
        <v>34608</v>
      </c>
      <c r="D168" s="1">
        <v>45800</v>
      </c>
      <c r="E168" t="s">
        <v>1397</v>
      </c>
      <c r="G168" t="s">
        <v>1880</v>
      </c>
    </row>
    <row r="169" spans="1:7" x14ac:dyDescent="0.2">
      <c r="A169">
        <v>711</v>
      </c>
      <c r="B169" t="s">
        <v>1886</v>
      </c>
      <c r="C169" s="1">
        <v>20864</v>
      </c>
      <c r="D169" s="1">
        <v>45800</v>
      </c>
      <c r="E169" t="s">
        <v>1449</v>
      </c>
      <c r="G169" t="s">
        <v>1887</v>
      </c>
    </row>
    <row r="170" spans="1:7" x14ac:dyDescent="0.2">
      <c r="A170">
        <v>699</v>
      </c>
      <c r="B170" t="s">
        <v>1865</v>
      </c>
      <c r="C170" s="1">
        <v>17322</v>
      </c>
      <c r="D170" s="1">
        <v>45796</v>
      </c>
      <c r="E170" t="s">
        <v>1026</v>
      </c>
      <c r="G170" t="s">
        <v>1673</v>
      </c>
    </row>
    <row r="171" spans="1:7" x14ac:dyDescent="0.2">
      <c r="A171">
        <v>708</v>
      </c>
      <c r="B171" t="s">
        <v>1881</v>
      </c>
      <c r="C171" s="1">
        <v>16704</v>
      </c>
      <c r="D171" s="1">
        <v>45796</v>
      </c>
      <c r="E171" t="s">
        <v>1026</v>
      </c>
      <c r="G171" t="s">
        <v>1882</v>
      </c>
    </row>
    <row r="172" spans="1:7" x14ac:dyDescent="0.2">
      <c r="A172">
        <v>707</v>
      </c>
      <c r="B172" t="s">
        <v>1879</v>
      </c>
      <c r="C172" s="1">
        <v>39228</v>
      </c>
      <c r="D172" s="1">
        <v>45793</v>
      </c>
      <c r="E172" t="s">
        <v>1660</v>
      </c>
      <c r="G172" t="s">
        <v>1880</v>
      </c>
    </row>
    <row r="173" spans="1:7" x14ac:dyDescent="0.2">
      <c r="A173">
        <v>700</v>
      </c>
      <c r="B173" t="s">
        <v>1866</v>
      </c>
      <c r="C173" s="1">
        <v>19382</v>
      </c>
      <c r="D173" s="1">
        <v>45790</v>
      </c>
      <c r="E173" t="s">
        <v>1729</v>
      </c>
      <c r="G173" t="s">
        <v>1867</v>
      </c>
    </row>
    <row r="174" spans="1:7" x14ac:dyDescent="0.2">
      <c r="A174">
        <v>701</v>
      </c>
      <c r="B174" t="s">
        <v>1868</v>
      </c>
      <c r="C174" s="1">
        <v>22412</v>
      </c>
      <c r="D174" s="1">
        <v>45790</v>
      </c>
      <c r="E174" t="s">
        <v>1869</v>
      </c>
      <c r="G174" t="s">
        <v>1870</v>
      </c>
    </row>
    <row r="175" spans="1:7" x14ac:dyDescent="0.2">
      <c r="A175">
        <v>702</v>
      </c>
      <c r="B175" t="s">
        <v>1871</v>
      </c>
      <c r="C175" s="1">
        <v>26694</v>
      </c>
      <c r="D175" s="1">
        <v>45790</v>
      </c>
    </row>
    <row r="176" spans="1:7" x14ac:dyDescent="0.2">
      <c r="A176">
        <v>704</v>
      </c>
      <c r="B176" t="s">
        <v>1873</v>
      </c>
      <c r="C176" s="1">
        <v>19588</v>
      </c>
      <c r="D176" s="1">
        <v>45789</v>
      </c>
      <c r="E176" t="s">
        <v>1026</v>
      </c>
      <c r="G176" t="s">
        <v>1876</v>
      </c>
    </row>
    <row r="177" spans="1:7" x14ac:dyDescent="0.2">
      <c r="A177">
        <v>705</v>
      </c>
      <c r="B177" t="s">
        <v>1874</v>
      </c>
      <c r="C177" s="1">
        <v>19554</v>
      </c>
      <c r="D177" s="1">
        <v>45789</v>
      </c>
      <c r="E177" t="s">
        <v>1875</v>
      </c>
    </row>
    <row r="178" spans="1:7" x14ac:dyDescent="0.2">
      <c r="A178">
        <v>698</v>
      </c>
      <c r="B178" t="s">
        <v>1862</v>
      </c>
      <c r="C178" s="1">
        <v>23838</v>
      </c>
      <c r="D178" s="1">
        <v>45786</v>
      </c>
      <c r="E178" t="s">
        <v>1803</v>
      </c>
      <c r="F178" s="1">
        <v>45849</v>
      </c>
      <c r="G178" t="s">
        <v>1864</v>
      </c>
    </row>
    <row r="179" spans="1:7" x14ac:dyDescent="0.2">
      <c r="A179">
        <v>706</v>
      </c>
      <c r="B179" t="s">
        <v>1877</v>
      </c>
      <c r="C179" s="1">
        <v>21057</v>
      </c>
      <c r="D179" s="1">
        <v>45786</v>
      </c>
      <c r="E179" t="s">
        <v>1878</v>
      </c>
    </row>
    <row r="180" spans="1:7" x14ac:dyDescent="0.2">
      <c r="A180">
        <v>693</v>
      </c>
      <c r="B180" t="s">
        <v>1852</v>
      </c>
      <c r="C180" s="1">
        <v>20230</v>
      </c>
      <c r="D180" s="1">
        <v>45782</v>
      </c>
      <c r="E180" t="s">
        <v>1026</v>
      </c>
      <c r="G180" t="s">
        <v>1853</v>
      </c>
    </row>
    <row r="181" spans="1:7" x14ac:dyDescent="0.2">
      <c r="A181">
        <v>694</v>
      </c>
      <c r="B181" t="s">
        <v>1854</v>
      </c>
      <c r="C181" s="1">
        <v>24176</v>
      </c>
      <c r="D181" s="1">
        <v>45782</v>
      </c>
      <c r="E181" t="s">
        <v>1224</v>
      </c>
      <c r="G181" t="s">
        <v>1855</v>
      </c>
    </row>
    <row r="182" spans="1:7" x14ac:dyDescent="0.2">
      <c r="A182">
        <v>695</v>
      </c>
      <c r="B182" t="s">
        <v>1856</v>
      </c>
      <c r="C182" s="1">
        <v>25961</v>
      </c>
      <c r="D182" s="1">
        <v>45782</v>
      </c>
      <c r="E182" t="s">
        <v>1857</v>
      </c>
      <c r="G182" t="s">
        <v>1858</v>
      </c>
    </row>
    <row r="183" spans="1:7" x14ac:dyDescent="0.2">
      <c r="A183">
        <v>696</v>
      </c>
      <c r="B183" t="s">
        <v>1859</v>
      </c>
      <c r="C183" s="1">
        <v>19327</v>
      </c>
      <c r="D183" s="1">
        <v>45782</v>
      </c>
      <c r="E183" t="s">
        <v>73</v>
      </c>
      <c r="G183" t="s">
        <v>1860</v>
      </c>
    </row>
    <row r="184" spans="1:7" x14ac:dyDescent="0.2">
      <c r="A184">
        <v>697</v>
      </c>
      <c r="B184" t="s">
        <v>1861</v>
      </c>
      <c r="C184" s="1">
        <v>21286</v>
      </c>
      <c r="D184" s="1">
        <v>45782</v>
      </c>
      <c r="E184" t="s">
        <v>1026</v>
      </c>
      <c r="G184" t="s">
        <v>1863</v>
      </c>
    </row>
    <row r="185" spans="1:7" x14ac:dyDescent="0.2">
      <c r="A185">
        <v>692</v>
      </c>
      <c r="B185" t="s">
        <v>1851</v>
      </c>
      <c r="C185" s="1">
        <v>18464</v>
      </c>
      <c r="D185" s="1">
        <v>45775</v>
      </c>
      <c r="E185" t="s">
        <v>1026</v>
      </c>
    </row>
    <row r="186" spans="1:7" x14ac:dyDescent="0.2">
      <c r="A186">
        <v>691</v>
      </c>
      <c r="B186" t="s">
        <v>1849</v>
      </c>
      <c r="C186" s="1">
        <v>18670</v>
      </c>
      <c r="D186" s="1">
        <v>45772</v>
      </c>
      <c r="E186" t="s">
        <v>73</v>
      </c>
      <c r="G186" t="s">
        <v>1850</v>
      </c>
    </row>
    <row r="187" spans="1:7" x14ac:dyDescent="0.2">
      <c r="A187">
        <v>689</v>
      </c>
      <c r="B187" t="s">
        <v>1844</v>
      </c>
      <c r="C187" s="1">
        <v>24899</v>
      </c>
      <c r="D187" s="1">
        <v>45761</v>
      </c>
      <c r="E187" t="s">
        <v>1845</v>
      </c>
      <c r="G187" t="s">
        <v>1846</v>
      </c>
    </row>
    <row r="188" spans="1:7" x14ac:dyDescent="0.2">
      <c r="A188">
        <v>690</v>
      </c>
      <c r="B188" t="s">
        <v>1847</v>
      </c>
      <c r="C188" s="1">
        <v>32601</v>
      </c>
      <c r="D188" s="1">
        <v>45761</v>
      </c>
      <c r="E188" t="s">
        <v>73</v>
      </c>
      <c r="F188" s="1">
        <v>46076</v>
      </c>
      <c r="G188" t="s">
        <v>1848</v>
      </c>
    </row>
    <row r="189" spans="1:7" x14ac:dyDescent="0.2">
      <c r="A189">
        <v>687</v>
      </c>
      <c r="B189" t="s">
        <v>1839</v>
      </c>
      <c r="C189" s="1">
        <v>14753</v>
      </c>
      <c r="D189" s="1">
        <v>45754</v>
      </c>
      <c r="E189" t="s">
        <v>1840</v>
      </c>
      <c r="G189" t="s">
        <v>1841</v>
      </c>
    </row>
    <row r="190" spans="1:7" x14ac:dyDescent="0.2">
      <c r="A190">
        <v>688</v>
      </c>
      <c r="B190" t="s">
        <v>1842</v>
      </c>
      <c r="C190" s="1">
        <v>17877</v>
      </c>
      <c r="D190" s="1">
        <v>45754</v>
      </c>
      <c r="E190" t="s">
        <v>1026</v>
      </c>
      <c r="G190" t="s">
        <v>1843</v>
      </c>
    </row>
    <row r="191" spans="1:7" x14ac:dyDescent="0.2">
      <c r="A191">
        <v>686</v>
      </c>
      <c r="B191" t="s">
        <v>1837</v>
      </c>
      <c r="C191" s="1">
        <v>24312</v>
      </c>
      <c r="D191" s="1">
        <v>45747</v>
      </c>
      <c r="E191" t="s">
        <v>1712</v>
      </c>
      <c r="G191" t="s">
        <v>1838</v>
      </c>
    </row>
    <row r="192" spans="1:7" x14ac:dyDescent="0.2">
      <c r="A192">
        <v>685</v>
      </c>
      <c r="B192" t="s">
        <v>1835</v>
      </c>
      <c r="C192" s="1">
        <v>39024</v>
      </c>
      <c r="D192" s="1">
        <v>45737</v>
      </c>
      <c r="E192" t="s">
        <v>387</v>
      </c>
      <c r="G192" t="s">
        <v>1673</v>
      </c>
    </row>
    <row r="193" spans="1:10" x14ac:dyDescent="0.2">
      <c r="A193">
        <v>682</v>
      </c>
      <c r="B193" t="s">
        <v>1828</v>
      </c>
      <c r="C193" s="1">
        <v>25585</v>
      </c>
      <c r="D193" s="1">
        <v>45716</v>
      </c>
      <c r="E193" t="s">
        <v>1829</v>
      </c>
      <c r="G193" t="s">
        <v>1834</v>
      </c>
    </row>
    <row r="194" spans="1:10" x14ac:dyDescent="0.2">
      <c r="A194">
        <v>683</v>
      </c>
      <c r="B194" t="s">
        <v>1830</v>
      </c>
      <c r="C194" s="1">
        <v>24184</v>
      </c>
      <c r="D194" s="1">
        <v>45716</v>
      </c>
      <c r="E194" t="s">
        <v>1831</v>
      </c>
    </row>
    <row r="195" spans="1:10" x14ac:dyDescent="0.2">
      <c r="A195">
        <v>684</v>
      </c>
      <c r="B195" t="s">
        <v>1832</v>
      </c>
      <c r="C195" s="1">
        <v>39360</v>
      </c>
      <c r="D195" s="1">
        <v>45716</v>
      </c>
      <c r="E195" t="s">
        <v>1833</v>
      </c>
      <c r="F195" s="1">
        <v>45873</v>
      </c>
      <c r="G195" s="1">
        <v>46055</v>
      </c>
      <c r="H195" t="s">
        <v>1932</v>
      </c>
    </row>
    <row r="196" spans="1:10" x14ac:dyDescent="0.2">
      <c r="A196">
        <v>679</v>
      </c>
      <c r="B196" t="s">
        <v>1822</v>
      </c>
      <c r="C196" s="1">
        <v>24235</v>
      </c>
      <c r="D196" s="1">
        <v>45712</v>
      </c>
      <c r="E196" t="s">
        <v>1823</v>
      </c>
      <c r="G196" t="s">
        <v>1673</v>
      </c>
    </row>
    <row r="197" spans="1:10" x14ac:dyDescent="0.2">
      <c r="A197">
        <v>680</v>
      </c>
      <c r="B197" t="s">
        <v>1824</v>
      </c>
      <c r="C197" s="1">
        <v>20719</v>
      </c>
      <c r="D197" s="1">
        <v>45712</v>
      </c>
      <c r="E197" t="s">
        <v>1119</v>
      </c>
      <c r="G197" t="s">
        <v>1825</v>
      </c>
    </row>
    <row r="198" spans="1:10" x14ac:dyDescent="0.2">
      <c r="A198">
        <v>681</v>
      </c>
      <c r="B198" t="s">
        <v>1826</v>
      </c>
      <c r="C198" s="1">
        <v>40364</v>
      </c>
      <c r="D198" s="1">
        <v>45712</v>
      </c>
      <c r="E198" t="s">
        <v>1827</v>
      </c>
      <c r="F198" s="1">
        <v>45772</v>
      </c>
      <c r="G198" s="1">
        <v>45803</v>
      </c>
      <c r="H198" s="1">
        <v>45922</v>
      </c>
      <c r="I198" s="1">
        <v>46104</v>
      </c>
    </row>
    <row r="199" spans="1:10" x14ac:dyDescent="0.2">
      <c r="A199">
        <v>676</v>
      </c>
      <c r="B199" t="s">
        <v>1816</v>
      </c>
      <c r="C199" s="1">
        <v>22092</v>
      </c>
      <c r="D199" s="1">
        <v>45709</v>
      </c>
      <c r="E199" t="s">
        <v>447</v>
      </c>
      <c r="G199" t="s">
        <v>1817</v>
      </c>
    </row>
    <row r="200" spans="1:10" x14ac:dyDescent="0.2">
      <c r="A200">
        <v>678</v>
      </c>
      <c r="B200" t="s">
        <v>1819</v>
      </c>
      <c r="C200" s="1">
        <v>16375</v>
      </c>
      <c r="D200" s="1">
        <v>45709</v>
      </c>
      <c r="E200" t="s">
        <v>1820</v>
      </c>
      <c r="G200" t="s">
        <v>1821</v>
      </c>
    </row>
    <row r="201" spans="1:10" x14ac:dyDescent="0.2">
      <c r="A201">
        <v>675</v>
      </c>
      <c r="B201" t="s">
        <v>1813</v>
      </c>
      <c r="C201" s="1">
        <v>27100</v>
      </c>
      <c r="D201" s="1">
        <v>45702</v>
      </c>
      <c r="E201" t="s">
        <v>447</v>
      </c>
      <c r="G201" t="s">
        <v>1814</v>
      </c>
    </row>
    <row r="202" spans="1:10" x14ac:dyDescent="0.2">
      <c r="A202">
        <v>673</v>
      </c>
      <c r="B202" t="s">
        <v>1810</v>
      </c>
      <c r="C202" s="1">
        <v>25462</v>
      </c>
      <c r="D202" s="1">
        <v>45695</v>
      </c>
      <c r="E202" t="s">
        <v>447</v>
      </c>
      <c r="G202" t="s">
        <v>1811</v>
      </c>
    </row>
    <row r="203" spans="1:10" x14ac:dyDescent="0.2">
      <c r="A203">
        <v>674</v>
      </c>
      <c r="B203" t="s">
        <v>1812</v>
      </c>
      <c r="C203" s="1">
        <v>30485</v>
      </c>
      <c r="D203" s="1">
        <v>45695</v>
      </c>
      <c r="E203" t="s">
        <v>408</v>
      </c>
      <c r="G203" t="s">
        <v>1673</v>
      </c>
    </row>
    <row r="204" spans="1:10" x14ac:dyDescent="0.2">
      <c r="A204">
        <v>671</v>
      </c>
      <c r="B204" t="s">
        <v>1806</v>
      </c>
      <c r="C204" s="1">
        <v>31680</v>
      </c>
      <c r="D204" s="1">
        <v>45691</v>
      </c>
      <c r="E204" t="s">
        <v>1787</v>
      </c>
      <c r="G204" t="s">
        <v>1807</v>
      </c>
    </row>
    <row r="205" spans="1:10" x14ac:dyDescent="0.2">
      <c r="A205">
        <v>672</v>
      </c>
      <c r="B205" t="s">
        <v>1808</v>
      </c>
      <c r="C205" s="1">
        <v>29503</v>
      </c>
      <c r="D205" s="1">
        <v>45691</v>
      </c>
      <c r="E205" t="s">
        <v>1174</v>
      </c>
      <c r="G205" t="s">
        <v>1809</v>
      </c>
    </row>
    <row r="206" spans="1:10" x14ac:dyDescent="0.2">
      <c r="A206">
        <v>669</v>
      </c>
      <c r="B206" t="s">
        <v>1801</v>
      </c>
      <c r="C206" s="1">
        <v>27818</v>
      </c>
      <c r="D206" s="1">
        <v>45688</v>
      </c>
      <c r="E206" t="s">
        <v>1787</v>
      </c>
      <c r="G206" t="s">
        <v>1804</v>
      </c>
    </row>
    <row r="207" spans="1:10" x14ac:dyDescent="0.2">
      <c r="A207">
        <v>670</v>
      </c>
      <c r="B207" t="s">
        <v>1802</v>
      </c>
      <c r="C207" s="1">
        <v>20841</v>
      </c>
      <c r="D207" s="1">
        <v>45688</v>
      </c>
      <c r="E207" t="s">
        <v>1803</v>
      </c>
      <c r="F207" s="1">
        <v>45733</v>
      </c>
      <c r="G207" s="1">
        <v>45796</v>
      </c>
      <c r="J207" t="s">
        <v>1805</v>
      </c>
    </row>
    <row r="208" spans="1:10" x14ac:dyDescent="0.2">
      <c r="A208">
        <v>667</v>
      </c>
      <c r="B208" t="s">
        <v>1796</v>
      </c>
      <c r="C208" s="1">
        <v>29754</v>
      </c>
      <c r="D208" s="1">
        <v>45674</v>
      </c>
      <c r="E208" t="s">
        <v>1026</v>
      </c>
      <c r="G208" t="s">
        <v>1797</v>
      </c>
    </row>
    <row r="209" spans="1:8" x14ac:dyDescent="0.2">
      <c r="A209">
        <v>668</v>
      </c>
      <c r="B209" t="s">
        <v>1798</v>
      </c>
      <c r="C209" s="1">
        <v>21804</v>
      </c>
      <c r="D209" s="1">
        <v>45674</v>
      </c>
      <c r="E209" t="s">
        <v>1224</v>
      </c>
    </row>
    <row r="210" spans="1:8" x14ac:dyDescent="0.2">
      <c r="A210">
        <v>666</v>
      </c>
      <c r="B210" t="s">
        <v>1795</v>
      </c>
      <c r="C210" s="1">
        <v>32790</v>
      </c>
      <c r="D210" s="1">
        <v>45670</v>
      </c>
      <c r="E210" t="s">
        <v>1449</v>
      </c>
      <c r="F210" s="1">
        <v>45849</v>
      </c>
      <c r="G210" s="1">
        <v>46055</v>
      </c>
    </row>
    <row r="211" spans="1:8" x14ac:dyDescent="0.2">
      <c r="A211">
        <v>665</v>
      </c>
      <c r="B211" t="s">
        <v>1793</v>
      </c>
      <c r="C211" s="1">
        <v>28633</v>
      </c>
      <c r="D211" s="1">
        <v>45646</v>
      </c>
      <c r="E211" t="s">
        <v>1794</v>
      </c>
    </row>
    <row r="212" spans="1:8" x14ac:dyDescent="0.2">
      <c r="A212">
        <v>663</v>
      </c>
      <c r="B212" t="s">
        <v>1789</v>
      </c>
      <c r="C212" s="1">
        <v>23093</v>
      </c>
      <c r="D212" s="1">
        <v>45642</v>
      </c>
      <c r="E212" t="s">
        <v>1224</v>
      </c>
      <c r="G212" t="s">
        <v>1790</v>
      </c>
    </row>
    <row r="213" spans="1:8" x14ac:dyDescent="0.2">
      <c r="A213">
        <v>664</v>
      </c>
      <c r="B213" t="s">
        <v>1791</v>
      </c>
      <c r="C213" s="1">
        <v>22224</v>
      </c>
      <c r="D213" s="1">
        <v>45642</v>
      </c>
      <c r="E213" t="s">
        <v>447</v>
      </c>
      <c r="G213" s="27" t="s">
        <v>1792</v>
      </c>
      <c r="H213" s="17" t="s">
        <v>2065</v>
      </c>
    </row>
    <row r="214" spans="1:8" x14ac:dyDescent="0.2">
      <c r="A214">
        <v>662</v>
      </c>
      <c r="B214" t="s">
        <v>1786</v>
      </c>
      <c r="C214" s="1">
        <v>31736</v>
      </c>
      <c r="D214" s="1">
        <v>45639</v>
      </c>
      <c r="E214" t="s">
        <v>1787</v>
      </c>
      <c r="F214" s="1">
        <v>46188</v>
      </c>
    </row>
    <row r="215" spans="1:8" x14ac:dyDescent="0.2">
      <c r="A215">
        <v>661</v>
      </c>
      <c r="B215" t="s">
        <v>1783</v>
      </c>
      <c r="C215" s="1">
        <v>18218</v>
      </c>
      <c r="D215" s="1">
        <v>45628</v>
      </c>
      <c r="E215" t="s">
        <v>408</v>
      </c>
      <c r="G215" t="s">
        <v>1799</v>
      </c>
    </row>
    <row r="216" spans="1:8" x14ac:dyDescent="0.2">
      <c r="A216">
        <v>659</v>
      </c>
      <c r="B216" t="s">
        <v>1779</v>
      </c>
      <c r="C216" s="1">
        <v>28466</v>
      </c>
      <c r="D216" s="1">
        <v>45625</v>
      </c>
      <c r="E216" t="s">
        <v>1453</v>
      </c>
      <c r="G216" t="s">
        <v>1780</v>
      </c>
    </row>
    <row r="217" spans="1:8" x14ac:dyDescent="0.2">
      <c r="A217">
        <v>660</v>
      </c>
      <c r="B217" t="s">
        <v>1781</v>
      </c>
      <c r="C217" s="1">
        <v>31477</v>
      </c>
      <c r="D217" s="1">
        <v>45625</v>
      </c>
      <c r="E217" t="s">
        <v>387</v>
      </c>
      <c r="G217" s="23" t="s">
        <v>1782</v>
      </c>
    </row>
    <row r="218" spans="1:8" x14ac:dyDescent="0.2">
      <c r="A218">
        <v>657</v>
      </c>
      <c r="B218" t="s">
        <v>1775</v>
      </c>
      <c r="C218" s="1">
        <v>43693</v>
      </c>
      <c r="D218" s="1">
        <v>45621</v>
      </c>
      <c r="E218" t="s">
        <v>377</v>
      </c>
      <c r="F218" s="1">
        <v>46055</v>
      </c>
      <c r="G218" t="s">
        <v>1776</v>
      </c>
    </row>
    <row r="219" spans="1:8" x14ac:dyDescent="0.2">
      <c r="A219">
        <v>658</v>
      </c>
      <c r="B219" t="s">
        <v>1777</v>
      </c>
      <c r="C219" s="1">
        <v>29909</v>
      </c>
      <c r="D219" s="1">
        <v>45621</v>
      </c>
      <c r="E219" t="s">
        <v>387</v>
      </c>
      <c r="G219" t="s">
        <v>1778</v>
      </c>
    </row>
    <row r="220" spans="1:8" x14ac:dyDescent="0.2">
      <c r="A220">
        <v>655</v>
      </c>
      <c r="B220" t="s">
        <v>1773</v>
      </c>
      <c r="C220" s="1">
        <v>31026</v>
      </c>
      <c r="D220" s="1">
        <v>45618</v>
      </c>
      <c r="E220" t="s">
        <v>1609</v>
      </c>
      <c r="G220" t="s">
        <v>1673</v>
      </c>
    </row>
    <row r="221" spans="1:8" x14ac:dyDescent="0.2">
      <c r="A221">
        <v>656</v>
      </c>
      <c r="B221" t="s">
        <v>1774</v>
      </c>
      <c r="C221" s="1">
        <v>28661</v>
      </c>
      <c r="D221" s="1">
        <v>45618</v>
      </c>
      <c r="E221" t="s">
        <v>408</v>
      </c>
      <c r="G221" t="s">
        <v>1673</v>
      </c>
    </row>
    <row r="222" spans="1:8" x14ac:dyDescent="0.2">
      <c r="A222">
        <v>644</v>
      </c>
      <c r="B222" t="s">
        <v>1769</v>
      </c>
      <c r="C222" s="1">
        <v>19210</v>
      </c>
      <c r="D222" s="1">
        <v>45614</v>
      </c>
      <c r="E222" t="s">
        <v>1637</v>
      </c>
      <c r="G222" t="s">
        <v>1770</v>
      </c>
    </row>
    <row r="223" spans="1:8" x14ac:dyDescent="0.2">
      <c r="A223">
        <v>645</v>
      </c>
      <c r="B223" t="s">
        <v>1771</v>
      </c>
      <c r="C223" s="1">
        <v>23167</v>
      </c>
      <c r="D223" s="1">
        <v>45614</v>
      </c>
      <c r="E223" t="s">
        <v>1772</v>
      </c>
    </row>
    <row r="224" spans="1:8" x14ac:dyDescent="0.2">
      <c r="A224">
        <v>642</v>
      </c>
      <c r="B224" t="s">
        <v>1765</v>
      </c>
      <c r="C224" s="1">
        <v>26383</v>
      </c>
      <c r="D224" s="1">
        <v>45611</v>
      </c>
      <c r="E224" t="s">
        <v>1766</v>
      </c>
      <c r="G224" t="s">
        <v>1673</v>
      </c>
    </row>
    <row r="225" spans="1:9" x14ac:dyDescent="0.2">
      <c r="A225">
        <v>643</v>
      </c>
      <c r="B225" t="s">
        <v>1767</v>
      </c>
      <c r="C225" s="1">
        <v>29809</v>
      </c>
      <c r="D225" s="1">
        <v>45611</v>
      </c>
      <c r="E225" t="s">
        <v>408</v>
      </c>
      <c r="G225" t="s">
        <v>1768</v>
      </c>
    </row>
    <row r="226" spans="1:9" x14ac:dyDescent="0.2">
      <c r="A226">
        <v>640</v>
      </c>
      <c r="B226" t="s">
        <v>1760</v>
      </c>
      <c r="C226" s="1">
        <v>24703</v>
      </c>
      <c r="D226" s="1">
        <v>45607</v>
      </c>
      <c r="E226" t="s">
        <v>1660</v>
      </c>
      <c r="F226" s="1">
        <v>46132</v>
      </c>
      <c r="G226" t="s">
        <v>1762</v>
      </c>
      <c r="H226" t="s">
        <v>2168</v>
      </c>
    </row>
    <row r="227" spans="1:9" x14ac:dyDescent="0.2">
      <c r="A227">
        <v>641</v>
      </c>
      <c r="B227" t="s">
        <v>1761</v>
      </c>
      <c r="C227" s="1">
        <v>25773</v>
      </c>
      <c r="D227" s="1">
        <v>45607</v>
      </c>
      <c r="E227" t="s">
        <v>13</v>
      </c>
      <c r="G227" t="s">
        <v>1763</v>
      </c>
    </row>
    <row r="228" spans="1:9" x14ac:dyDescent="0.2">
      <c r="A228">
        <v>638</v>
      </c>
      <c r="B228" t="s">
        <v>1758</v>
      </c>
      <c r="C228" s="1">
        <v>31198</v>
      </c>
      <c r="D228" s="1">
        <v>45604</v>
      </c>
      <c r="E228" t="s">
        <v>387</v>
      </c>
      <c r="G228" t="s">
        <v>1717</v>
      </c>
    </row>
    <row r="229" spans="1:9" x14ac:dyDescent="0.2">
      <c r="A229">
        <v>639</v>
      </c>
      <c r="B229" t="s">
        <v>1759</v>
      </c>
      <c r="C229" s="1">
        <v>24236</v>
      </c>
      <c r="D229" s="1">
        <v>45604</v>
      </c>
      <c r="E229" t="s">
        <v>1637</v>
      </c>
      <c r="G229" t="s">
        <v>1764</v>
      </c>
    </row>
    <row r="230" spans="1:9" x14ac:dyDescent="0.2">
      <c r="A230">
        <v>637</v>
      </c>
      <c r="B230" t="s">
        <v>1756</v>
      </c>
      <c r="C230" s="1">
        <v>41004</v>
      </c>
      <c r="D230" s="1">
        <v>45600</v>
      </c>
      <c r="E230" t="s">
        <v>1453</v>
      </c>
      <c r="F230" s="1">
        <v>45866</v>
      </c>
      <c r="G230" t="s">
        <v>1757</v>
      </c>
    </row>
    <row r="231" spans="1:9" x14ac:dyDescent="0.2">
      <c r="A231">
        <v>626</v>
      </c>
      <c r="B231" t="s">
        <v>1752</v>
      </c>
      <c r="C231" s="1">
        <v>41309</v>
      </c>
      <c r="D231" s="1">
        <v>45593</v>
      </c>
      <c r="E231" t="s">
        <v>1453</v>
      </c>
      <c r="F231" s="1">
        <v>45716</v>
      </c>
      <c r="G231" s="1">
        <v>45859</v>
      </c>
      <c r="I231" t="s">
        <v>1753</v>
      </c>
    </row>
    <row r="232" spans="1:9" x14ac:dyDescent="0.2">
      <c r="A232">
        <v>636</v>
      </c>
      <c r="B232" t="s">
        <v>1754</v>
      </c>
      <c r="C232" s="1">
        <v>18961</v>
      </c>
      <c r="D232" s="1">
        <v>45593</v>
      </c>
      <c r="E232" t="s">
        <v>1755</v>
      </c>
    </row>
    <row r="233" spans="1:9" x14ac:dyDescent="0.2">
      <c r="A233">
        <v>484</v>
      </c>
      <c r="B233" t="s">
        <v>1519</v>
      </c>
      <c r="C233" s="1">
        <v>29661</v>
      </c>
      <c r="D233" s="1">
        <v>45592</v>
      </c>
      <c r="E233" t="s">
        <v>387</v>
      </c>
      <c r="G233" s="30" t="s">
        <v>387</v>
      </c>
    </row>
    <row r="234" spans="1:9" x14ac:dyDescent="0.2">
      <c r="A234">
        <v>624</v>
      </c>
      <c r="B234" t="s">
        <v>1749</v>
      </c>
      <c r="C234" s="1">
        <v>23106</v>
      </c>
      <c r="D234" s="1">
        <v>45590</v>
      </c>
      <c r="E234" t="s">
        <v>1637</v>
      </c>
      <c r="G234" t="s">
        <v>1750</v>
      </c>
    </row>
    <row r="235" spans="1:9" x14ac:dyDescent="0.2">
      <c r="A235">
        <v>625</v>
      </c>
      <c r="B235" t="s">
        <v>1751</v>
      </c>
      <c r="C235" s="1">
        <v>25672</v>
      </c>
      <c r="D235" s="1">
        <v>45590</v>
      </c>
      <c r="E235" t="s">
        <v>73</v>
      </c>
      <c r="F235" s="1">
        <v>46213</v>
      </c>
      <c r="G235" t="s">
        <v>1673</v>
      </c>
    </row>
    <row r="236" spans="1:9" x14ac:dyDescent="0.2">
      <c r="A236">
        <v>622</v>
      </c>
      <c r="B236" t="s">
        <v>1746</v>
      </c>
      <c r="C236" s="1">
        <v>30327</v>
      </c>
      <c r="D236" s="1">
        <v>45586</v>
      </c>
      <c r="E236" t="s">
        <v>1567</v>
      </c>
      <c r="F236" t="s">
        <v>1731</v>
      </c>
      <c r="G236" t="s">
        <v>1747</v>
      </c>
    </row>
    <row r="237" spans="1:9" x14ac:dyDescent="0.2">
      <c r="A237">
        <v>623</v>
      </c>
      <c r="B237" t="s">
        <v>1748</v>
      </c>
      <c r="C237" s="1">
        <v>29178</v>
      </c>
      <c r="D237" s="1">
        <v>45586</v>
      </c>
      <c r="E237" t="s">
        <v>1453</v>
      </c>
      <c r="G237" t="s">
        <v>1673</v>
      </c>
    </row>
    <row r="238" spans="1:9" x14ac:dyDescent="0.2">
      <c r="A238">
        <v>619</v>
      </c>
      <c r="B238" t="s">
        <v>1740</v>
      </c>
      <c r="C238" s="1">
        <v>24545</v>
      </c>
      <c r="D238" s="1">
        <v>45583</v>
      </c>
      <c r="E238" t="s">
        <v>447</v>
      </c>
      <c r="G238" t="s">
        <v>1741</v>
      </c>
    </row>
    <row r="239" spans="1:9" x14ac:dyDescent="0.2">
      <c r="A239">
        <v>620</v>
      </c>
      <c r="B239" t="s">
        <v>1742</v>
      </c>
      <c r="C239" s="1">
        <v>24672</v>
      </c>
      <c r="D239" s="1">
        <v>45583</v>
      </c>
      <c r="E239" t="s">
        <v>1453</v>
      </c>
      <c r="G239" t="s">
        <v>1743</v>
      </c>
    </row>
    <row r="240" spans="1:9" x14ac:dyDescent="0.2">
      <c r="A240">
        <v>621</v>
      </c>
      <c r="B240" t="s">
        <v>1744</v>
      </c>
      <c r="C240" s="1">
        <v>33772</v>
      </c>
      <c r="D240" s="1">
        <v>45583</v>
      </c>
      <c r="E240" t="s">
        <v>1224</v>
      </c>
      <c r="G240" s="23" t="s">
        <v>1745</v>
      </c>
    </row>
    <row r="241" spans="1:8" x14ac:dyDescent="0.2">
      <c r="A241">
        <v>616</v>
      </c>
      <c r="B241" t="s">
        <v>1732</v>
      </c>
      <c r="C241" s="1">
        <v>30482</v>
      </c>
      <c r="D241" s="1">
        <v>45572</v>
      </c>
      <c r="E241" t="s">
        <v>1733</v>
      </c>
      <c r="F241" s="1">
        <v>45775</v>
      </c>
      <c r="G241" t="s">
        <v>1734</v>
      </c>
    </row>
    <row r="242" spans="1:8" x14ac:dyDescent="0.2">
      <c r="A242">
        <v>617</v>
      </c>
      <c r="B242" t="s">
        <v>1735</v>
      </c>
      <c r="C242" s="1">
        <v>35342</v>
      </c>
      <c r="D242" s="1">
        <v>45572</v>
      </c>
      <c r="E242" t="s">
        <v>1453</v>
      </c>
      <c r="F242" s="1">
        <v>45775</v>
      </c>
      <c r="G242" t="s">
        <v>1736</v>
      </c>
    </row>
    <row r="243" spans="1:8" x14ac:dyDescent="0.2">
      <c r="A243">
        <v>615</v>
      </c>
      <c r="B243" t="s">
        <v>1728</v>
      </c>
      <c r="C243" s="1">
        <v>24419</v>
      </c>
      <c r="D243" s="1">
        <v>45569</v>
      </c>
      <c r="E243" t="s">
        <v>1729</v>
      </c>
      <c r="G243" s="26" t="s">
        <v>1730</v>
      </c>
    </row>
    <row r="244" spans="1:8" x14ac:dyDescent="0.2">
      <c r="A244">
        <v>614</v>
      </c>
      <c r="B244" t="s">
        <v>1727</v>
      </c>
      <c r="C244" s="1">
        <v>20293</v>
      </c>
      <c r="D244" s="1">
        <v>45565</v>
      </c>
      <c r="E244" t="s">
        <v>73</v>
      </c>
      <c r="G244" t="s">
        <v>1726</v>
      </c>
    </row>
    <row r="245" spans="1:8" x14ac:dyDescent="0.2">
      <c r="A245">
        <v>612</v>
      </c>
      <c r="B245" t="s">
        <v>1723</v>
      </c>
      <c r="C245" s="1">
        <v>16109</v>
      </c>
      <c r="D245" s="1">
        <v>45555</v>
      </c>
      <c r="E245" t="s">
        <v>1453</v>
      </c>
    </row>
    <row r="246" spans="1:8" x14ac:dyDescent="0.2">
      <c r="A246">
        <v>613</v>
      </c>
      <c r="B246" t="s">
        <v>1724</v>
      </c>
      <c r="C246" s="1">
        <v>22785</v>
      </c>
      <c r="D246" s="1">
        <v>45555</v>
      </c>
      <c r="E246" t="s">
        <v>447</v>
      </c>
      <c r="G246" t="s">
        <v>1725</v>
      </c>
    </row>
    <row r="247" spans="1:8" x14ac:dyDescent="0.2">
      <c r="A247">
        <v>610</v>
      </c>
      <c r="B247" t="s">
        <v>1719</v>
      </c>
      <c r="C247" s="1">
        <v>21438</v>
      </c>
      <c r="D247" s="1">
        <v>45551</v>
      </c>
      <c r="E247" t="s">
        <v>1707</v>
      </c>
      <c r="F247" s="1">
        <v>45747</v>
      </c>
      <c r="G247" t="s">
        <v>1720</v>
      </c>
      <c r="H247" s="1">
        <v>46160</v>
      </c>
    </row>
    <row r="248" spans="1:8" x14ac:dyDescent="0.2">
      <c r="A248">
        <v>611</v>
      </c>
      <c r="B248" t="s">
        <v>1721</v>
      </c>
      <c r="C248" s="1">
        <v>27595</v>
      </c>
      <c r="D248" s="1">
        <v>45551</v>
      </c>
      <c r="E248" t="s">
        <v>1637</v>
      </c>
      <c r="G248" s="26" t="s">
        <v>1722</v>
      </c>
    </row>
    <row r="249" spans="1:8" x14ac:dyDescent="0.2">
      <c r="A249">
        <v>608</v>
      </c>
      <c r="B249" t="s">
        <v>1713</v>
      </c>
      <c r="C249" s="1">
        <v>23516</v>
      </c>
      <c r="D249" s="1">
        <v>45544</v>
      </c>
      <c r="E249" t="s">
        <v>1224</v>
      </c>
      <c r="G249" t="s">
        <v>1718</v>
      </c>
    </row>
    <row r="250" spans="1:8" x14ac:dyDescent="0.2">
      <c r="A250">
        <v>609</v>
      </c>
      <c r="B250" t="s">
        <v>1715</v>
      </c>
      <c r="C250" s="1">
        <v>25119</v>
      </c>
      <c r="D250" s="1">
        <v>45544</v>
      </c>
      <c r="E250" t="s">
        <v>1716</v>
      </c>
      <c r="F250" s="1">
        <v>45754</v>
      </c>
      <c r="G250" t="s">
        <v>1717</v>
      </c>
    </row>
    <row r="251" spans="1:8" x14ac:dyDescent="0.2">
      <c r="A251">
        <v>606</v>
      </c>
      <c r="B251" t="s">
        <v>1709</v>
      </c>
      <c r="C251" s="1">
        <v>22478</v>
      </c>
      <c r="D251" s="1">
        <v>45541</v>
      </c>
      <c r="E251" t="s">
        <v>1700</v>
      </c>
      <c r="G251" t="s">
        <v>1710</v>
      </c>
    </row>
    <row r="252" spans="1:8" x14ac:dyDescent="0.2">
      <c r="A252">
        <v>607</v>
      </c>
      <c r="B252" t="s">
        <v>1711</v>
      </c>
      <c r="C252" s="1">
        <v>19505</v>
      </c>
      <c r="D252" s="1">
        <v>45541</v>
      </c>
      <c r="E252" t="s">
        <v>1712</v>
      </c>
      <c r="F252" s="1">
        <v>45793</v>
      </c>
      <c r="G252" t="s">
        <v>1714</v>
      </c>
    </row>
    <row r="253" spans="1:8" x14ac:dyDescent="0.2">
      <c r="A253">
        <v>604</v>
      </c>
      <c r="B253" t="s">
        <v>1702</v>
      </c>
      <c r="C253" s="1">
        <v>28920</v>
      </c>
      <c r="D253" s="1">
        <v>45537</v>
      </c>
      <c r="E253" t="s">
        <v>1703</v>
      </c>
      <c r="G253" t="s">
        <v>1704</v>
      </c>
    </row>
    <row r="254" spans="1:8" x14ac:dyDescent="0.2">
      <c r="A254">
        <v>605</v>
      </c>
      <c r="B254" t="s">
        <v>1706</v>
      </c>
      <c r="C254" s="1">
        <v>23360</v>
      </c>
      <c r="D254" s="1">
        <v>45537</v>
      </c>
      <c r="E254" t="s">
        <v>1707</v>
      </c>
      <c r="F254" s="1">
        <v>45691</v>
      </c>
      <c r="G254" s="1">
        <v>46209</v>
      </c>
      <c r="H254" t="s">
        <v>1708</v>
      </c>
    </row>
    <row r="255" spans="1:8" x14ac:dyDescent="0.2">
      <c r="A255">
        <v>603</v>
      </c>
      <c r="B255" t="s">
        <v>1699</v>
      </c>
      <c r="C255" s="1">
        <v>23428</v>
      </c>
      <c r="D255" s="1">
        <v>45530</v>
      </c>
      <c r="E255" t="s">
        <v>1700</v>
      </c>
      <c r="G255" t="s">
        <v>1701</v>
      </c>
    </row>
    <row r="256" spans="1:8" x14ac:dyDescent="0.2">
      <c r="A256">
        <v>601</v>
      </c>
      <c r="B256" t="s">
        <v>1694</v>
      </c>
      <c r="C256" s="1">
        <v>38542</v>
      </c>
      <c r="D256" s="1">
        <v>45520</v>
      </c>
      <c r="E256" t="s">
        <v>1695</v>
      </c>
      <c r="G256" t="s">
        <v>1696</v>
      </c>
    </row>
    <row r="257" spans="1:7" x14ac:dyDescent="0.2">
      <c r="A257">
        <v>602</v>
      </c>
      <c r="B257" t="s">
        <v>1697</v>
      </c>
      <c r="C257" s="1">
        <v>25391</v>
      </c>
      <c r="D257" s="1">
        <v>45520</v>
      </c>
      <c r="E257" t="s">
        <v>1224</v>
      </c>
      <c r="G257" t="s">
        <v>1698</v>
      </c>
    </row>
    <row r="258" spans="1:7" x14ac:dyDescent="0.2">
      <c r="A258">
        <v>600</v>
      </c>
      <c r="B258" t="s">
        <v>1692</v>
      </c>
      <c r="C258" s="1">
        <v>26279</v>
      </c>
      <c r="D258" s="1">
        <v>45516</v>
      </c>
      <c r="E258" t="s">
        <v>408</v>
      </c>
      <c r="G258" t="s">
        <v>1693</v>
      </c>
    </row>
    <row r="259" spans="1:7" x14ac:dyDescent="0.2">
      <c r="A259">
        <v>599</v>
      </c>
      <c r="B259" t="s">
        <v>1690</v>
      </c>
      <c r="C259" s="1">
        <v>29066</v>
      </c>
      <c r="D259" s="1">
        <v>45509</v>
      </c>
      <c r="E259" t="s">
        <v>1224</v>
      </c>
      <c r="G259" t="s">
        <v>1691</v>
      </c>
    </row>
    <row r="260" spans="1:7" x14ac:dyDescent="0.2">
      <c r="A260">
        <v>597</v>
      </c>
      <c r="B260" t="s">
        <v>1685</v>
      </c>
      <c r="C260" s="1">
        <v>24840</v>
      </c>
      <c r="D260" s="1">
        <v>45506</v>
      </c>
      <c r="E260" t="s">
        <v>1453</v>
      </c>
      <c r="G260" t="s">
        <v>1688</v>
      </c>
    </row>
    <row r="261" spans="1:7" x14ac:dyDescent="0.2">
      <c r="A261">
        <v>598</v>
      </c>
      <c r="B261" t="s">
        <v>1686</v>
      </c>
      <c r="C261" t="s">
        <v>1687</v>
      </c>
      <c r="D261" s="1">
        <v>45506</v>
      </c>
      <c r="E261" t="s">
        <v>1224</v>
      </c>
      <c r="G261" t="s">
        <v>1689</v>
      </c>
    </row>
    <row r="262" spans="1:7" x14ac:dyDescent="0.2">
      <c r="A262">
        <v>595</v>
      </c>
      <c r="B262" t="s">
        <v>1681</v>
      </c>
      <c r="C262" s="1">
        <v>26028</v>
      </c>
      <c r="D262" s="1">
        <v>45502</v>
      </c>
      <c r="E262" t="s">
        <v>1149</v>
      </c>
      <c r="F262" s="1">
        <v>45929</v>
      </c>
      <c r="G262" t="s">
        <v>1673</v>
      </c>
    </row>
    <row r="263" spans="1:7" x14ac:dyDescent="0.2">
      <c r="A263">
        <v>596</v>
      </c>
      <c r="B263" t="s">
        <v>1682</v>
      </c>
      <c r="C263" s="1">
        <v>29776</v>
      </c>
      <c r="D263" s="1">
        <v>45502</v>
      </c>
      <c r="E263" t="s">
        <v>1683</v>
      </c>
      <c r="G263" t="s">
        <v>1684</v>
      </c>
    </row>
    <row r="264" spans="1:7" x14ac:dyDescent="0.2">
      <c r="A264">
        <v>593</v>
      </c>
      <c r="B264" t="s">
        <v>1676</v>
      </c>
      <c r="C264" s="1">
        <v>20804</v>
      </c>
      <c r="D264" s="1">
        <v>45499</v>
      </c>
      <c r="E264" t="s">
        <v>29</v>
      </c>
      <c r="G264" t="s">
        <v>1677</v>
      </c>
    </row>
    <row r="265" spans="1:7" x14ac:dyDescent="0.2">
      <c r="A265">
        <v>594</v>
      </c>
      <c r="B265" t="s">
        <v>1678</v>
      </c>
      <c r="C265" s="1">
        <v>20256</v>
      </c>
      <c r="D265" s="1">
        <v>45499</v>
      </c>
      <c r="E265" t="s">
        <v>1679</v>
      </c>
      <c r="G265" t="s">
        <v>1680</v>
      </c>
    </row>
    <row r="266" spans="1:7" x14ac:dyDescent="0.2">
      <c r="A266">
        <v>592</v>
      </c>
      <c r="B266" t="s">
        <v>1674</v>
      </c>
      <c r="C266" s="1">
        <v>21133</v>
      </c>
      <c r="D266" s="1">
        <v>45495</v>
      </c>
      <c r="E266" t="s">
        <v>387</v>
      </c>
      <c r="G266" t="s">
        <v>1675</v>
      </c>
    </row>
    <row r="267" spans="1:7" x14ac:dyDescent="0.2">
      <c r="A267">
        <v>618</v>
      </c>
      <c r="B267" t="s">
        <v>1737</v>
      </c>
      <c r="C267" s="1">
        <v>25128</v>
      </c>
      <c r="D267" s="1">
        <v>45492</v>
      </c>
      <c r="E267" t="s">
        <v>1738</v>
      </c>
      <c r="F267" s="1">
        <v>45639</v>
      </c>
      <c r="G267" t="s">
        <v>1788</v>
      </c>
    </row>
    <row r="268" spans="1:7" x14ac:dyDescent="0.2">
      <c r="A268">
        <v>677</v>
      </c>
      <c r="B268" t="s">
        <v>1818</v>
      </c>
      <c r="C268" s="1">
        <v>26801</v>
      </c>
      <c r="D268" s="1">
        <v>45492</v>
      </c>
      <c r="E268" t="s">
        <v>1453</v>
      </c>
      <c r="F268" s="1">
        <v>45709</v>
      </c>
    </row>
    <row r="269" spans="1:7" x14ac:dyDescent="0.2">
      <c r="A269">
        <v>590</v>
      </c>
      <c r="B269" t="s">
        <v>1760</v>
      </c>
      <c r="C269" s="1">
        <v>29422</v>
      </c>
      <c r="D269" s="1">
        <v>45488</v>
      </c>
      <c r="E269" t="s">
        <v>1174</v>
      </c>
      <c r="F269" s="1">
        <v>46132</v>
      </c>
      <c r="G269" t="s">
        <v>1670</v>
      </c>
    </row>
    <row r="270" spans="1:7" x14ac:dyDescent="0.2">
      <c r="A270">
        <v>591</v>
      </c>
      <c r="B270" t="s">
        <v>1671</v>
      </c>
      <c r="C270" s="1">
        <v>32580</v>
      </c>
      <c r="D270" s="1">
        <v>45488</v>
      </c>
      <c r="E270" t="s">
        <v>1672</v>
      </c>
      <c r="G270" t="s">
        <v>1673</v>
      </c>
    </row>
    <row r="271" spans="1:7" x14ac:dyDescent="0.2">
      <c r="A271">
        <v>587</v>
      </c>
      <c r="B271" t="s">
        <v>1666</v>
      </c>
      <c r="C271" s="1">
        <v>31197</v>
      </c>
      <c r="D271" s="1">
        <v>45481</v>
      </c>
      <c r="E271" t="s">
        <v>387</v>
      </c>
      <c r="G271" t="s">
        <v>1668</v>
      </c>
    </row>
    <row r="272" spans="1:7" x14ac:dyDescent="0.2">
      <c r="A272">
        <v>588</v>
      </c>
      <c r="B272" t="s">
        <v>1667</v>
      </c>
      <c r="C272" s="1">
        <v>22049</v>
      </c>
      <c r="D272" s="1">
        <v>45481</v>
      </c>
      <c r="E272" t="s">
        <v>447</v>
      </c>
    </row>
    <row r="273" spans="1:8" x14ac:dyDescent="0.2">
      <c r="A273">
        <v>589</v>
      </c>
      <c r="B273" t="s">
        <v>1669</v>
      </c>
      <c r="C273" s="1">
        <v>22790</v>
      </c>
      <c r="D273" s="1">
        <v>45481</v>
      </c>
      <c r="E273" t="s">
        <v>1453</v>
      </c>
      <c r="G273" s="1">
        <v>45670</v>
      </c>
      <c r="H273" s="1">
        <v>45950</v>
      </c>
    </row>
    <row r="274" spans="1:8" x14ac:dyDescent="0.2">
      <c r="A274">
        <v>585</v>
      </c>
      <c r="B274" t="s">
        <v>1662</v>
      </c>
      <c r="C274" s="1">
        <v>20937</v>
      </c>
      <c r="D274" s="1">
        <v>45478</v>
      </c>
      <c r="E274" t="s">
        <v>1415</v>
      </c>
    </row>
    <row r="275" spans="1:8" x14ac:dyDescent="0.2">
      <c r="A275">
        <v>586</v>
      </c>
      <c r="B275" t="s">
        <v>1663</v>
      </c>
      <c r="C275" s="1">
        <v>29981</v>
      </c>
      <c r="D275" s="1">
        <v>45478</v>
      </c>
      <c r="E275" t="s">
        <v>1664</v>
      </c>
      <c r="G275" t="s">
        <v>1665</v>
      </c>
    </row>
    <row r="276" spans="1:8" x14ac:dyDescent="0.2">
      <c r="A276">
        <v>583</v>
      </c>
      <c r="B276" t="s">
        <v>1659</v>
      </c>
      <c r="C276" s="1">
        <v>40428</v>
      </c>
      <c r="D276" s="1">
        <v>45474</v>
      </c>
      <c r="E276" t="s">
        <v>1660</v>
      </c>
      <c r="F276" s="1">
        <v>46101</v>
      </c>
      <c r="G276" t="s">
        <v>1654</v>
      </c>
    </row>
    <row r="277" spans="1:8" x14ac:dyDescent="0.2">
      <c r="A277">
        <v>584</v>
      </c>
      <c r="B277" t="s">
        <v>1661</v>
      </c>
      <c r="C277" s="1">
        <v>20066</v>
      </c>
      <c r="D277" s="1">
        <v>45474</v>
      </c>
      <c r="E277" t="s">
        <v>1415</v>
      </c>
    </row>
    <row r="278" spans="1:8" x14ac:dyDescent="0.2">
      <c r="A278">
        <v>581</v>
      </c>
      <c r="B278" t="s">
        <v>1655</v>
      </c>
      <c r="C278" s="1">
        <v>20930</v>
      </c>
      <c r="D278" s="1">
        <v>45471</v>
      </c>
      <c r="E278" t="s">
        <v>73</v>
      </c>
      <c r="G278" t="s">
        <v>1656</v>
      </c>
    </row>
    <row r="279" spans="1:8" x14ac:dyDescent="0.2">
      <c r="A279">
        <v>582</v>
      </c>
      <c r="B279" t="s">
        <v>1657</v>
      </c>
      <c r="C279" s="1">
        <v>27517</v>
      </c>
      <c r="D279" s="1">
        <v>45471</v>
      </c>
      <c r="E279" t="s">
        <v>447</v>
      </c>
      <c r="G279" t="s">
        <v>1658</v>
      </c>
    </row>
    <row r="280" spans="1:8" x14ac:dyDescent="0.2">
      <c r="A280">
        <v>579</v>
      </c>
      <c r="B280" t="s">
        <v>1652</v>
      </c>
      <c r="C280" s="1">
        <v>23352</v>
      </c>
      <c r="D280" s="1">
        <v>45464</v>
      </c>
      <c r="E280" t="s">
        <v>1415</v>
      </c>
    </row>
    <row r="281" spans="1:8" x14ac:dyDescent="0.2">
      <c r="A281">
        <v>580</v>
      </c>
      <c r="B281" t="s">
        <v>1653</v>
      </c>
      <c r="C281" s="1">
        <v>32392</v>
      </c>
      <c r="D281" s="1">
        <v>45464</v>
      </c>
      <c r="E281" t="s">
        <v>1224</v>
      </c>
      <c r="G281" t="s">
        <v>1654</v>
      </c>
    </row>
    <row r="282" spans="1:8" x14ac:dyDescent="0.2">
      <c r="A282">
        <v>578</v>
      </c>
      <c r="B282" t="s">
        <v>1651</v>
      </c>
      <c r="C282" s="1">
        <v>25155</v>
      </c>
      <c r="D282" s="1">
        <v>45460</v>
      </c>
      <c r="E282" t="s">
        <v>447</v>
      </c>
    </row>
    <row r="283" spans="1:8" x14ac:dyDescent="0.2">
      <c r="A283">
        <v>574</v>
      </c>
      <c r="B283" t="s">
        <v>1645</v>
      </c>
      <c r="C283" s="1">
        <v>17341</v>
      </c>
      <c r="D283" s="1">
        <v>45453</v>
      </c>
      <c r="E283" t="s">
        <v>73</v>
      </c>
      <c r="F283" s="1">
        <v>45908</v>
      </c>
    </row>
    <row r="284" spans="1:8" x14ac:dyDescent="0.2">
      <c r="A284">
        <v>575</v>
      </c>
      <c r="B284" t="s">
        <v>1646</v>
      </c>
      <c r="C284" s="1">
        <v>38051</v>
      </c>
      <c r="D284" s="1">
        <v>45453</v>
      </c>
      <c r="E284" t="s">
        <v>1449</v>
      </c>
      <c r="F284" s="1">
        <v>45628</v>
      </c>
      <c r="G284" s="1">
        <v>45929</v>
      </c>
      <c r="H284" t="s">
        <v>1784</v>
      </c>
    </row>
    <row r="285" spans="1:8" x14ac:dyDescent="0.2">
      <c r="A285">
        <v>576</v>
      </c>
      <c r="B285" t="s">
        <v>1647</v>
      </c>
      <c r="C285" s="1">
        <v>19748</v>
      </c>
      <c r="D285" s="1">
        <v>45453</v>
      </c>
      <c r="E285" t="s">
        <v>1449</v>
      </c>
    </row>
    <row r="286" spans="1:8" x14ac:dyDescent="0.2">
      <c r="A286">
        <v>573</v>
      </c>
      <c r="B286" t="s">
        <v>1644</v>
      </c>
      <c r="C286" s="1">
        <v>35028</v>
      </c>
      <c r="D286" s="1">
        <v>45450</v>
      </c>
      <c r="E286" s="25" t="s">
        <v>972</v>
      </c>
    </row>
    <row r="287" spans="1:8" x14ac:dyDescent="0.2">
      <c r="A287">
        <v>572</v>
      </c>
      <c r="B287" t="s">
        <v>1642</v>
      </c>
      <c r="C287" s="1">
        <v>35926</v>
      </c>
      <c r="D287" s="1">
        <v>45439</v>
      </c>
      <c r="E287" t="s">
        <v>1224</v>
      </c>
      <c r="G287" t="s">
        <v>1643</v>
      </c>
    </row>
    <row r="288" spans="1:8" x14ac:dyDescent="0.2">
      <c r="A288">
        <v>570</v>
      </c>
      <c r="B288" t="s">
        <v>1639</v>
      </c>
      <c r="C288" s="1">
        <v>21888</v>
      </c>
      <c r="D288" s="1">
        <v>45436</v>
      </c>
      <c r="E288" t="s">
        <v>1640</v>
      </c>
    </row>
    <row r="289" spans="1:9" x14ac:dyDescent="0.2">
      <c r="A289">
        <v>571</v>
      </c>
      <c r="B289" t="s">
        <v>1641</v>
      </c>
      <c r="C289" s="1">
        <v>20643</v>
      </c>
      <c r="D289" s="1">
        <v>45436</v>
      </c>
      <c r="E289" t="s">
        <v>73</v>
      </c>
    </row>
    <row r="290" spans="1:9" x14ac:dyDescent="0.2">
      <c r="A290">
        <v>568</v>
      </c>
      <c r="B290" t="s">
        <v>1635</v>
      </c>
      <c r="C290" s="1">
        <v>28633</v>
      </c>
      <c r="D290" s="1">
        <v>45433</v>
      </c>
      <c r="E290" t="s">
        <v>387</v>
      </c>
      <c r="G290" s="24" t="s">
        <v>1638</v>
      </c>
    </row>
    <row r="291" spans="1:9" x14ac:dyDescent="0.2">
      <c r="A291">
        <v>569</v>
      </c>
      <c r="B291" t="s">
        <v>1636</v>
      </c>
      <c r="C291" s="1">
        <v>20684</v>
      </c>
      <c r="D291" s="1">
        <v>45433</v>
      </c>
      <c r="E291" t="s">
        <v>1637</v>
      </c>
      <c r="F291" s="1">
        <v>45492</v>
      </c>
      <c r="G291" s="24" t="s">
        <v>1634</v>
      </c>
    </row>
    <row r="292" spans="1:9" x14ac:dyDescent="0.2">
      <c r="A292">
        <v>562</v>
      </c>
      <c r="B292" t="s">
        <v>1625</v>
      </c>
      <c r="C292" s="1">
        <v>21310</v>
      </c>
      <c r="D292" s="1">
        <v>45425</v>
      </c>
      <c r="E292" t="s">
        <v>1626</v>
      </c>
      <c r="G292" s="35"/>
    </row>
    <row r="293" spans="1:9" x14ac:dyDescent="0.2">
      <c r="A293">
        <v>564</v>
      </c>
      <c r="B293" t="s">
        <v>1628</v>
      </c>
      <c r="C293" s="1">
        <v>29134</v>
      </c>
      <c r="D293" s="1">
        <v>45422</v>
      </c>
      <c r="E293" t="s">
        <v>1415</v>
      </c>
    </row>
    <row r="294" spans="1:9" x14ac:dyDescent="0.2">
      <c r="A294">
        <v>565</v>
      </c>
      <c r="B294" t="s">
        <v>1629</v>
      </c>
      <c r="C294" s="1">
        <v>25118</v>
      </c>
      <c r="D294" s="1">
        <v>45422</v>
      </c>
      <c r="E294" t="s">
        <v>1415</v>
      </c>
      <c r="G294" s="35"/>
    </row>
    <row r="295" spans="1:9" x14ac:dyDescent="0.2">
      <c r="A295">
        <v>561</v>
      </c>
      <c r="B295" t="s">
        <v>1622</v>
      </c>
      <c r="C295" s="1">
        <v>23920</v>
      </c>
      <c r="D295" s="1">
        <v>45418</v>
      </c>
      <c r="E295" t="s">
        <v>13</v>
      </c>
      <c r="G295" t="s">
        <v>1623</v>
      </c>
    </row>
    <row r="296" spans="1:9" x14ac:dyDescent="0.2">
      <c r="A296">
        <v>559</v>
      </c>
      <c r="B296" t="s">
        <v>1619</v>
      </c>
      <c r="C296" s="1">
        <v>24811</v>
      </c>
      <c r="D296" s="1">
        <v>45415</v>
      </c>
      <c r="E296" t="s">
        <v>1415</v>
      </c>
    </row>
    <row r="297" spans="1:9" x14ac:dyDescent="0.2">
      <c r="A297">
        <v>557</v>
      </c>
      <c r="B297" t="s">
        <v>1615</v>
      </c>
      <c r="C297" s="1">
        <v>28632</v>
      </c>
      <c r="D297" s="1">
        <v>45408</v>
      </c>
      <c r="E297" t="s">
        <v>1616</v>
      </c>
      <c r="G297" s="30" t="s">
        <v>1617</v>
      </c>
    </row>
    <row r="298" spans="1:9" x14ac:dyDescent="0.2">
      <c r="A298">
        <v>558</v>
      </c>
      <c r="B298" t="s">
        <v>1618</v>
      </c>
      <c r="C298" s="1">
        <v>36420</v>
      </c>
      <c r="D298" s="1">
        <v>45408</v>
      </c>
      <c r="E298" t="s">
        <v>972</v>
      </c>
      <c r="F298" s="1">
        <v>45509</v>
      </c>
      <c r="G298" s="1">
        <v>46034</v>
      </c>
      <c r="I298" t="s">
        <v>1500</v>
      </c>
    </row>
    <row r="299" spans="1:9" x14ac:dyDescent="0.2">
      <c r="A299">
        <v>555</v>
      </c>
      <c r="B299" t="s">
        <v>1611</v>
      </c>
      <c r="C299" s="1">
        <v>24746</v>
      </c>
      <c r="D299" s="1">
        <v>45404</v>
      </c>
      <c r="E299" t="s">
        <v>1595</v>
      </c>
    </row>
    <row r="300" spans="1:9" x14ac:dyDescent="0.2">
      <c r="A300">
        <v>556</v>
      </c>
      <c r="B300" t="s">
        <v>1612</v>
      </c>
      <c r="C300" s="1">
        <v>32193</v>
      </c>
      <c r="D300" s="1">
        <v>45404</v>
      </c>
      <c r="E300" t="s">
        <v>1521</v>
      </c>
      <c r="G300" s="30" t="s">
        <v>387</v>
      </c>
    </row>
    <row r="301" spans="1:9" x14ac:dyDescent="0.2">
      <c r="A301">
        <v>544</v>
      </c>
      <c r="B301" t="s">
        <v>1606</v>
      </c>
      <c r="C301" s="1">
        <v>21287</v>
      </c>
      <c r="D301" s="1">
        <v>45401</v>
      </c>
      <c r="E301" t="s">
        <v>1607</v>
      </c>
      <c r="G301" s="35"/>
    </row>
    <row r="302" spans="1:9" x14ac:dyDescent="0.2">
      <c r="A302">
        <v>545</v>
      </c>
      <c r="B302" t="s">
        <v>1608</v>
      </c>
      <c r="C302" s="1">
        <v>22498</v>
      </c>
      <c r="D302" s="1">
        <v>45401</v>
      </c>
      <c r="E302" t="s">
        <v>1609</v>
      </c>
      <c r="F302" t="s">
        <v>1610</v>
      </c>
    </row>
    <row r="303" spans="1:9" x14ac:dyDescent="0.2">
      <c r="A303">
        <v>544</v>
      </c>
      <c r="B303" t="s">
        <v>1602</v>
      </c>
      <c r="C303" s="1">
        <v>31316</v>
      </c>
      <c r="D303" s="1">
        <v>45397</v>
      </c>
      <c r="E303" t="s">
        <v>1603</v>
      </c>
    </row>
    <row r="304" spans="1:9" x14ac:dyDescent="0.2">
      <c r="A304">
        <v>543</v>
      </c>
      <c r="B304" t="s">
        <v>1604</v>
      </c>
      <c r="C304" s="1">
        <v>26449</v>
      </c>
      <c r="D304" s="1">
        <v>45397</v>
      </c>
      <c r="E304" t="s">
        <v>1605</v>
      </c>
      <c r="G304" s="35"/>
    </row>
    <row r="305" spans="1:8" x14ac:dyDescent="0.2">
      <c r="A305">
        <v>542</v>
      </c>
      <c r="B305" t="s">
        <v>1599</v>
      </c>
      <c r="C305" s="1">
        <v>24508</v>
      </c>
      <c r="D305" s="1">
        <v>45390</v>
      </c>
      <c r="E305" t="s">
        <v>1582</v>
      </c>
      <c r="F305" s="1">
        <v>46077</v>
      </c>
      <c r="G305" s="1">
        <v>46171</v>
      </c>
    </row>
    <row r="306" spans="1:8" x14ac:dyDescent="0.2">
      <c r="A306">
        <v>543</v>
      </c>
      <c r="B306" t="s">
        <v>1600</v>
      </c>
      <c r="C306" s="1">
        <v>27741</v>
      </c>
      <c r="D306" s="1">
        <v>45390</v>
      </c>
      <c r="E306" t="s">
        <v>1601</v>
      </c>
    </row>
    <row r="307" spans="1:8" x14ac:dyDescent="0.2">
      <c r="A307">
        <v>541</v>
      </c>
      <c r="B307" t="s">
        <v>1597</v>
      </c>
      <c r="C307" s="1">
        <v>37957</v>
      </c>
      <c r="D307" s="1">
        <v>45387</v>
      </c>
      <c r="E307" t="s">
        <v>1598</v>
      </c>
      <c r="F307" s="1">
        <v>45579</v>
      </c>
    </row>
    <row r="308" spans="1:8" x14ac:dyDescent="0.2">
      <c r="A308">
        <v>540</v>
      </c>
      <c r="B308" t="s">
        <v>1594</v>
      </c>
      <c r="C308" s="1">
        <v>21661</v>
      </c>
      <c r="D308" s="1">
        <v>45376</v>
      </c>
      <c r="E308" t="s">
        <v>1595</v>
      </c>
    </row>
    <row r="309" spans="1:8" x14ac:dyDescent="0.2">
      <c r="A309">
        <v>538</v>
      </c>
      <c r="B309" t="s">
        <v>1591</v>
      </c>
      <c r="C309" s="1">
        <v>21080</v>
      </c>
      <c r="D309" s="1">
        <v>45373</v>
      </c>
      <c r="E309" t="s">
        <v>1415</v>
      </c>
    </row>
    <row r="310" spans="1:8" x14ac:dyDescent="0.2">
      <c r="A310">
        <v>539</v>
      </c>
      <c r="B310" t="s">
        <v>1592</v>
      </c>
      <c r="C310" s="1">
        <v>22664</v>
      </c>
      <c r="D310" s="1">
        <v>45373</v>
      </c>
      <c r="E310" t="s">
        <v>447</v>
      </c>
      <c r="F310" t="s">
        <v>1593</v>
      </c>
    </row>
    <row r="311" spans="1:8" x14ac:dyDescent="0.2">
      <c r="A311">
        <v>535</v>
      </c>
      <c r="B311" t="s">
        <v>1587</v>
      </c>
      <c r="C311" s="1">
        <v>21872</v>
      </c>
      <c r="D311" s="1">
        <v>45369</v>
      </c>
      <c r="E311" t="s">
        <v>970</v>
      </c>
      <c r="G311" s="30" t="s">
        <v>1613</v>
      </c>
    </row>
    <row r="312" spans="1:8" x14ac:dyDescent="0.2">
      <c r="A312">
        <v>536</v>
      </c>
      <c r="B312" t="s">
        <v>1588</v>
      </c>
      <c r="C312" s="1">
        <v>30926</v>
      </c>
      <c r="D312" s="1">
        <v>45369</v>
      </c>
      <c r="E312" t="s">
        <v>1415</v>
      </c>
      <c r="G312" s="34" t="s">
        <v>1614</v>
      </c>
    </row>
    <row r="313" spans="1:8" x14ac:dyDescent="0.2">
      <c r="A313">
        <v>537</v>
      </c>
      <c r="B313" t="s">
        <v>1589</v>
      </c>
      <c r="C313" s="1">
        <v>19807</v>
      </c>
      <c r="D313" s="1">
        <v>45369</v>
      </c>
      <c r="E313" t="s">
        <v>1590</v>
      </c>
      <c r="F313" s="1">
        <v>45555</v>
      </c>
      <c r="G313" s="1">
        <v>45670</v>
      </c>
    </row>
    <row r="314" spans="1:8" x14ac:dyDescent="0.2">
      <c r="A314">
        <v>533</v>
      </c>
      <c r="B314" t="s">
        <v>1583</v>
      </c>
      <c r="C314" s="1">
        <v>23472</v>
      </c>
      <c r="D314" s="1">
        <v>45366</v>
      </c>
      <c r="E314" t="s">
        <v>1584</v>
      </c>
    </row>
    <row r="315" spans="1:8" x14ac:dyDescent="0.2">
      <c r="A315">
        <v>534</v>
      </c>
      <c r="B315" t="s">
        <v>1585</v>
      </c>
      <c r="C315" s="1">
        <v>24362</v>
      </c>
      <c r="D315" s="1">
        <v>45366</v>
      </c>
      <c r="E315" t="s">
        <v>1586</v>
      </c>
      <c r="F315" s="1">
        <v>45474</v>
      </c>
      <c r="G315" s="29">
        <v>46209</v>
      </c>
      <c r="H315" s="26" t="s">
        <v>2257</v>
      </c>
    </row>
    <row r="316" spans="1:8" x14ac:dyDescent="0.2">
      <c r="A316">
        <v>530</v>
      </c>
      <c r="B316" t="s">
        <v>1579</v>
      </c>
      <c r="C316" s="1">
        <v>32983</v>
      </c>
      <c r="D316" s="1">
        <v>45362</v>
      </c>
      <c r="E316" t="s">
        <v>1449</v>
      </c>
      <c r="F316" s="1">
        <v>45628</v>
      </c>
      <c r="H316" t="s">
        <v>1784</v>
      </c>
    </row>
    <row r="317" spans="1:8" x14ac:dyDescent="0.2">
      <c r="A317">
        <v>531</v>
      </c>
      <c r="B317" t="s">
        <v>1580</v>
      </c>
      <c r="C317" s="1">
        <v>23376</v>
      </c>
      <c r="D317" s="1">
        <v>45362</v>
      </c>
      <c r="E317" t="s">
        <v>1596</v>
      </c>
    </row>
    <row r="318" spans="1:8" x14ac:dyDescent="0.2">
      <c r="A318">
        <v>532</v>
      </c>
      <c r="B318" t="s">
        <v>1581</v>
      </c>
      <c r="C318" s="1">
        <v>23889</v>
      </c>
      <c r="D318" s="1">
        <v>45362</v>
      </c>
      <c r="E318" t="s">
        <v>1582</v>
      </c>
      <c r="G318" s="35"/>
    </row>
    <row r="319" spans="1:8" x14ac:dyDescent="0.2">
      <c r="A319">
        <v>703</v>
      </c>
      <c r="B319" t="s">
        <v>1872</v>
      </c>
      <c r="C319" s="1">
        <v>32983</v>
      </c>
      <c r="D319" s="1">
        <v>45362</v>
      </c>
      <c r="E319" t="s">
        <v>1787</v>
      </c>
      <c r="F319" s="1">
        <v>45628</v>
      </c>
      <c r="G319" s="36">
        <v>45789</v>
      </c>
      <c r="H319" s="1">
        <v>46045</v>
      </c>
    </row>
    <row r="320" spans="1:8" x14ac:dyDescent="0.2">
      <c r="A320">
        <v>528</v>
      </c>
      <c r="B320" t="s">
        <v>1576</v>
      </c>
      <c r="C320" s="1">
        <v>25231</v>
      </c>
      <c r="D320" s="1">
        <v>45345</v>
      </c>
      <c r="E320" t="s">
        <v>1577</v>
      </c>
    </row>
    <row r="321" spans="1:9" x14ac:dyDescent="0.2">
      <c r="A321">
        <v>529</v>
      </c>
      <c r="B321" t="s">
        <v>1578</v>
      </c>
      <c r="C321" s="1">
        <v>25408</v>
      </c>
      <c r="D321" s="1">
        <v>45345</v>
      </c>
      <c r="E321" t="s">
        <v>1224</v>
      </c>
    </row>
    <row r="322" spans="1:9" x14ac:dyDescent="0.2">
      <c r="A322">
        <v>526</v>
      </c>
      <c r="B322" t="s">
        <v>1573</v>
      </c>
      <c r="C322" s="1">
        <v>35347</v>
      </c>
      <c r="D322" s="1">
        <v>45341</v>
      </c>
      <c r="E322" t="s">
        <v>1574</v>
      </c>
    </row>
    <row r="323" spans="1:9" x14ac:dyDescent="0.2">
      <c r="A323">
        <v>527</v>
      </c>
      <c r="B323" t="s">
        <v>1575</v>
      </c>
      <c r="C323" s="1">
        <v>24405</v>
      </c>
      <c r="D323" s="1">
        <v>45341</v>
      </c>
      <c r="E323" t="s">
        <v>387</v>
      </c>
    </row>
    <row r="324" spans="1:9" x14ac:dyDescent="0.2">
      <c r="A324">
        <v>525</v>
      </c>
      <c r="B324" t="s">
        <v>1572</v>
      </c>
      <c r="C324" s="1">
        <v>27875</v>
      </c>
      <c r="D324" s="1">
        <v>45338</v>
      </c>
      <c r="E324" t="s">
        <v>387</v>
      </c>
      <c r="G324" s="30" t="s">
        <v>387</v>
      </c>
    </row>
    <row r="325" spans="1:9" x14ac:dyDescent="0.2">
      <c r="A325">
        <v>566</v>
      </c>
      <c r="B325" t="s">
        <v>1631</v>
      </c>
      <c r="C325" s="1">
        <v>31862</v>
      </c>
      <c r="D325" s="1">
        <v>45335</v>
      </c>
      <c r="E325" t="s">
        <v>1632</v>
      </c>
      <c r="G325" s="32" t="s">
        <v>1634</v>
      </c>
    </row>
    <row r="326" spans="1:9" x14ac:dyDescent="0.2">
      <c r="A326">
        <v>567</v>
      </c>
      <c r="B326" t="s">
        <v>1633</v>
      </c>
      <c r="C326" s="1">
        <v>28501</v>
      </c>
      <c r="D326" s="1">
        <v>45335</v>
      </c>
      <c r="E326" t="s">
        <v>13</v>
      </c>
      <c r="G326" s="32" t="s">
        <v>1634</v>
      </c>
    </row>
    <row r="327" spans="1:9" x14ac:dyDescent="0.2">
      <c r="A327">
        <v>524</v>
      </c>
      <c r="B327" t="s">
        <v>1571</v>
      </c>
      <c r="C327" s="1">
        <v>32824</v>
      </c>
      <c r="D327" s="1">
        <v>45334</v>
      </c>
      <c r="E327" t="s">
        <v>387</v>
      </c>
      <c r="G327" s="30" t="s">
        <v>387</v>
      </c>
    </row>
    <row r="328" spans="1:9" x14ac:dyDescent="0.2">
      <c r="A328">
        <v>563</v>
      </c>
      <c r="B328" t="s">
        <v>1627</v>
      </c>
      <c r="C328" s="1">
        <v>23091</v>
      </c>
      <c r="D328" s="1">
        <v>45334</v>
      </c>
      <c r="E328" t="s">
        <v>1449</v>
      </c>
      <c r="F328" s="1">
        <v>45425</v>
      </c>
      <c r="G328" s="36">
        <v>45702</v>
      </c>
      <c r="H328" s="1">
        <v>46188</v>
      </c>
      <c r="I328" t="s">
        <v>2230</v>
      </c>
    </row>
    <row r="329" spans="1:9" x14ac:dyDescent="0.2">
      <c r="A329">
        <v>520</v>
      </c>
      <c r="B329" t="s">
        <v>1568</v>
      </c>
      <c r="C329" s="1">
        <v>25461</v>
      </c>
      <c r="D329" s="1">
        <v>45331</v>
      </c>
      <c r="E329" t="s">
        <v>1453</v>
      </c>
      <c r="F329" s="1">
        <v>45646</v>
      </c>
      <c r="G329" s="1">
        <v>45838</v>
      </c>
    </row>
    <row r="330" spans="1:9" x14ac:dyDescent="0.2">
      <c r="A330">
        <v>521</v>
      </c>
      <c r="B330" t="s">
        <v>1569</v>
      </c>
      <c r="C330" s="1">
        <v>19339</v>
      </c>
      <c r="D330" s="1">
        <v>45331</v>
      </c>
      <c r="E330" t="s">
        <v>1453</v>
      </c>
    </row>
    <row r="331" spans="1:9" x14ac:dyDescent="0.2">
      <c r="A331">
        <v>523</v>
      </c>
      <c r="B331" t="s">
        <v>1570</v>
      </c>
      <c r="C331" s="1">
        <v>23923</v>
      </c>
      <c r="D331" s="1">
        <v>45331</v>
      </c>
      <c r="E331" t="s">
        <v>1561</v>
      </c>
    </row>
    <row r="332" spans="1:9" x14ac:dyDescent="0.2">
      <c r="A332">
        <v>519</v>
      </c>
      <c r="B332" t="s">
        <v>1566</v>
      </c>
      <c r="C332" s="1">
        <v>20551</v>
      </c>
      <c r="D332" s="1">
        <v>45320</v>
      </c>
      <c r="E332" t="s">
        <v>1567</v>
      </c>
    </row>
    <row r="333" spans="1:9" x14ac:dyDescent="0.2">
      <c r="A333">
        <v>517</v>
      </c>
      <c r="B333" t="s">
        <v>1563</v>
      </c>
      <c r="C333" s="1">
        <v>30232</v>
      </c>
      <c r="D333" s="1">
        <v>45317</v>
      </c>
      <c r="E333" t="s">
        <v>1564</v>
      </c>
    </row>
    <row r="334" spans="1:9" x14ac:dyDescent="0.2">
      <c r="A334">
        <v>518</v>
      </c>
      <c r="B334" t="s">
        <v>1565</v>
      </c>
      <c r="C334" s="1">
        <v>25632</v>
      </c>
      <c r="D334" s="1">
        <v>45317</v>
      </c>
      <c r="E334" t="s">
        <v>1453</v>
      </c>
    </row>
    <row r="335" spans="1:9" x14ac:dyDescent="0.2">
      <c r="A335">
        <v>515</v>
      </c>
      <c r="B335" t="s">
        <v>1558</v>
      </c>
      <c r="C335" s="1">
        <v>13868</v>
      </c>
      <c r="D335" s="1">
        <v>45313</v>
      </c>
      <c r="E335" t="s">
        <v>1559</v>
      </c>
    </row>
    <row r="336" spans="1:9" x14ac:dyDescent="0.2">
      <c r="A336">
        <v>516</v>
      </c>
      <c r="B336" t="s">
        <v>1560</v>
      </c>
      <c r="C336" s="1">
        <v>28286</v>
      </c>
      <c r="D336" s="1">
        <v>45313</v>
      </c>
      <c r="E336" t="s">
        <v>1561</v>
      </c>
      <c r="F336" s="1">
        <v>45429</v>
      </c>
      <c r="H336" t="s">
        <v>1630</v>
      </c>
    </row>
    <row r="337" spans="1:9" x14ac:dyDescent="0.2">
      <c r="A337">
        <v>514</v>
      </c>
      <c r="B337" t="s">
        <v>1557</v>
      </c>
      <c r="C337" s="1">
        <v>27200</v>
      </c>
      <c r="D337" s="1">
        <v>45306</v>
      </c>
      <c r="E337" t="s">
        <v>1224</v>
      </c>
    </row>
    <row r="338" spans="1:9" x14ac:dyDescent="0.2">
      <c r="A338">
        <v>513</v>
      </c>
      <c r="B338" t="s">
        <v>1555</v>
      </c>
      <c r="C338" s="1">
        <v>24426</v>
      </c>
      <c r="D338" s="1">
        <v>45299</v>
      </c>
      <c r="E338" t="s">
        <v>1556</v>
      </c>
    </row>
    <row r="339" spans="1:9" x14ac:dyDescent="0.2">
      <c r="A339">
        <v>511</v>
      </c>
      <c r="B339" t="s">
        <v>1553</v>
      </c>
      <c r="C339" s="1">
        <v>25338</v>
      </c>
      <c r="D339" s="1">
        <v>45271</v>
      </c>
      <c r="E339" t="s">
        <v>1505</v>
      </c>
    </row>
    <row r="340" spans="1:9" x14ac:dyDescent="0.2">
      <c r="A340">
        <v>512</v>
      </c>
      <c r="B340" t="s">
        <v>1554</v>
      </c>
      <c r="C340" s="1">
        <v>28753</v>
      </c>
      <c r="D340" s="1">
        <v>45271</v>
      </c>
      <c r="E340" t="s">
        <v>1224</v>
      </c>
    </row>
    <row r="341" spans="1:9" x14ac:dyDescent="0.2">
      <c r="A341">
        <v>509</v>
      </c>
      <c r="B341" t="s">
        <v>1549</v>
      </c>
      <c r="C341" s="1">
        <v>36944</v>
      </c>
      <c r="D341" s="1">
        <v>45268</v>
      </c>
      <c r="E341" t="s">
        <v>1550</v>
      </c>
      <c r="F341" s="1">
        <v>45390</v>
      </c>
      <c r="G341" s="1">
        <v>45579</v>
      </c>
      <c r="H341" s="1">
        <v>45852</v>
      </c>
      <c r="I341" t="s">
        <v>1739</v>
      </c>
    </row>
    <row r="342" spans="1:9" x14ac:dyDescent="0.2">
      <c r="A342">
        <v>510</v>
      </c>
      <c r="B342" t="s">
        <v>1551</v>
      </c>
      <c r="C342" s="1">
        <v>23568</v>
      </c>
      <c r="D342" s="1">
        <v>45268</v>
      </c>
      <c r="E342" t="s">
        <v>1552</v>
      </c>
    </row>
    <row r="343" spans="1:9" x14ac:dyDescent="0.2">
      <c r="A343">
        <v>508</v>
      </c>
      <c r="B343" t="s">
        <v>1785</v>
      </c>
      <c r="C343" s="1">
        <v>34359</v>
      </c>
      <c r="D343" s="1">
        <v>45264</v>
      </c>
      <c r="E343" t="s">
        <v>1453</v>
      </c>
      <c r="F343" s="1">
        <v>45376</v>
      </c>
      <c r="G343" s="1">
        <v>45628</v>
      </c>
      <c r="H343" s="1">
        <v>45999</v>
      </c>
    </row>
    <row r="344" spans="1:9" x14ac:dyDescent="0.2">
      <c r="A344">
        <v>506</v>
      </c>
      <c r="B344" t="s">
        <v>1546</v>
      </c>
      <c r="C344" s="1">
        <v>20800</v>
      </c>
      <c r="D344" s="1">
        <v>45261</v>
      </c>
      <c r="E344" t="s">
        <v>1224</v>
      </c>
    </row>
    <row r="345" spans="1:9" x14ac:dyDescent="0.2">
      <c r="A345">
        <v>507</v>
      </c>
      <c r="B345" t="s">
        <v>1547</v>
      </c>
      <c r="C345" s="1">
        <v>31994</v>
      </c>
      <c r="D345" s="1">
        <v>45261</v>
      </c>
      <c r="E345" t="s">
        <v>1505</v>
      </c>
    </row>
    <row r="346" spans="1:9" x14ac:dyDescent="0.2">
      <c r="A346">
        <v>505</v>
      </c>
      <c r="B346" t="s">
        <v>1545</v>
      </c>
      <c r="C346" s="1">
        <v>30061</v>
      </c>
      <c r="D346" s="1">
        <v>45257</v>
      </c>
      <c r="E346" t="s">
        <v>1505</v>
      </c>
    </row>
    <row r="347" spans="1:9" x14ac:dyDescent="0.2">
      <c r="A347">
        <v>502</v>
      </c>
      <c r="B347" t="s">
        <v>1541</v>
      </c>
      <c r="C347" s="1">
        <v>15500</v>
      </c>
      <c r="D347" s="1">
        <v>45254</v>
      </c>
      <c r="E347" t="s">
        <v>1542</v>
      </c>
    </row>
    <row r="348" spans="1:9" x14ac:dyDescent="0.2">
      <c r="A348">
        <v>503</v>
      </c>
      <c r="B348" t="s">
        <v>1543</v>
      </c>
      <c r="C348" s="1">
        <v>36220</v>
      </c>
      <c r="D348" s="1">
        <v>45254</v>
      </c>
      <c r="E348" t="s">
        <v>1505</v>
      </c>
    </row>
    <row r="349" spans="1:9" x14ac:dyDescent="0.2">
      <c r="A349">
        <v>504</v>
      </c>
      <c r="B349" t="s">
        <v>1544</v>
      </c>
      <c r="C349" s="1">
        <v>25402</v>
      </c>
      <c r="D349" s="1">
        <v>45254</v>
      </c>
      <c r="E349" t="s">
        <v>1224</v>
      </c>
    </row>
    <row r="350" spans="1:9" x14ac:dyDescent="0.2">
      <c r="A350">
        <v>495</v>
      </c>
      <c r="B350" t="s">
        <v>1534</v>
      </c>
      <c r="C350" s="1">
        <v>28591</v>
      </c>
      <c r="D350" s="1">
        <v>45250</v>
      </c>
      <c r="E350" t="s">
        <v>18</v>
      </c>
    </row>
    <row r="351" spans="1:9" x14ac:dyDescent="0.2">
      <c r="A351">
        <v>496</v>
      </c>
      <c r="B351" t="s">
        <v>1535</v>
      </c>
      <c r="C351" s="1">
        <v>14773</v>
      </c>
      <c r="D351" s="1">
        <v>45250</v>
      </c>
      <c r="E351" t="s">
        <v>377</v>
      </c>
    </row>
    <row r="352" spans="1:9" x14ac:dyDescent="0.2">
      <c r="A352">
        <v>493</v>
      </c>
      <c r="B352" t="s">
        <v>1531</v>
      </c>
      <c r="C352" s="1">
        <v>20932</v>
      </c>
      <c r="D352" s="1">
        <v>45247</v>
      </c>
      <c r="E352" t="s">
        <v>1532</v>
      </c>
    </row>
    <row r="353" spans="1:8" x14ac:dyDescent="0.2">
      <c r="A353">
        <v>494</v>
      </c>
      <c r="B353" t="s">
        <v>1533</v>
      </c>
      <c r="C353" s="1">
        <v>30823</v>
      </c>
      <c r="D353" s="1">
        <v>45247</v>
      </c>
      <c r="E353" t="s">
        <v>1505</v>
      </c>
    </row>
    <row r="354" spans="1:8" x14ac:dyDescent="0.2">
      <c r="A354">
        <v>491</v>
      </c>
      <c r="B354" t="s">
        <v>1528</v>
      </c>
      <c r="C354" s="1">
        <v>30803</v>
      </c>
      <c r="D354" s="1">
        <v>45243</v>
      </c>
      <c r="E354" t="s">
        <v>1529</v>
      </c>
    </row>
    <row r="355" spans="1:8" x14ac:dyDescent="0.2">
      <c r="A355">
        <v>492</v>
      </c>
      <c r="B355" t="s">
        <v>1530</v>
      </c>
      <c r="C355" s="1">
        <v>29867</v>
      </c>
      <c r="D355" s="1">
        <v>45243</v>
      </c>
      <c r="E355" t="s">
        <v>1505</v>
      </c>
    </row>
    <row r="356" spans="1:8" x14ac:dyDescent="0.2">
      <c r="A356">
        <v>490</v>
      </c>
      <c r="B356" t="s">
        <v>1526</v>
      </c>
      <c r="C356" s="1">
        <v>31104</v>
      </c>
      <c r="D356" s="1">
        <v>45240</v>
      </c>
      <c r="E356" t="s">
        <v>1527</v>
      </c>
    </row>
    <row r="357" spans="1:8" x14ac:dyDescent="0.2">
      <c r="A357">
        <v>488</v>
      </c>
      <c r="B357" t="s">
        <v>1524</v>
      </c>
      <c r="C357" s="1">
        <v>26599</v>
      </c>
      <c r="D357" s="1">
        <v>45236</v>
      </c>
      <c r="E357" t="s">
        <v>1449</v>
      </c>
      <c r="F357" s="1">
        <v>45779</v>
      </c>
    </row>
    <row r="358" spans="1:8" x14ac:dyDescent="0.2">
      <c r="A358">
        <v>489</v>
      </c>
      <c r="B358" t="s">
        <v>1525</v>
      </c>
      <c r="C358" s="1">
        <v>29710</v>
      </c>
      <c r="D358" s="1">
        <v>45236</v>
      </c>
      <c r="E358" t="s">
        <v>387</v>
      </c>
    </row>
    <row r="359" spans="1:8" x14ac:dyDescent="0.2">
      <c r="A359">
        <v>487</v>
      </c>
      <c r="B359" t="s">
        <v>1523</v>
      </c>
      <c r="C359" s="1">
        <v>23335</v>
      </c>
      <c r="D359" s="1">
        <v>45233</v>
      </c>
      <c r="E359" t="s">
        <v>447</v>
      </c>
    </row>
    <row r="360" spans="1:8" x14ac:dyDescent="0.2">
      <c r="A360">
        <v>485</v>
      </c>
      <c r="B360" t="s">
        <v>1520</v>
      </c>
      <c r="C360" s="1">
        <v>30503</v>
      </c>
      <c r="D360" s="1">
        <v>45229</v>
      </c>
      <c r="E360" t="s">
        <v>1521</v>
      </c>
    </row>
    <row r="361" spans="1:8" x14ac:dyDescent="0.2">
      <c r="A361">
        <v>486</v>
      </c>
      <c r="B361" t="s">
        <v>1522</v>
      </c>
      <c r="C361" s="1">
        <v>32400</v>
      </c>
      <c r="D361" s="1">
        <v>45229</v>
      </c>
      <c r="E361" t="s">
        <v>1505</v>
      </c>
    </row>
    <row r="362" spans="1:8" x14ac:dyDescent="0.2">
      <c r="A362">
        <v>482</v>
      </c>
      <c r="B362" t="s">
        <v>1516</v>
      </c>
      <c r="C362" s="1">
        <v>27033</v>
      </c>
      <c r="D362" s="1">
        <v>45223</v>
      </c>
      <c r="E362" t="s">
        <v>1517</v>
      </c>
    </row>
    <row r="363" spans="1:8" x14ac:dyDescent="0.2">
      <c r="A363">
        <v>483</v>
      </c>
      <c r="B363" t="s">
        <v>1518</v>
      </c>
      <c r="C363" s="1">
        <v>30744</v>
      </c>
      <c r="D363" s="1">
        <v>45223</v>
      </c>
      <c r="E363" t="s">
        <v>1224</v>
      </c>
      <c r="F363" s="1">
        <v>45964</v>
      </c>
    </row>
    <row r="364" spans="1:8" x14ac:dyDescent="0.2">
      <c r="A364">
        <v>480</v>
      </c>
      <c r="B364" t="s">
        <v>1514</v>
      </c>
      <c r="C364" s="1">
        <v>29291</v>
      </c>
      <c r="D364" s="1">
        <v>45222</v>
      </c>
      <c r="E364" t="s">
        <v>447</v>
      </c>
    </row>
    <row r="365" spans="1:8" x14ac:dyDescent="0.2">
      <c r="A365">
        <v>481</v>
      </c>
      <c r="B365" t="s">
        <v>1515</v>
      </c>
      <c r="C365" s="1">
        <v>35598</v>
      </c>
      <c r="D365" s="1">
        <v>45222</v>
      </c>
      <c r="E365" t="s">
        <v>387</v>
      </c>
    </row>
    <row r="366" spans="1:8" x14ac:dyDescent="0.2">
      <c r="A366">
        <v>478</v>
      </c>
      <c r="B366" t="s">
        <v>1512</v>
      </c>
      <c r="C366" s="1">
        <v>25836</v>
      </c>
      <c r="D366" s="1">
        <v>45219</v>
      </c>
      <c r="E366" t="s">
        <v>18</v>
      </c>
      <c r="G366" s="35"/>
    </row>
    <row r="367" spans="1:8" x14ac:dyDescent="0.2">
      <c r="A367">
        <v>479</v>
      </c>
      <c r="B367" t="s">
        <v>1513</v>
      </c>
      <c r="C367" s="1">
        <v>27666</v>
      </c>
      <c r="D367" s="1">
        <v>45219</v>
      </c>
      <c r="E367" t="s">
        <v>18</v>
      </c>
      <c r="F367" s="1">
        <v>45737</v>
      </c>
      <c r="H367" t="s">
        <v>1836</v>
      </c>
    </row>
    <row r="368" spans="1:8" x14ac:dyDescent="0.2">
      <c r="A368">
        <v>474</v>
      </c>
      <c r="B368" t="s">
        <v>1508</v>
      </c>
      <c r="C368" s="1">
        <v>21480</v>
      </c>
      <c r="D368" s="1">
        <v>45215</v>
      </c>
      <c r="E368" t="s">
        <v>447</v>
      </c>
    </row>
    <row r="369" spans="1:6" x14ac:dyDescent="0.2">
      <c r="A369">
        <v>475</v>
      </c>
      <c r="B369" t="s">
        <v>1509</v>
      </c>
      <c r="C369" s="1">
        <v>19028</v>
      </c>
      <c r="D369" s="1">
        <v>45212</v>
      </c>
      <c r="E369" t="s">
        <v>959</v>
      </c>
    </row>
    <row r="370" spans="1:6" x14ac:dyDescent="0.2">
      <c r="A370">
        <v>476</v>
      </c>
      <c r="B370" t="s">
        <v>1510</v>
      </c>
      <c r="C370" s="1">
        <v>25128</v>
      </c>
      <c r="D370" s="1">
        <v>45212</v>
      </c>
      <c r="E370" t="s">
        <v>18</v>
      </c>
    </row>
    <row r="371" spans="1:6" x14ac:dyDescent="0.2">
      <c r="A371">
        <v>477</v>
      </c>
      <c r="B371" t="s">
        <v>1511</v>
      </c>
      <c r="C371" s="1">
        <v>22586</v>
      </c>
      <c r="D371" s="1">
        <v>45212</v>
      </c>
      <c r="E371" t="s">
        <v>447</v>
      </c>
      <c r="F371" s="1">
        <v>45600</v>
      </c>
    </row>
    <row r="372" spans="1:6" x14ac:dyDescent="0.2">
      <c r="A372">
        <v>472</v>
      </c>
      <c r="B372" t="s">
        <v>1504</v>
      </c>
      <c r="C372" s="1">
        <v>32275</v>
      </c>
      <c r="D372" s="1">
        <v>45210</v>
      </c>
      <c r="E372" t="s">
        <v>1505</v>
      </c>
    </row>
    <row r="373" spans="1:6" x14ac:dyDescent="0.2">
      <c r="A373">
        <v>473</v>
      </c>
      <c r="B373" t="s">
        <v>1506</v>
      </c>
      <c r="C373" s="1">
        <v>29016</v>
      </c>
      <c r="D373" s="1">
        <v>45210</v>
      </c>
      <c r="E373" t="s">
        <v>1507</v>
      </c>
    </row>
    <row r="374" spans="1:6" x14ac:dyDescent="0.2">
      <c r="A374">
        <v>470</v>
      </c>
      <c r="B374" t="s">
        <v>1501</v>
      </c>
      <c r="C374" s="1">
        <v>24896</v>
      </c>
      <c r="D374" s="1">
        <v>45208</v>
      </c>
      <c r="E374" t="s">
        <v>1502</v>
      </c>
    </row>
    <row r="375" spans="1:6" x14ac:dyDescent="0.2">
      <c r="A375">
        <v>471</v>
      </c>
      <c r="B375" t="s">
        <v>1503</v>
      </c>
      <c r="C375" s="1">
        <v>24279</v>
      </c>
      <c r="D375" s="1">
        <v>45205</v>
      </c>
      <c r="E375" t="s">
        <v>387</v>
      </c>
    </row>
    <row r="376" spans="1:6" x14ac:dyDescent="0.2">
      <c r="A376">
        <v>469</v>
      </c>
      <c r="B376" t="s">
        <v>1499</v>
      </c>
      <c r="C376" s="1">
        <v>22092</v>
      </c>
      <c r="D376" s="1">
        <v>45201</v>
      </c>
      <c r="E376" t="s">
        <v>387</v>
      </c>
    </row>
    <row r="377" spans="1:6" x14ac:dyDescent="0.2">
      <c r="A377">
        <v>465</v>
      </c>
      <c r="B377" t="s">
        <v>1493</v>
      </c>
      <c r="C377" s="1">
        <v>21698</v>
      </c>
      <c r="D377" s="1">
        <v>45198</v>
      </c>
      <c r="E377" t="s">
        <v>1449</v>
      </c>
    </row>
    <row r="378" spans="1:6" x14ac:dyDescent="0.2">
      <c r="A378">
        <v>466</v>
      </c>
      <c r="B378" t="s">
        <v>1494</v>
      </c>
      <c r="C378" s="1">
        <v>24402</v>
      </c>
      <c r="D378" s="1">
        <v>45198</v>
      </c>
      <c r="E378" t="s">
        <v>1495</v>
      </c>
    </row>
    <row r="379" spans="1:6" x14ac:dyDescent="0.2">
      <c r="A379">
        <v>467</v>
      </c>
      <c r="B379" t="s">
        <v>1496</v>
      </c>
      <c r="C379" s="1">
        <v>38900</v>
      </c>
      <c r="D379" s="1">
        <v>45198</v>
      </c>
      <c r="E379" t="s">
        <v>1497</v>
      </c>
    </row>
    <row r="380" spans="1:6" x14ac:dyDescent="0.2">
      <c r="A380">
        <v>464</v>
      </c>
      <c r="B380" t="s">
        <v>1492</v>
      </c>
      <c r="C380" s="1">
        <v>30201</v>
      </c>
      <c r="D380" s="1">
        <v>45196</v>
      </c>
      <c r="E380" t="s">
        <v>1224</v>
      </c>
    </row>
    <row r="381" spans="1:6" x14ac:dyDescent="0.2">
      <c r="A381">
        <v>461</v>
      </c>
      <c r="B381" t="s">
        <v>1488</v>
      </c>
      <c r="C381" s="1">
        <v>29917</v>
      </c>
      <c r="D381" s="1">
        <v>45191</v>
      </c>
      <c r="E381" t="s">
        <v>1224</v>
      </c>
    </row>
    <row r="382" spans="1:6" x14ac:dyDescent="0.2">
      <c r="A382">
        <v>462</v>
      </c>
      <c r="B382" t="s">
        <v>1489</v>
      </c>
      <c r="C382" s="1">
        <v>24327</v>
      </c>
      <c r="D382" s="1">
        <v>45191</v>
      </c>
      <c r="E382" t="s">
        <v>1449</v>
      </c>
    </row>
    <row r="383" spans="1:6" x14ac:dyDescent="0.2">
      <c r="A383">
        <v>463</v>
      </c>
      <c r="B383" t="s">
        <v>1490</v>
      </c>
      <c r="C383" s="1">
        <v>25595</v>
      </c>
      <c r="D383" s="1">
        <v>45191</v>
      </c>
      <c r="E383" t="s">
        <v>1491</v>
      </c>
    </row>
    <row r="384" spans="1:6" x14ac:dyDescent="0.2">
      <c r="A384">
        <v>460</v>
      </c>
      <c r="B384" t="s">
        <v>1487</v>
      </c>
      <c r="C384" s="1">
        <v>25671</v>
      </c>
      <c r="D384" s="1">
        <v>45187</v>
      </c>
      <c r="E384" t="s">
        <v>387</v>
      </c>
    </row>
    <row r="385" spans="1:7" x14ac:dyDescent="0.2">
      <c r="A385">
        <v>457</v>
      </c>
      <c r="B385" t="s">
        <v>1483</v>
      </c>
      <c r="C385" s="1">
        <v>25778</v>
      </c>
      <c r="D385" s="1">
        <v>45180</v>
      </c>
      <c r="E385" t="s">
        <v>1397</v>
      </c>
    </row>
    <row r="386" spans="1:7" x14ac:dyDescent="0.2">
      <c r="A386">
        <v>459</v>
      </c>
      <c r="B386" t="s">
        <v>1486</v>
      </c>
      <c r="C386" s="1">
        <v>15564</v>
      </c>
      <c r="D386" s="1">
        <v>45180</v>
      </c>
      <c r="E386" t="s">
        <v>972</v>
      </c>
    </row>
    <row r="387" spans="1:7" x14ac:dyDescent="0.2">
      <c r="A387">
        <v>456</v>
      </c>
      <c r="B387" t="s">
        <v>1482</v>
      </c>
      <c r="C387" s="1">
        <v>23371</v>
      </c>
      <c r="D387" s="1">
        <v>45177</v>
      </c>
      <c r="E387" t="s">
        <v>970</v>
      </c>
      <c r="F387" s="1">
        <v>45922</v>
      </c>
    </row>
    <row r="388" spans="1:7" x14ac:dyDescent="0.2">
      <c r="A388">
        <v>454</v>
      </c>
      <c r="B388" t="s">
        <v>1480</v>
      </c>
      <c r="C388" s="1">
        <v>24881</v>
      </c>
      <c r="D388" s="1">
        <v>45173</v>
      </c>
      <c r="E388" t="s">
        <v>447</v>
      </c>
      <c r="F388" s="1">
        <v>45341</v>
      </c>
    </row>
    <row r="389" spans="1:7" x14ac:dyDescent="0.2">
      <c r="A389">
        <v>455</v>
      </c>
      <c r="B389" t="s">
        <v>1481</v>
      </c>
      <c r="C389" s="1">
        <v>24760</v>
      </c>
      <c r="D389" s="1">
        <v>45173</v>
      </c>
      <c r="E389" t="s">
        <v>1449</v>
      </c>
      <c r="F389" s="1">
        <v>45299</v>
      </c>
      <c r="G389" s="1">
        <v>45712</v>
      </c>
    </row>
    <row r="390" spans="1:7" x14ac:dyDescent="0.2">
      <c r="A390">
        <v>452</v>
      </c>
      <c r="B390" t="s">
        <v>1478</v>
      </c>
      <c r="C390" s="1">
        <v>26999</v>
      </c>
      <c r="D390" s="1">
        <v>45170</v>
      </c>
      <c r="E390" t="s">
        <v>1370</v>
      </c>
    </row>
    <row r="391" spans="1:7" x14ac:dyDescent="0.2">
      <c r="A391">
        <v>453</v>
      </c>
      <c r="B391" t="s">
        <v>1479</v>
      </c>
      <c r="C391" s="1">
        <v>32358</v>
      </c>
      <c r="D391" s="1">
        <v>45170</v>
      </c>
      <c r="E391" t="s">
        <v>1370</v>
      </c>
    </row>
    <row r="392" spans="1:7" x14ac:dyDescent="0.2">
      <c r="A392">
        <v>450</v>
      </c>
      <c r="B392" t="s">
        <v>1476</v>
      </c>
      <c r="C392" s="1">
        <v>32337</v>
      </c>
      <c r="D392" s="1">
        <v>45166</v>
      </c>
      <c r="E392" t="s">
        <v>1370</v>
      </c>
      <c r="F392" s="1">
        <v>45429</v>
      </c>
    </row>
    <row r="393" spans="1:7" x14ac:dyDescent="0.2">
      <c r="A393">
        <v>451</v>
      </c>
      <c r="B393" t="s">
        <v>1477</v>
      </c>
      <c r="C393" s="1">
        <v>24607</v>
      </c>
      <c r="D393" s="1">
        <v>45166</v>
      </c>
      <c r="E393" t="s">
        <v>1370</v>
      </c>
    </row>
    <row r="394" spans="1:7" x14ac:dyDescent="0.2">
      <c r="A394">
        <v>448</v>
      </c>
      <c r="B394" t="s">
        <v>1474</v>
      </c>
      <c r="C394" s="1">
        <v>21681</v>
      </c>
      <c r="D394" s="1">
        <v>45163</v>
      </c>
      <c r="E394" t="s">
        <v>1224</v>
      </c>
    </row>
    <row r="395" spans="1:7" x14ac:dyDescent="0.2">
      <c r="A395">
        <v>449</v>
      </c>
      <c r="B395" t="s">
        <v>1475</v>
      </c>
      <c r="C395" s="1">
        <v>24055</v>
      </c>
      <c r="D395" s="1">
        <v>45163</v>
      </c>
      <c r="E395" t="s">
        <v>387</v>
      </c>
    </row>
    <row r="396" spans="1:7" x14ac:dyDescent="0.2">
      <c r="A396">
        <v>446</v>
      </c>
      <c r="B396" t="s">
        <v>1473</v>
      </c>
      <c r="C396" s="1">
        <v>23330</v>
      </c>
      <c r="D396" s="1">
        <v>45161</v>
      </c>
      <c r="E396" t="s">
        <v>387</v>
      </c>
    </row>
    <row r="397" spans="1:7" x14ac:dyDescent="0.2">
      <c r="A397">
        <v>447</v>
      </c>
      <c r="B397" t="s">
        <v>1424</v>
      </c>
      <c r="C397" s="1">
        <v>29603</v>
      </c>
      <c r="D397" s="1">
        <v>45161</v>
      </c>
      <c r="E397" t="s">
        <v>1130</v>
      </c>
    </row>
    <row r="398" spans="1:7" x14ac:dyDescent="0.2">
      <c r="A398">
        <v>444</v>
      </c>
      <c r="B398" t="s">
        <v>1471</v>
      </c>
      <c r="C398" s="1">
        <v>28542</v>
      </c>
      <c r="D398" s="1">
        <v>45159</v>
      </c>
      <c r="E398" t="s">
        <v>1224</v>
      </c>
    </row>
    <row r="399" spans="1:7" x14ac:dyDescent="0.2">
      <c r="A399">
        <v>445</v>
      </c>
      <c r="B399" t="s">
        <v>1472</v>
      </c>
      <c r="C399" s="1">
        <v>22912</v>
      </c>
      <c r="D399" s="1">
        <v>45159</v>
      </c>
      <c r="E399" t="s">
        <v>447</v>
      </c>
    </row>
    <row r="400" spans="1:7" x14ac:dyDescent="0.2">
      <c r="A400">
        <v>442</v>
      </c>
      <c r="B400" t="s">
        <v>1468</v>
      </c>
      <c r="C400" s="1">
        <v>26106</v>
      </c>
      <c r="D400" s="1">
        <v>45152</v>
      </c>
      <c r="E400" t="s">
        <v>387</v>
      </c>
    </row>
    <row r="401" spans="1:8" x14ac:dyDescent="0.2">
      <c r="A401">
        <v>443</v>
      </c>
      <c r="B401" t="s">
        <v>1469</v>
      </c>
      <c r="C401" s="1">
        <v>23485</v>
      </c>
      <c r="D401" s="1">
        <v>45152</v>
      </c>
      <c r="E401" t="s">
        <v>1470</v>
      </c>
    </row>
    <row r="402" spans="1:8" x14ac:dyDescent="0.2">
      <c r="A402">
        <v>440</v>
      </c>
      <c r="B402" t="s">
        <v>1465</v>
      </c>
      <c r="C402" s="1">
        <v>24971</v>
      </c>
      <c r="D402" s="1">
        <v>45149</v>
      </c>
      <c r="E402" t="s">
        <v>1449</v>
      </c>
    </row>
    <row r="403" spans="1:8" x14ac:dyDescent="0.2">
      <c r="A403">
        <v>441</v>
      </c>
      <c r="B403" t="s">
        <v>1466</v>
      </c>
      <c r="C403" s="1">
        <v>24133</v>
      </c>
      <c r="D403" s="1">
        <v>45149</v>
      </c>
      <c r="E403" t="s">
        <v>1467</v>
      </c>
      <c r="F403" s="1">
        <v>45457</v>
      </c>
      <c r="G403" t="s">
        <v>1649</v>
      </c>
    </row>
    <row r="404" spans="1:8" x14ac:dyDescent="0.2">
      <c r="A404">
        <v>438</v>
      </c>
      <c r="B404" t="s">
        <v>1463</v>
      </c>
      <c r="C404" s="1">
        <v>25098</v>
      </c>
      <c r="D404" s="1">
        <v>45145</v>
      </c>
      <c r="E404" t="s">
        <v>1440</v>
      </c>
    </row>
    <row r="405" spans="1:8" x14ac:dyDescent="0.2">
      <c r="A405">
        <v>439</v>
      </c>
      <c r="B405" t="s">
        <v>1464</v>
      </c>
      <c r="C405" s="1">
        <v>23681</v>
      </c>
      <c r="D405" s="1">
        <v>45145</v>
      </c>
      <c r="E405" t="s">
        <v>447</v>
      </c>
    </row>
    <row r="406" spans="1:8" x14ac:dyDescent="0.2">
      <c r="A406">
        <v>500</v>
      </c>
      <c r="B406" t="s">
        <v>1539</v>
      </c>
      <c r="C406" s="1">
        <v>27561</v>
      </c>
      <c r="D406" s="1">
        <v>45142</v>
      </c>
      <c r="E406" t="s">
        <v>1224</v>
      </c>
    </row>
    <row r="407" spans="1:8" x14ac:dyDescent="0.2">
      <c r="A407">
        <v>501</v>
      </c>
      <c r="B407" t="s">
        <v>1540</v>
      </c>
      <c r="C407" s="1">
        <v>23035</v>
      </c>
      <c r="D407" s="1">
        <v>45142</v>
      </c>
      <c r="E407" t="s">
        <v>447</v>
      </c>
    </row>
    <row r="408" spans="1:8" x14ac:dyDescent="0.2">
      <c r="A408">
        <v>436</v>
      </c>
      <c r="B408" t="s">
        <v>1461</v>
      </c>
      <c r="C408" s="1">
        <v>29246</v>
      </c>
      <c r="D408" s="1">
        <v>45139</v>
      </c>
      <c r="E408" t="s">
        <v>1224</v>
      </c>
    </row>
    <row r="409" spans="1:8" x14ac:dyDescent="0.2">
      <c r="A409">
        <v>437</v>
      </c>
      <c r="B409" t="s">
        <v>1462</v>
      </c>
      <c r="C409" s="1">
        <v>23899</v>
      </c>
      <c r="D409" s="1">
        <v>45139</v>
      </c>
      <c r="E409" t="s">
        <v>1224</v>
      </c>
    </row>
    <row r="410" spans="1:8" x14ac:dyDescent="0.2">
      <c r="A410">
        <v>435</v>
      </c>
      <c r="B410" t="s">
        <v>1460</v>
      </c>
      <c r="C410" s="1">
        <v>24666</v>
      </c>
      <c r="D410" s="1">
        <v>45138</v>
      </c>
      <c r="E410" t="s">
        <v>387</v>
      </c>
    </row>
    <row r="411" spans="1:8" x14ac:dyDescent="0.2">
      <c r="A411">
        <v>560</v>
      </c>
      <c r="B411" t="s">
        <v>1620</v>
      </c>
      <c r="C411" s="1">
        <v>36236</v>
      </c>
      <c r="D411" s="1">
        <v>45131</v>
      </c>
      <c r="E411" t="s">
        <v>1621</v>
      </c>
      <c r="F411" s="1">
        <v>45415</v>
      </c>
      <c r="G411" s="1">
        <v>45600</v>
      </c>
      <c r="H411" s="1">
        <v>45705</v>
      </c>
    </row>
    <row r="412" spans="1:8" x14ac:dyDescent="0.2">
      <c r="A412">
        <v>433</v>
      </c>
      <c r="B412" t="s">
        <v>1458</v>
      </c>
      <c r="C412" s="1">
        <v>23728</v>
      </c>
      <c r="D412" s="1">
        <v>45128</v>
      </c>
      <c r="E412" t="s">
        <v>447</v>
      </c>
    </row>
    <row r="413" spans="1:8" x14ac:dyDescent="0.2">
      <c r="A413">
        <v>434</v>
      </c>
      <c r="B413" t="s">
        <v>1459</v>
      </c>
      <c r="C413" s="1">
        <v>23404</v>
      </c>
      <c r="D413" s="1">
        <v>45128</v>
      </c>
      <c r="E413" t="s">
        <v>1224</v>
      </c>
      <c r="F413" s="1">
        <v>45923</v>
      </c>
    </row>
    <row r="414" spans="1:8" x14ac:dyDescent="0.2">
      <c r="A414">
        <v>432</v>
      </c>
      <c r="B414" t="s">
        <v>1457</v>
      </c>
      <c r="C414" s="1">
        <v>23158</v>
      </c>
      <c r="D414" s="1">
        <v>45124</v>
      </c>
      <c r="E414" t="s">
        <v>1026</v>
      </c>
    </row>
    <row r="415" spans="1:8" x14ac:dyDescent="0.2">
      <c r="A415">
        <v>430</v>
      </c>
      <c r="B415" t="s">
        <v>1455</v>
      </c>
      <c r="C415" s="1">
        <v>23945</v>
      </c>
      <c r="D415" s="1">
        <v>45121</v>
      </c>
      <c r="E415" t="s">
        <v>970</v>
      </c>
    </row>
    <row r="416" spans="1:8" x14ac:dyDescent="0.2">
      <c r="A416">
        <v>431</v>
      </c>
      <c r="B416" t="s">
        <v>1456</v>
      </c>
      <c r="C416" s="1">
        <v>25838</v>
      </c>
      <c r="D416" s="1">
        <v>45121</v>
      </c>
      <c r="E416" t="s">
        <v>387</v>
      </c>
    </row>
    <row r="417" spans="1:11" x14ac:dyDescent="0.2">
      <c r="A417">
        <v>428</v>
      </c>
      <c r="B417" t="s">
        <v>1451</v>
      </c>
      <c r="C417" s="1">
        <v>20413</v>
      </c>
      <c r="D417" s="1">
        <v>45117</v>
      </c>
      <c r="E417" t="s">
        <v>18</v>
      </c>
    </row>
    <row r="418" spans="1:11" x14ac:dyDescent="0.2">
      <c r="A418">
        <v>428</v>
      </c>
      <c r="B418" t="s">
        <v>1452</v>
      </c>
      <c r="C418" s="1">
        <v>39651</v>
      </c>
      <c r="D418" s="1">
        <v>45117</v>
      </c>
      <c r="E418" t="s">
        <v>1453</v>
      </c>
      <c r="F418" s="1">
        <v>45334</v>
      </c>
      <c r="G418" s="1">
        <v>45481</v>
      </c>
      <c r="H418" s="1">
        <v>45614</v>
      </c>
      <c r="I418" s="1">
        <v>45705</v>
      </c>
      <c r="J418" s="1">
        <v>45849</v>
      </c>
      <c r="K418" s="1">
        <v>46069</v>
      </c>
    </row>
    <row r="419" spans="1:11" x14ac:dyDescent="0.2">
      <c r="A419">
        <v>429</v>
      </c>
      <c r="B419" t="s">
        <v>1454</v>
      </c>
      <c r="C419" s="1">
        <v>33325</v>
      </c>
      <c r="D419" s="1">
        <v>45117</v>
      </c>
      <c r="E419" t="s">
        <v>447</v>
      </c>
    </row>
    <row r="420" spans="1:11" x14ac:dyDescent="0.2">
      <c r="A420">
        <v>499</v>
      </c>
      <c r="B420" t="s">
        <v>1538</v>
      </c>
      <c r="C420" s="1">
        <v>33914</v>
      </c>
      <c r="D420" s="1">
        <v>45114</v>
      </c>
      <c r="E420" t="s">
        <v>1224</v>
      </c>
    </row>
    <row r="421" spans="1:11" x14ac:dyDescent="0.2">
      <c r="A421">
        <v>425</v>
      </c>
      <c r="B421" t="s">
        <v>1448</v>
      </c>
      <c r="C421" s="1">
        <v>24779</v>
      </c>
      <c r="D421" s="1">
        <v>45110</v>
      </c>
      <c r="E421" t="s">
        <v>1449</v>
      </c>
    </row>
    <row r="422" spans="1:11" x14ac:dyDescent="0.2">
      <c r="A422">
        <v>426</v>
      </c>
      <c r="B422" t="s">
        <v>1450</v>
      </c>
      <c r="C422" s="1">
        <v>25904</v>
      </c>
      <c r="D422" s="1">
        <v>45110</v>
      </c>
      <c r="E422" t="s">
        <v>18</v>
      </c>
    </row>
    <row r="423" spans="1:11" x14ac:dyDescent="0.2">
      <c r="A423">
        <v>427</v>
      </c>
      <c r="B423" t="s">
        <v>877</v>
      </c>
      <c r="C423" s="1">
        <v>25233</v>
      </c>
      <c r="D423" s="1">
        <v>45110</v>
      </c>
      <c r="E423" t="s">
        <v>1449</v>
      </c>
    </row>
    <row r="424" spans="1:11" x14ac:dyDescent="0.2">
      <c r="A424">
        <v>423</v>
      </c>
      <c r="B424" t="s">
        <v>1446</v>
      </c>
      <c r="C424" s="1">
        <v>30430</v>
      </c>
      <c r="D424" s="1">
        <v>45105</v>
      </c>
      <c r="E424" t="s">
        <v>18</v>
      </c>
    </row>
    <row r="425" spans="1:11" x14ac:dyDescent="0.2">
      <c r="A425">
        <v>424</v>
      </c>
      <c r="B425" t="s">
        <v>1447</v>
      </c>
      <c r="C425" s="1">
        <v>25846</v>
      </c>
      <c r="D425" s="1">
        <v>45105</v>
      </c>
      <c r="E425" t="s">
        <v>387</v>
      </c>
    </row>
    <row r="426" spans="1:11" x14ac:dyDescent="0.2">
      <c r="A426">
        <v>421</v>
      </c>
      <c r="B426" t="s">
        <v>1443</v>
      </c>
      <c r="C426" s="1">
        <v>26218</v>
      </c>
      <c r="D426" s="1">
        <v>45103</v>
      </c>
      <c r="E426" t="s">
        <v>447</v>
      </c>
      <c r="F426" s="1">
        <v>45215</v>
      </c>
    </row>
    <row r="427" spans="1:11" x14ac:dyDescent="0.2">
      <c r="A427">
        <v>422</v>
      </c>
      <c r="B427" t="s">
        <v>1444</v>
      </c>
      <c r="C427" s="1">
        <v>25689</v>
      </c>
      <c r="D427" s="1">
        <v>45103</v>
      </c>
      <c r="E427" t="s">
        <v>1445</v>
      </c>
    </row>
    <row r="428" spans="1:11" x14ac:dyDescent="0.2">
      <c r="A428">
        <v>468</v>
      </c>
      <c r="B428" t="s">
        <v>1498</v>
      </c>
      <c r="C428" s="1">
        <v>27348</v>
      </c>
      <c r="D428" s="1">
        <v>45096</v>
      </c>
      <c r="E428" t="s">
        <v>447</v>
      </c>
      <c r="F428" s="1">
        <v>45201</v>
      </c>
      <c r="G428" s="1">
        <v>45698</v>
      </c>
      <c r="H428" t="s">
        <v>1500</v>
      </c>
    </row>
    <row r="429" spans="1:11" x14ac:dyDescent="0.2">
      <c r="A429">
        <v>419</v>
      </c>
      <c r="B429" t="s">
        <v>1441</v>
      </c>
      <c r="C429" s="1">
        <v>30319</v>
      </c>
      <c r="D429" s="1">
        <v>45089</v>
      </c>
      <c r="E429" t="s">
        <v>18</v>
      </c>
    </row>
    <row r="430" spans="1:11" x14ac:dyDescent="0.2">
      <c r="A430">
        <v>420</v>
      </c>
      <c r="B430" t="s">
        <v>1442</v>
      </c>
      <c r="C430" s="1">
        <v>22753</v>
      </c>
      <c r="D430" s="1">
        <v>45089</v>
      </c>
      <c r="E430" t="s">
        <v>18</v>
      </c>
    </row>
    <row r="431" spans="1:11" x14ac:dyDescent="0.2">
      <c r="A431">
        <v>416</v>
      </c>
      <c r="B431" t="s">
        <v>1436</v>
      </c>
      <c r="C431" s="1">
        <v>21776</v>
      </c>
      <c r="D431" s="1">
        <v>45082</v>
      </c>
      <c r="E431" t="s">
        <v>377</v>
      </c>
    </row>
    <row r="432" spans="1:11" x14ac:dyDescent="0.2">
      <c r="A432">
        <v>417</v>
      </c>
      <c r="B432" t="s">
        <v>1437</v>
      </c>
      <c r="C432" s="1">
        <v>20806</v>
      </c>
      <c r="D432" s="1">
        <v>45082</v>
      </c>
      <c r="E432" t="s">
        <v>1438</v>
      </c>
    </row>
    <row r="433" spans="1:8" x14ac:dyDescent="0.2">
      <c r="A433">
        <v>418</v>
      </c>
      <c r="B433" t="s">
        <v>1439</v>
      </c>
      <c r="C433" s="1">
        <v>23862</v>
      </c>
      <c r="D433" s="1">
        <v>45082</v>
      </c>
      <c r="E433" t="s">
        <v>1440</v>
      </c>
    </row>
    <row r="434" spans="1:8" x14ac:dyDescent="0.2">
      <c r="A434">
        <v>414</v>
      </c>
      <c r="B434" t="s">
        <v>1434</v>
      </c>
      <c r="C434" s="1">
        <v>29430</v>
      </c>
      <c r="D434" s="1">
        <v>45079</v>
      </c>
      <c r="E434" t="s">
        <v>387</v>
      </c>
    </row>
    <row r="435" spans="1:8" x14ac:dyDescent="0.2">
      <c r="A435">
        <v>415</v>
      </c>
      <c r="B435" t="s">
        <v>1435</v>
      </c>
      <c r="C435" s="1">
        <v>23634</v>
      </c>
      <c r="D435" s="1">
        <v>45079</v>
      </c>
      <c r="E435" t="s">
        <v>1415</v>
      </c>
    </row>
    <row r="436" spans="1:8" x14ac:dyDescent="0.2">
      <c r="A436">
        <v>411</v>
      </c>
      <c r="B436" t="s">
        <v>1429</v>
      </c>
      <c r="C436" s="1">
        <v>34191</v>
      </c>
      <c r="D436" s="1">
        <v>45054</v>
      </c>
      <c r="E436" t="s">
        <v>1397</v>
      </c>
    </row>
    <row r="437" spans="1:8" x14ac:dyDescent="0.2">
      <c r="A437">
        <v>412</v>
      </c>
      <c r="B437" t="s">
        <v>1430</v>
      </c>
      <c r="C437" s="1">
        <v>21535</v>
      </c>
      <c r="D437" s="1">
        <v>45054</v>
      </c>
      <c r="E437" t="s">
        <v>1431</v>
      </c>
    </row>
    <row r="438" spans="1:8" x14ac:dyDescent="0.2">
      <c r="A438">
        <v>413</v>
      </c>
      <c r="B438" t="s">
        <v>1432</v>
      </c>
      <c r="C438" s="1">
        <v>21594</v>
      </c>
      <c r="D438" s="1">
        <v>45054</v>
      </c>
      <c r="E438" t="s">
        <v>1433</v>
      </c>
    </row>
    <row r="439" spans="1:8" x14ac:dyDescent="0.2">
      <c r="A439">
        <v>409</v>
      </c>
      <c r="B439" t="s">
        <v>1427</v>
      </c>
      <c r="C439" s="1">
        <v>20373</v>
      </c>
      <c r="D439" s="1">
        <v>45051</v>
      </c>
      <c r="E439" t="s">
        <v>377</v>
      </c>
    </row>
    <row r="440" spans="1:8" x14ac:dyDescent="0.2">
      <c r="A440">
        <v>410</v>
      </c>
      <c r="B440" t="s">
        <v>1428</v>
      </c>
      <c r="C440" s="1">
        <v>31202</v>
      </c>
      <c r="D440" s="1">
        <v>45051</v>
      </c>
      <c r="E440" t="s">
        <v>18</v>
      </c>
    </row>
    <row r="441" spans="1:8" x14ac:dyDescent="0.2">
      <c r="A441">
        <v>497</v>
      </c>
      <c r="B441" t="s">
        <v>1536</v>
      </c>
      <c r="C441" s="1">
        <v>29187</v>
      </c>
      <c r="D441" s="1">
        <v>45044</v>
      </c>
      <c r="E441" t="s">
        <v>1224</v>
      </c>
    </row>
    <row r="442" spans="1:8" x14ac:dyDescent="0.2">
      <c r="A442">
        <v>498</v>
      </c>
      <c r="B442" t="s">
        <v>1537</v>
      </c>
      <c r="C442" s="1">
        <v>31462</v>
      </c>
      <c r="D442" s="1">
        <v>45044</v>
      </c>
      <c r="E442" t="s">
        <v>1224</v>
      </c>
    </row>
    <row r="443" spans="1:8" x14ac:dyDescent="0.2">
      <c r="A443">
        <v>405</v>
      </c>
      <c r="B443" t="s">
        <v>1424</v>
      </c>
      <c r="C443" s="1">
        <v>29603</v>
      </c>
      <c r="D443" s="1">
        <v>45033</v>
      </c>
      <c r="E443" t="s">
        <v>1366</v>
      </c>
      <c r="F443" s="1">
        <v>45523</v>
      </c>
      <c r="G443" s="1">
        <v>45740</v>
      </c>
      <c r="H443" s="1">
        <v>45901</v>
      </c>
    </row>
    <row r="444" spans="1:8" x14ac:dyDescent="0.2">
      <c r="A444">
        <v>406</v>
      </c>
      <c r="B444" t="s">
        <v>1425</v>
      </c>
      <c r="C444" s="1">
        <v>24835</v>
      </c>
      <c r="D444" s="1">
        <v>45033</v>
      </c>
      <c r="E444" t="s">
        <v>447</v>
      </c>
      <c r="F444" s="1">
        <v>45114</v>
      </c>
    </row>
    <row r="445" spans="1:8" x14ac:dyDescent="0.2">
      <c r="A445">
        <v>408</v>
      </c>
      <c r="B445" t="s">
        <v>1426</v>
      </c>
      <c r="C445" s="1">
        <v>29146</v>
      </c>
      <c r="D445" s="1">
        <v>45033</v>
      </c>
      <c r="E445" t="s">
        <v>1224</v>
      </c>
    </row>
    <row r="446" spans="1:8" x14ac:dyDescent="0.2">
      <c r="A446">
        <v>401</v>
      </c>
      <c r="B446" t="s">
        <v>1420</v>
      </c>
      <c r="C446" s="1">
        <v>35020</v>
      </c>
      <c r="D446" s="1">
        <v>45016</v>
      </c>
      <c r="E446" t="s">
        <v>1224</v>
      </c>
    </row>
    <row r="447" spans="1:8" x14ac:dyDescent="0.2">
      <c r="A447">
        <v>404</v>
      </c>
      <c r="B447" t="s">
        <v>1423</v>
      </c>
      <c r="C447" s="1">
        <v>25234</v>
      </c>
      <c r="D447" s="1">
        <v>45016</v>
      </c>
      <c r="E447" t="s">
        <v>1224</v>
      </c>
    </row>
    <row r="448" spans="1:8" x14ac:dyDescent="0.2">
      <c r="A448">
        <v>402</v>
      </c>
      <c r="B448" t="s">
        <v>1421</v>
      </c>
      <c r="C448" s="1">
        <v>29869</v>
      </c>
      <c r="D448" s="1">
        <v>45009</v>
      </c>
      <c r="E448" t="s">
        <v>387</v>
      </c>
    </row>
    <row r="449" spans="1:6" x14ac:dyDescent="0.2">
      <c r="A449">
        <v>403</v>
      </c>
      <c r="B449" t="s">
        <v>1422</v>
      </c>
      <c r="C449" s="1">
        <v>27031</v>
      </c>
      <c r="D449" s="1">
        <v>45009</v>
      </c>
      <c r="E449" t="s">
        <v>1366</v>
      </c>
    </row>
    <row r="450" spans="1:6" x14ac:dyDescent="0.2">
      <c r="A450">
        <v>399</v>
      </c>
      <c r="B450" t="s">
        <v>1418</v>
      </c>
      <c r="C450" s="1">
        <v>29824</v>
      </c>
      <c r="D450" s="1">
        <v>45005</v>
      </c>
      <c r="E450" t="s">
        <v>387</v>
      </c>
    </row>
    <row r="451" spans="1:6" x14ac:dyDescent="0.2">
      <c r="A451">
        <v>400</v>
      </c>
      <c r="B451" t="s">
        <v>1419</v>
      </c>
      <c r="C451" s="1">
        <v>29400</v>
      </c>
      <c r="D451" s="1">
        <v>45005</v>
      </c>
      <c r="E451" t="s">
        <v>1224</v>
      </c>
    </row>
    <row r="452" spans="1:6" x14ac:dyDescent="0.2">
      <c r="A452">
        <v>396</v>
      </c>
      <c r="B452" t="s">
        <v>1413</v>
      </c>
      <c r="C452" s="1">
        <v>25488</v>
      </c>
      <c r="D452" s="1">
        <v>44988</v>
      </c>
      <c r="E452" t="s">
        <v>377</v>
      </c>
    </row>
    <row r="453" spans="1:6" x14ac:dyDescent="0.2">
      <c r="A453">
        <v>397</v>
      </c>
      <c r="B453" t="s">
        <v>1414</v>
      </c>
      <c r="C453" s="1">
        <v>35103</v>
      </c>
      <c r="D453" s="1">
        <v>44988</v>
      </c>
      <c r="E453" t="s">
        <v>1415</v>
      </c>
    </row>
    <row r="454" spans="1:6" x14ac:dyDescent="0.2">
      <c r="A454">
        <v>398</v>
      </c>
      <c r="B454" t="s">
        <v>1416</v>
      </c>
      <c r="C454" s="1">
        <v>37403</v>
      </c>
      <c r="D454" s="1">
        <v>44988</v>
      </c>
      <c r="E454" t="s">
        <v>387</v>
      </c>
    </row>
    <row r="455" spans="1:6" x14ac:dyDescent="0.2">
      <c r="A455">
        <v>395</v>
      </c>
      <c r="B455" t="s">
        <v>1412</v>
      </c>
      <c r="C455" s="1">
        <v>26251</v>
      </c>
      <c r="D455" s="1">
        <v>44984</v>
      </c>
      <c r="E455" t="s">
        <v>377</v>
      </c>
      <c r="F455" s="1">
        <v>45021</v>
      </c>
    </row>
    <row r="456" spans="1:6" x14ac:dyDescent="0.2">
      <c r="A456">
        <v>394</v>
      </c>
      <c r="B456" t="s">
        <v>1411</v>
      </c>
      <c r="C456" s="1">
        <v>28626</v>
      </c>
      <c r="D456" s="1">
        <v>44981</v>
      </c>
      <c r="E456" t="s">
        <v>970</v>
      </c>
    </row>
    <row r="457" spans="1:6" x14ac:dyDescent="0.2">
      <c r="A457">
        <v>392</v>
      </c>
      <c r="B457" t="s">
        <v>1409</v>
      </c>
      <c r="C457" s="1">
        <v>23687</v>
      </c>
      <c r="D457" s="1">
        <v>44967</v>
      </c>
      <c r="E457" t="s">
        <v>970</v>
      </c>
    </row>
    <row r="458" spans="1:6" x14ac:dyDescent="0.2">
      <c r="A458">
        <v>393</v>
      </c>
      <c r="B458" t="s">
        <v>1410</v>
      </c>
      <c r="C458" s="1">
        <v>22818</v>
      </c>
      <c r="D458" s="1">
        <v>44967</v>
      </c>
      <c r="E458" t="s">
        <v>377</v>
      </c>
    </row>
    <row r="459" spans="1:6" x14ac:dyDescent="0.2">
      <c r="A459">
        <v>390</v>
      </c>
      <c r="B459" t="s">
        <v>1407</v>
      </c>
      <c r="C459" s="1">
        <v>31054</v>
      </c>
      <c r="D459" s="1">
        <v>44960</v>
      </c>
      <c r="E459" t="s">
        <v>1026</v>
      </c>
    </row>
    <row r="460" spans="1:6" x14ac:dyDescent="0.2">
      <c r="A460">
        <v>391</v>
      </c>
      <c r="B460" t="s">
        <v>1408</v>
      </c>
      <c r="C460" s="1">
        <v>30475</v>
      </c>
      <c r="D460" s="1">
        <v>44960</v>
      </c>
      <c r="E460" t="s">
        <v>18</v>
      </c>
    </row>
    <row r="461" spans="1:6" x14ac:dyDescent="0.2">
      <c r="A461">
        <v>389</v>
      </c>
      <c r="B461" t="s">
        <v>1406</v>
      </c>
      <c r="C461" s="1">
        <v>19835</v>
      </c>
      <c r="D461" s="1">
        <v>44956</v>
      </c>
      <c r="E461" t="s">
        <v>18</v>
      </c>
    </row>
    <row r="462" spans="1:6" x14ac:dyDescent="0.2">
      <c r="A462">
        <v>387</v>
      </c>
      <c r="B462" t="s">
        <v>1404</v>
      </c>
      <c r="C462" s="1">
        <v>27316</v>
      </c>
      <c r="D462" s="1">
        <v>44953</v>
      </c>
      <c r="E462" t="s">
        <v>18</v>
      </c>
      <c r="F462" s="1">
        <v>45247</v>
      </c>
    </row>
    <row r="463" spans="1:6" x14ac:dyDescent="0.2">
      <c r="A463">
        <v>388</v>
      </c>
      <c r="B463" t="s">
        <v>1405</v>
      </c>
      <c r="C463" s="1">
        <v>31504</v>
      </c>
      <c r="D463" s="1">
        <v>44953</v>
      </c>
      <c r="E463" t="s">
        <v>882</v>
      </c>
    </row>
    <row r="464" spans="1:6" x14ac:dyDescent="0.2">
      <c r="A464">
        <v>385</v>
      </c>
      <c r="B464" t="s">
        <v>1402</v>
      </c>
      <c r="C464" s="1">
        <v>21824</v>
      </c>
      <c r="D464" s="1">
        <v>44949</v>
      </c>
      <c r="E464" t="s">
        <v>447</v>
      </c>
    </row>
    <row r="465" spans="1:8" x14ac:dyDescent="0.2">
      <c r="A465">
        <v>386</v>
      </c>
      <c r="B465" t="s">
        <v>1403</v>
      </c>
      <c r="C465" s="1">
        <v>29039</v>
      </c>
      <c r="D465" s="1">
        <v>44949</v>
      </c>
      <c r="E465" t="s">
        <v>882</v>
      </c>
    </row>
    <row r="466" spans="1:8" x14ac:dyDescent="0.2">
      <c r="A466">
        <v>383</v>
      </c>
      <c r="B466" t="s">
        <v>1400</v>
      </c>
      <c r="C466" s="1">
        <v>22474</v>
      </c>
      <c r="D466" s="1">
        <v>44946</v>
      </c>
      <c r="E466" t="s">
        <v>1224</v>
      </c>
    </row>
    <row r="467" spans="1:8" x14ac:dyDescent="0.2">
      <c r="A467">
        <v>384</v>
      </c>
      <c r="B467" t="s">
        <v>1401</v>
      </c>
      <c r="C467" s="1">
        <v>29594</v>
      </c>
      <c r="D467" s="1">
        <v>44946</v>
      </c>
      <c r="E467" t="s">
        <v>209</v>
      </c>
    </row>
    <row r="468" spans="1:8" x14ac:dyDescent="0.2">
      <c r="A468">
        <v>382</v>
      </c>
      <c r="B468" t="s">
        <v>1399</v>
      </c>
      <c r="C468" s="1">
        <v>27980</v>
      </c>
      <c r="D468" s="1">
        <v>44942</v>
      </c>
      <c r="E468" t="s">
        <v>882</v>
      </c>
    </row>
    <row r="469" spans="1:8" x14ac:dyDescent="0.2">
      <c r="A469">
        <v>458</v>
      </c>
      <c r="B469" t="s">
        <v>1484</v>
      </c>
      <c r="C469" s="1">
        <v>31398</v>
      </c>
      <c r="D469" s="1">
        <v>44942</v>
      </c>
      <c r="E469" t="s">
        <v>1485</v>
      </c>
      <c r="F469" s="1">
        <v>45180</v>
      </c>
      <c r="G469" s="1">
        <v>45320</v>
      </c>
      <c r="H469" s="1">
        <v>45761</v>
      </c>
    </row>
    <row r="470" spans="1:8" x14ac:dyDescent="0.2">
      <c r="A470">
        <v>382</v>
      </c>
      <c r="B470" t="s">
        <v>1396</v>
      </c>
      <c r="C470" s="1">
        <v>23738</v>
      </c>
      <c r="D470" s="1">
        <v>44939</v>
      </c>
      <c r="E470" t="s">
        <v>1397</v>
      </c>
    </row>
    <row r="471" spans="1:8" x14ac:dyDescent="0.2">
      <c r="A471">
        <v>383</v>
      </c>
      <c r="B471" t="s">
        <v>1398</v>
      </c>
      <c r="C471" s="1">
        <v>32326</v>
      </c>
      <c r="D471" s="1">
        <v>44939</v>
      </c>
      <c r="E471" t="s">
        <v>1224</v>
      </c>
    </row>
    <row r="472" spans="1:8" x14ac:dyDescent="0.2">
      <c r="A472">
        <v>381</v>
      </c>
      <c r="B472" t="s">
        <v>1395</v>
      </c>
      <c r="C472" s="1">
        <v>22310</v>
      </c>
      <c r="D472" s="1">
        <v>44935</v>
      </c>
      <c r="E472" t="s">
        <v>1224</v>
      </c>
    </row>
    <row r="473" spans="1:8" x14ac:dyDescent="0.2">
      <c r="A473">
        <v>380</v>
      </c>
      <c r="B473" t="s">
        <v>1393</v>
      </c>
      <c r="C473" s="1">
        <v>29513</v>
      </c>
      <c r="D473" s="1">
        <v>44907</v>
      </c>
      <c r="E473" t="s">
        <v>1224</v>
      </c>
    </row>
    <row r="474" spans="1:8" x14ac:dyDescent="0.2">
      <c r="A474">
        <v>379</v>
      </c>
      <c r="B474" t="s">
        <v>1392</v>
      </c>
      <c r="C474" s="1">
        <v>25988</v>
      </c>
      <c r="D474" s="1">
        <v>44876</v>
      </c>
      <c r="E474" t="s">
        <v>1224</v>
      </c>
      <c r="F474" s="22" t="s">
        <v>1562</v>
      </c>
    </row>
    <row r="475" spans="1:8" x14ac:dyDescent="0.2">
      <c r="A475">
        <v>377</v>
      </c>
      <c r="B475" t="s">
        <v>1390</v>
      </c>
      <c r="C475" s="1">
        <v>31562</v>
      </c>
      <c r="D475" s="1">
        <v>44858</v>
      </c>
      <c r="E475" t="s">
        <v>377</v>
      </c>
      <c r="F475" s="1">
        <v>44984</v>
      </c>
      <c r="G475" s="1">
        <v>45306</v>
      </c>
      <c r="H475" s="1">
        <v>45639</v>
      </c>
    </row>
    <row r="476" spans="1:8" x14ac:dyDescent="0.2">
      <c r="A476">
        <v>378</v>
      </c>
      <c r="B476" t="s">
        <v>1391</v>
      </c>
      <c r="C476" s="1">
        <v>22501</v>
      </c>
      <c r="D476" s="1">
        <v>44858</v>
      </c>
      <c r="E476" t="s">
        <v>970</v>
      </c>
    </row>
    <row r="477" spans="1:8" x14ac:dyDescent="0.2">
      <c r="A477">
        <v>375</v>
      </c>
      <c r="B477" t="s">
        <v>1388</v>
      </c>
      <c r="C477" s="1">
        <v>29765</v>
      </c>
      <c r="D477" s="1">
        <v>44841</v>
      </c>
      <c r="E477" t="s">
        <v>18</v>
      </c>
    </row>
    <row r="478" spans="1:8" x14ac:dyDescent="0.2">
      <c r="A478">
        <v>376</v>
      </c>
      <c r="B478" t="s">
        <v>1389</v>
      </c>
      <c r="C478" s="1">
        <v>23677</v>
      </c>
      <c r="D478" s="1">
        <v>44841</v>
      </c>
      <c r="E478" t="s">
        <v>1224</v>
      </c>
    </row>
    <row r="479" spans="1:8" x14ac:dyDescent="0.2">
      <c r="A479">
        <v>374</v>
      </c>
      <c r="B479" t="s">
        <v>1387</v>
      </c>
      <c r="C479" s="1">
        <v>30731</v>
      </c>
      <c r="D479" s="1">
        <v>44834</v>
      </c>
      <c r="E479" t="s">
        <v>1224</v>
      </c>
    </row>
    <row r="480" spans="1:8" x14ac:dyDescent="0.2">
      <c r="A480">
        <v>373</v>
      </c>
      <c r="B480" t="s">
        <v>1386</v>
      </c>
      <c r="C480" s="1">
        <v>30168</v>
      </c>
      <c r="D480" s="1">
        <v>44816</v>
      </c>
      <c r="E480" t="s">
        <v>1224</v>
      </c>
    </row>
    <row r="481" spans="1:7" x14ac:dyDescent="0.2">
      <c r="A481">
        <v>369</v>
      </c>
      <c r="B481" t="s">
        <v>1380</v>
      </c>
      <c r="C481" s="1">
        <v>21051</v>
      </c>
      <c r="D481" s="1">
        <v>44813</v>
      </c>
      <c r="E481" t="s">
        <v>1381</v>
      </c>
    </row>
    <row r="482" spans="1:7" x14ac:dyDescent="0.2">
      <c r="A482">
        <v>577</v>
      </c>
      <c r="B482" t="s">
        <v>1648</v>
      </c>
      <c r="C482" s="1">
        <v>23061</v>
      </c>
      <c r="D482" s="1">
        <v>44813</v>
      </c>
      <c r="E482" t="s">
        <v>1449</v>
      </c>
      <c r="F482" s="1">
        <v>45457</v>
      </c>
      <c r="G482" s="31" t="s">
        <v>1650</v>
      </c>
    </row>
    <row r="483" spans="1:7" x14ac:dyDescent="0.2">
      <c r="A483">
        <v>372</v>
      </c>
      <c r="B483" t="s">
        <v>1385</v>
      </c>
      <c r="C483" s="1">
        <v>17828</v>
      </c>
      <c r="D483" s="1">
        <v>44809</v>
      </c>
      <c r="E483" t="s">
        <v>636</v>
      </c>
    </row>
    <row r="484" spans="1:7" x14ac:dyDescent="0.2">
      <c r="A484">
        <v>371</v>
      </c>
      <c r="B484" t="s">
        <v>1383</v>
      </c>
      <c r="C484" s="1">
        <v>14798</v>
      </c>
      <c r="D484" s="1">
        <v>44802</v>
      </c>
      <c r="E484" t="s">
        <v>1384</v>
      </c>
    </row>
    <row r="485" spans="1:7" x14ac:dyDescent="0.2">
      <c r="A485">
        <v>370</v>
      </c>
      <c r="B485" t="s">
        <v>1382</v>
      </c>
      <c r="C485" s="1">
        <v>21427</v>
      </c>
      <c r="D485" s="1">
        <v>44795</v>
      </c>
      <c r="E485" t="s">
        <v>1224</v>
      </c>
    </row>
    <row r="486" spans="1:7" x14ac:dyDescent="0.2">
      <c r="A486">
        <v>367</v>
      </c>
      <c r="B486" t="s">
        <v>1378</v>
      </c>
      <c r="C486" s="1">
        <v>23617</v>
      </c>
      <c r="D486" s="1">
        <v>44792</v>
      </c>
      <c r="E486" t="s">
        <v>1224</v>
      </c>
    </row>
    <row r="487" spans="1:7" x14ac:dyDescent="0.2">
      <c r="A487">
        <v>368</v>
      </c>
      <c r="B487" t="s">
        <v>1379</v>
      </c>
      <c r="C487" s="1">
        <v>23269</v>
      </c>
      <c r="D487" s="1">
        <v>44792</v>
      </c>
      <c r="E487" t="s">
        <v>447</v>
      </c>
    </row>
    <row r="488" spans="1:7" x14ac:dyDescent="0.2">
      <c r="A488">
        <v>366</v>
      </c>
      <c r="B488" t="s">
        <v>1377</v>
      </c>
      <c r="C488" s="1">
        <v>26225</v>
      </c>
      <c r="D488" s="1">
        <v>44788</v>
      </c>
      <c r="E488" t="s">
        <v>387</v>
      </c>
    </row>
    <row r="489" spans="1:7" x14ac:dyDescent="0.2">
      <c r="A489">
        <v>365</v>
      </c>
      <c r="B489" t="s">
        <v>1375</v>
      </c>
      <c r="C489" s="1">
        <v>14579</v>
      </c>
      <c r="D489" s="1">
        <v>44785</v>
      </c>
      <c r="E489" t="s">
        <v>1376</v>
      </c>
    </row>
    <row r="490" spans="1:7" x14ac:dyDescent="0.2">
      <c r="A490">
        <v>364</v>
      </c>
      <c r="B490" t="s">
        <v>1374</v>
      </c>
      <c r="C490" s="1">
        <v>22545</v>
      </c>
      <c r="D490" s="1">
        <v>44768</v>
      </c>
      <c r="E490" t="s">
        <v>387</v>
      </c>
    </row>
    <row r="491" spans="1:7" x14ac:dyDescent="0.2">
      <c r="A491">
        <v>363</v>
      </c>
      <c r="B491" t="s">
        <v>1373</v>
      </c>
      <c r="C491" s="1">
        <v>27718</v>
      </c>
      <c r="D491" s="1">
        <v>44767</v>
      </c>
      <c r="E491" t="s">
        <v>1224</v>
      </c>
    </row>
    <row r="492" spans="1:7" x14ac:dyDescent="0.2">
      <c r="A492">
        <v>362</v>
      </c>
      <c r="B492" t="s">
        <v>1371</v>
      </c>
      <c r="C492" s="1">
        <v>26259</v>
      </c>
      <c r="D492" s="1">
        <v>44760</v>
      </c>
      <c r="E492" t="s">
        <v>1372</v>
      </c>
    </row>
    <row r="493" spans="1:7" x14ac:dyDescent="0.2">
      <c r="A493">
        <v>360</v>
      </c>
      <c r="B493" t="s">
        <v>1368</v>
      </c>
      <c r="C493" s="1">
        <v>20889</v>
      </c>
      <c r="D493" s="1">
        <v>44729</v>
      </c>
      <c r="E493" t="s">
        <v>1026</v>
      </c>
    </row>
    <row r="494" spans="1:7" x14ac:dyDescent="0.2">
      <c r="A494">
        <v>361</v>
      </c>
      <c r="B494" t="s">
        <v>1369</v>
      </c>
      <c r="C494" s="1">
        <v>23018</v>
      </c>
      <c r="D494" s="1">
        <v>44729</v>
      </c>
      <c r="E494" t="s">
        <v>1370</v>
      </c>
    </row>
    <row r="495" spans="1:7" x14ac:dyDescent="0.2">
      <c r="A495">
        <v>358</v>
      </c>
      <c r="B495" t="s">
        <v>1365</v>
      </c>
      <c r="C495" s="1">
        <v>30119</v>
      </c>
      <c r="D495" s="1">
        <v>44715</v>
      </c>
      <c r="E495" t="s">
        <v>1366</v>
      </c>
    </row>
    <row r="496" spans="1:7" x14ac:dyDescent="0.2">
      <c r="A496">
        <v>359</v>
      </c>
      <c r="B496" t="s">
        <v>1367</v>
      </c>
      <c r="C496" s="1">
        <v>22286</v>
      </c>
      <c r="D496" s="1">
        <v>44715</v>
      </c>
      <c r="E496" t="s">
        <v>970</v>
      </c>
    </row>
    <row r="497" spans="1:7" x14ac:dyDescent="0.2">
      <c r="A497">
        <v>356</v>
      </c>
      <c r="B497" t="s">
        <v>1363</v>
      </c>
      <c r="C497" s="1">
        <v>19435</v>
      </c>
      <c r="D497" s="1">
        <v>44711</v>
      </c>
      <c r="E497" t="s">
        <v>447</v>
      </c>
      <c r="F497" s="1">
        <v>44876</v>
      </c>
    </row>
    <row r="498" spans="1:7" x14ac:dyDescent="0.2">
      <c r="A498">
        <v>357</v>
      </c>
      <c r="B498" t="s">
        <v>1364</v>
      </c>
      <c r="C498" s="1">
        <v>22181</v>
      </c>
      <c r="D498" s="1">
        <v>44711</v>
      </c>
      <c r="E498" t="s">
        <v>209</v>
      </c>
    </row>
    <row r="499" spans="1:7" x14ac:dyDescent="0.2">
      <c r="A499">
        <v>354</v>
      </c>
      <c r="B499" t="s">
        <v>1264</v>
      </c>
      <c r="C499" s="1">
        <v>34899</v>
      </c>
      <c r="D499" s="1">
        <v>44662</v>
      </c>
      <c r="E499" t="s">
        <v>1265</v>
      </c>
    </row>
    <row r="500" spans="1:7" x14ac:dyDescent="0.2">
      <c r="A500">
        <v>355</v>
      </c>
      <c r="B500" t="s">
        <v>1266</v>
      </c>
      <c r="C500" s="1">
        <v>29682</v>
      </c>
      <c r="D500" s="1">
        <v>44662</v>
      </c>
      <c r="E500" t="s">
        <v>1224</v>
      </c>
    </row>
    <row r="501" spans="1:7" x14ac:dyDescent="0.2">
      <c r="A501">
        <v>353</v>
      </c>
      <c r="B501" t="s">
        <v>1263</v>
      </c>
      <c r="C501" s="1">
        <v>21560</v>
      </c>
      <c r="D501" s="1">
        <v>44659</v>
      </c>
      <c r="E501" t="s">
        <v>873</v>
      </c>
    </row>
    <row r="502" spans="1:7" x14ac:dyDescent="0.2">
      <c r="A502">
        <v>352</v>
      </c>
      <c r="B502" t="s">
        <v>1262</v>
      </c>
      <c r="C502" s="1">
        <v>24230</v>
      </c>
      <c r="D502" s="1">
        <v>44652</v>
      </c>
      <c r="E502" t="s">
        <v>1224</v>
      </c>
    </row>
    <row r="503" spans="1:7" x14ac:dyDescent="0.2">
      <c r="A503">
        <v>351</v>
      </c>
      <c r="B503" t="s">
        <v>1260</v>
      </c>
      <c r="C503" s="1">
        <v>16134</v>
      </c>
      <c r="D503" s="1">
        <v>44603</v>
      </c>
      <c r="E503" t="s">
        <v>1261</v>
      </c>
    </row>
    <row r="504" spans="1:7" x14ac:dyDescent="0.2">
      <c r="A504">
        <v>345</v>
      </c>
      <c r="B504" t="s">
        <v>1267</v>
      </c>
      <c r="C504" s="1">
        <v>15967</v>
      </c>
      <c r="D504" s="1">
        <v>44575</v>
      </c>
      <c r="E504" t="s">
        <v>873</v>
      </c>
    </row>
    <row r="505" spans="1:7" x14ac:dyDescent="0.2">
      <c r="A505">
        <v>349</v>
      </c>
      <c r="B505" t="s">
        <v>1256</v>
      </c>
      <c r="C505" s="1">
        <v>16051</v>
      </c>
      <c r="D505" s="1">
        <v>44575</v>
      </c>
      <c r="E505" t="s">
        <v>1257</v>
      </c>
    </row>
    <row r="506" spans="1:7" x14ac:dyDescent="0.2">
      <c r="A506">
        <v>350</v>
      </c>
      <c r="B506" t="s">
        <v>1258</v>
      </c>
      <c r="C506" s="1">
        <v>25721</v>
      </c>
      <c r="D506" s="1">
        <v>44575</v>
      </c>
      <c r="E506" t="s">
        <v>1259</v>
      </c>
    </row>
    <row r="507" spans="1:7" x14ac:dyDescent="0.2">
      <c r="A507">
        <v>347</v>
      </c>
      <c r="B507" t="s">
        <v>1255</v>
      </c>
      <c r="C507" s="1">
        <v>15022</v>
      </c>
      <c r="D507" s="1">
        <v>44550</v>
      </c>
      <c r="E507" t="s">
        <v>873</v>
      </c>
    </row>
    <row r="508" spans="1:7" x14ac:dyDescent="0.2">
      <c r="A508">
        <v>343</v>
      </c>
      <c r="B508" t="s">
        <v>1186</v>
      </c>
      <c r="C508" s="1">
        <v>24798</v>
      </c>
      <c r="D508" s="1">
        <v>44529</v>
      </c>
      <c r="E508" t="s">
        <v>873</v>
      </c>
    </row>
    <row r="509" spans="1:7" x14ac:dyDescent="0.2">
      <c r="A509">
        <v>344</v>
      </c>
      <c r="B509" t="s">
        <v>1187</v>
      </c>
      <c r="C509" s="1">
        <v>39408</v>
      </c>
      <c r="D509" s="1">
        <v>44529</v>
      </c>
      <c r="E509" t="s">
        <v>873</v>
      </c>
      <c r="F509" s="1">
        <v>44760</v>
      </c>
      <c r="G509" s="1">
        <v>44935</v>
      </c>
    </row>
    <row r="510" spans="1:7" x14ac:dyDescent="0.2">
      <c r="A510">
        <v>342</v>
      </c>
      <c r="B510" t="s">
        <v>1185</v>
      </c>
      <c r="C510" s="1">
        <v>23179</v>
      </c>
      <c r="D510" s="1">
        <v>44526</v>
      </c>
      <c r="E510" t="s">
        <v>959</v>
      </c>
    </row>
    <row r="511" spans="1:7" x14ac:dyDescent="0.2">
      <c r="A511">
        <v>341</v>
      </c>
      <c r="B511" t="s">
        <v>1184</v>
      </c>
      <c r="C511" s="1">
        <v>21125</v>
      </c>
      <c r="D511" s="1">
        <v>44522</v>
      </c>
      <c r="E511" t="s">
        <v>35</v>
      </c>
    </row>
    <row r="512" spans="1:7" x14ac:dyDescent="0.2">
      <c r="A512">
        <v>339</v>
      </c>
      <c r="B512" t="s">
        <v>1182</v>
      </c>
      <c r="C512" s="1">
        <v>24165</v>
      </c>
      <c r="D512" s="1">
        <v>44519</v>
      </c>
      <c r="E512" t="s">
        <v>408</v>
      </c>
    </row>
    <row r="513" spans="1:14" x14ac:dyDescent="0.2">
      <c r="A513">
        <v>340</v>
      </c>
      <c r="B513" t="s">
        <v>1183</v>
      </c>
      <c r="C513" s="1">
        <v>17922</v>
      </c>
      <c r="D513" s="1">
        <v>44519</v>
      </c>
      <c r="E513" t="s">
        <v>959</v>
      </c>
    </row>
    <row r="514" spans="1:14" x14ac:dyDescent="0.2">
      <c r="A514">
        <v>338</v>
      </c>
      <c r="B514" t="s">
        <v>1181</v>
      </c>
      <c r="C514" s="1">
        <v>16276</v>
      </c>
      <c r="D514" s="1">
        <v>44512</v>
      </c>
      <c r="E514" t="s">
        <v>959</v>
      </c>
    </row>
    <row r="515" spans="1:14" x14ac:dyDescent="0.2">
      <c r="A515">
        <v>337</v>
      </c>
      <c r="B515" t="s">
        <v>1180</v>
      </c>
      <c r="C515" s="1">
        <v>22437</v>
      </c>
      <c r="D515" s="1">
        <v>44508</v>
      </c>
      <c r="E515" t="s">
        <v>959</v>
      </c>
    </row>
    <row r="516" spans="1:14" x14ac:dyDescent="0.2">
      <c r="A516">
        <v>335</v>
      </c>
      <c r="B516" t="s">
        <v>1178</v>
      </c>
      <c r="C516" s="1">
        <v>20409</v>
      </c>
      <c r="D516" s="1">
        <v>44505</v>
      </c>
      <c r="E516" t="s">
        <v>959</v>
      </c>
    </row>
    <row r="517" spans="1:14" x14ac:dyDescent="0.2">
      <c r="A517">
        <v>336</v>
      </c>
      <c r="B517" t="s">
        <v>1179</v>
      </c>
      <c r="C517" s="1">
        <v>27540</v>
      </c>
      <c r="D517" s="1">
        <v>44505</v>
      </c>
      <c r="E517" t="s">
        <v>959</v>
      </c>
      <c r="F517" s="1">
        <v>45250</v>
      </c>
    </row>
    <row r="518" spans="1:14" x14ac:dyDescent="0.2">
      <c r="A518">
        <v>333</v>
      </c>
      <c r="B518" t="s">
        <v>1176</v>
      </c>
      <c r="C518" s="1">
        <v>18977</v>
      </c>
      <c r="D518" s="1">
        <v>44498</v>
      </c>
      <c r="E518" t="s">
        <v>1130</v>
      </c>
    </row>
    <row r="519" spans="1:14" x14ac:dyDescent="0.2">
      <c r="A519">
        <v>334</v>
      </c>
      <c r="B519" t="s">
        <v>1177</v>
      </c>
      <c r="C519" s="1">
        <v>21563</v>
      </c>
      <c r="D519" s="1">
        <v>44498</v>
      </c>
      <c r="E519" t="s">
        <v>13</v>
      </c>
    </row>
    <row r="520" spans="1:14" x14ac:dyDescent="0.2">
      <c r="A520">
        <v>332</v>
      </c>
      <c r="B520" t="s">
        <v>1175</v>
      </c>
      <c r="C520" s="1">
        <v>30474</v>
      </c>
      <c r="D520" s="1">
        <v>44494</v>
      </c>
      <c r="E520" t="s">
        <v>959</v>
      </c>
      <c r="F520" s="1">
        <v>44729</v>
      </c>
      <c r="G520" s="1">
        <v>45110</v>
      </c>
      <c r="H520" s="1">
        <v>45338</v>
      </c>
      <c r="I520" s="1">
        <v>45674</v>
      </c>
    </row>
    <row r="521" spans="1:14" x14ac:dyDescent="0.2">
      <c r="A521">
        <v>330</v>
      </c>
      <c r="B521" t="s">
        <v>1172</v>
      </c>
      <c r="C521" s="1">
        <v>20935</v>
      </c>
      <c r="D521" s="1">
        <v>44480</v>
      </c>
      <c r="E521" t="s">
        <v>873</v>
      </c>
      <c r="G521" s="31"/>
      <c r="N521" s="1">
        <v>44481</v>
      </c>
    </row>
    <row r="522" spans="1:14" x14ac:dyDescent="0.2">
      <c r="A522">
        <v>331</v>
      </c>
      <c r="B522" t="s">
        <v>1173</v>
      </c>
      <c r="C522" s="1">
        <v>29359</v>
      </c>
      <c r="D522" s="1">
        <v>44480</v>
      </c>
      <c r="E522" t="s">
        <v>1174</v>
      </c>
      <c r="G522" s="31"/>
    </row>
    <row r="523" spans="1:14" x14ac:dyDescent="0.2">
      <c r="A523">
        <v>329</v>
      </c>
      <c r="B523" t="s">
        <v>1170</v>
      </c>
      <c r="C523" s="1">
        <v>25024</v>
      </c>
      <c r="D523" s="1">
        <v>44477</v>
      </c>
      <c r="E523" t="s">
        <v>1171</v>
      </c>
      <c r="F523" s="1">
        <v>45240</v>
      </c>
    </row>
    <row r="524" spans="1:14" x14ac:dyDescent="0.2">
      <c r="A524">
        <v>328</v>
      </c>
      <c r="B524" t="s">
        <v>1169</v>
      </c>
      <c r="C524" s="1">
        <v>20047</v>
      </c>
      <c r="D524" s="1">
        <v>44473</v>
      </c>
      <c r="E524" t="s">
        <v>873</v>
      </c>
      <c r="F524" s="1">
        <v>45838</v>
      </c>
      <c r="N524" s="1">
        <v>44474</v>
      </c>
    </row>
    <row r="525" spans="1:14" x14ac:dyDescent="0.2">
      <c r="A525">
        <v>327</v>
      </c>
      <c r="B525" t="s">
        <v>1168</v>
      </c>
      <c r="C525" s="1">
        <v>25465</v>
      </c>
      <c r="D525" s="1">
        <v>44466</v>
      </c>
      <c r="E525" t="s">
        <v>387</v>
      </c>
    </row>
    <row r="526" spans="1:14" x14ac:dyDescent="0.2">
      <c r="A526">
        <v>325</v>
      </c>
      <c r="B526" t="s">
        <v>1166</v>
      </c>
      <c r="C526" s="1">
        <v>33699</v>
      </c>
      <c r="D526" s="1">
        <v>44463</v>
      </c>
      <c r="E526" t="s">
        <v>972</v>
      </c>
    </row>
    <row r="527" spans="1:14" x14ac:dyDescent="0.2">
      <c r="A527">
        <v>326</v>
      </c>
      <c r="B527" t="s">
        <v>1167</v>
      </c>
      <c r="C527" s="1">
        <v>16613</v>
      </c>
      <c r="D527" s="1">
        <v>44463</v>
      </c>
      <c r="E527" t="s">
        <v>959</v>
      </c>
    </row>
    <row r="528" spans="1:14" x14ac:dyDescent="0.2">
      <c r="A528">
        <v>323</v>
      </c>
      <c r="B528" t="s">
        <v>1114</v>
      </c>
      <c r="C528" s="1">
        <v>30281</v>
      </c>
      <c r="D528" s="1">
        <v>44459</v>
      </c>
      <c r="E528" t="s">
        <v>13</v>
      </c>
    </row>
    <row r="529" spans="1:14" x14ac:dyDescent="0.2">
      <c r="A529">
        <v>324</v>
      </c>
      <c r="B529" t="s">
        <v>1165</v>
      </c>
      <c r="C529" s="1">
        <v>15879</v>
      </c>
      <c r="D529" s="1">
        <v>44459</v>
      </c>
      <c r="E529" t="s">
        <v>873</v>
      </c>
      <c r="F529" s="1">
        <v>44540</v>
      </c>
      <c r="G529" s="1">
        <v>45131</v>
      </c>
      <c r="H529" s="1">
        <v>45411</v>
      </c>
      <c r="I529" s="1">
        <v>45793</v>
      </c>
      <c r="N529" s="1">
        <v>44460</v>
      </c>
    </row>
    <row r="530" spans="1:14" x14ac:dyDescent="0.2">
      <c r="A530">
        <v>322</v>
      </c>
      <c r="B530" t="s">
        <v>1164</v>
      </c>
      <c r="C530" s="1">
        <v>20385</v>
      </c>
      <c r="D530" s="1">
        <v>44456</v>
      </c>
      <c r="E530" t="s">
        <v>959</v>
      </c>
      <c r="F530" s="1">
        <v>44788</v>
      </c>
    </row>
    <row r="531" spans="1:14" x14ac:dyDescent="0.2">
      <c r="A531">
        <v>321</v>
      </c>
      <c r="B531" t="s">
        <v>1163</v>
      </c>
      <c r="C531" s="1">
        <v>29499</v>
      </c>
      <c r="D531" s="1">
        <v>44452</v>
      </c>
      <c r="E531" t="s">
        <v>35</v>
      </c>
    </row>
    <row r="532" spans="1:14" x14ac:dyDescent="0.2">
      <c r="A532">
        <v>320</v>
      </c>
      <c r="B532" t="s">
        <v>1162</v>
      </c>
      <c r="C532" s="1">
        <v>23769</v>
      </c>
      <c r="D532" s="1">
        <v>44449</v>
      </c>
      <c r="E532" t="s">
        <v>387</v>
      </c>
      <c r="G532" s="31"/>
    </row>
    <row r="533" spans="1:14" x14ac:dyDescent="0.2">
      <c r="A533">
        <v>318</v>
      </c>
      <c r="B533" t="s">
        <v>1160</v>
      </c>
      <c r="C533" s="1">
        <v>22509</v>
      </c>
      <c r="D533" s="1">
        <v>44445</v>
      </c>
      <c r="E533" t="s">
        <v>35</v>
      </c>
      <c r="G533" s="33"/>
    </row>
    <row r="534" spans="1:14" x14ac:dyDescent="0.2">
      <c r="A534">
        <v>319</v>
      </c>
      <c r="B534" t="s">
        <v>1161</v>
      </c>
      <c r="C534" s="1">
        <v>25245</v>
      </c>
      <c r="D534" s="1">
        <v>44445</v>
      </c>
      <c r="E534" t="s">
        <v>873</v>
      </c>
      <c r="F534" s="1">
        <v>45431</v>
      </c>
      <c r="N534" s="1">
        <v>44446</v>
      </c>
    </row>
    <row r="535" spans="1:14" x14ac:dyDescent="0.2">
      <c r="A535">
        <v>317</v>
      </c>
      <c r="B535" t="s">
        <v>1159</v>
      </c>
      <c r="C535" s="1">
        <v>34905</v>
      </c>
      <c r="D535" s="1">
        <v>44435</v>
      </c>
      <c r="E535" t="s">
        <v>387</v>
      </c>
    </row>
    <row r="536" spans="1:14" x14ac:dyDescent="0.2">
      <c r="A536">
        <v>316</v>
      </c>
      <c r="B536" t="s">
        <v>1157</v>
      </c>
      <c r="C536" s="1">
        <v>25349</v>
      </c>
      <c r="D536" s="1">
        <v>44431</v>
      </c>
      <c r="E536" t="s">
        <v>1158</v>
      </c>
    </row>
    <row r="537" spans="1:14" x14ac:dyDescent="0.2">
      <c r="A537">
        <v>315</v>
      </c>
      <c r="B537" t="s">
        <v>1156</v>
      </c>
      <c r="C537" s="1">
        <v>33330</v>
      </c>
      <c r="D537" s="1">
        <v>44424</v>
      </c>
      <c r="E537" t="s">
        <v>35</v>
      </c>
    </row>
    <row r="538" spans="1:14" x14ac:dyDescent="0.2">
      <c r="A538">
        <v>313</v>
      </c>
      <c r="B538" t="s">
        <v>1154</v>
      </c>
      <c r="C538" s="1">
        <v>21233</v>
      </c>
      <c r="D538" s="1">
        <v>44421</v>
      </c>
      <c r="E538" t="s">
        <v>387</v>
      </c>
    </row>
    <row r="539" spans="1:14" x14ac:dyDescent="0.2">
      <c r="A539">
        <v>314</v>
      </c>
      <c r="B539" t="s">
        <v>1155</v>
      </c>
      <c r="C539" s="1">
        <v>23375</v>
      </c>
      <c r="D539" s="1">
        <v>44421</v>
      </c>
      <c r="E539" t="s">
        <v>35</v>
      </c>
    </row>
    <row r="540" spans="1:14" x14ac:dyDescent="0.2">
      <c r="A540">
        <v>312</v>
      </c>
      <c r="B540" t="s">
        <v>1152</v>
      </c>
      <c r="C540" s="1">
        <v>20170</v>
      </c>
      <c r="D540" s="1">
        <v>44417</v>
      </c>
      <c r="E540" t="s">
        <v>972</v>
      </c>
    </row>
    <row r="541" spans="1:14" x14ac:dyDescent="0.2">
      <c r="A541">
        <v>310</v>
      </c>
      <c r="B541" t="s">
        <v>1150</v>
      </c>
      <c r="C541" s="1">
        <v>24709</v>
      </c>
      <c r="D541" s="1">
        <v>44414</v>
      </c>
      <c r="E541" t="s">
        <v>959</v>
      </c>
      <c r="F541" s="1">
        <v>44890</v>
      </c>
    </row>
    <row r="542" spans="1:14" x14ac:dyDescent="0.2">
      <c r="A542">
        <v>311</v>
      </c>
      <c r="B542" t="s">
        <v>1151</v>
      </c>
      <c r="C542" s="1">
        <v>16041</v>
      </c>
      <c r="D542" s="1">
        <v>44414</v>
      </c>
      <c r="E542" t="s">
        <v>972</v>
      </c>
    </row>
    <row r="543" spans="1:14" x14ac:dyDescent="0.2">
      <c r="A543">
        <v>309</v>
      </c>
      <c r="B543" t="s">
        <v>1148</v>
      </c>
      <c r="C543" s="1">
        <v>24965</v>
      </c>
      <c r="D543" s="1">
        <v>44403</v>
      </c>
      <c r="E543" t="s">
        <v>1149</v>
      </c>
    </row>
    <row r="544" spans="1:14" x14ac:dyDescent="0.2">
      <c r="A544">
        <v>308</v>
      </c>
      <c r="B544" t="s">
        <v>1146</v>
      </c>
      <c r="C544" s="1">
        <v>21721</v>
      </c>
      <c r="D544" s="1">
        <v>44400</v>
      </c>
      <c r="E544" t="s">
        <v>1147</v>
      </c>
    </row>
    <row r="545" spans="1:16" x14ac:dyDescent="0.2">
      <c r="A545">
        <v>307</v>
      </c>
      <c r="B545" t="s">
        <v>1145</v>
      </c>
      <c r="C545" s="1">
        <v>21592</v>
      </c>
      <c r="D545" s="1">
        <v>44396</v>
      </c>
      <c r="E545" t="s">
        <v>959</v>
      </c>
    </row>
    <row r="546" spans="1:16" x14ac:dyDescent="0.2">
      <c r="A546">
        <v>306</v>
      </c>
      <c r="B546" t="s">
        <v>1144</v>
      </c>
      <c r="C546" s="1">
        <v>29807</v>
      </c>
      <c r="D546" s="1">
        <v>44393</v>
      </c>
      <c r="E546" t="s">
        <v>13</v>
      </c>
      <c r="F546" s="1">
        <v>44494</v>
      </c>
      <c r="G546" s="31"/>
    </row>
    <row r="547" spans="1:16" x14ac:dyDescent="0.2">
      <c r="A547">
        <v>300</v>
      </c>
      <c r="B547" t="s">
        <v>1135</v>
      </c>
      <c r="C547" s="1">
        <v>19530</v>
      </c>
      <c r="D547" s="1">
        <v>44389</v>
      </c>
      <c r="E547" t="s">
        <v>959</v>
      </c>
      <c r="G547" s="31"/>
    </row>
    <row r="548" spans="1:16" x14ac:dyDescent="0.2">
      <c r="A548">
        <v>297</v>
      </c>
      <c r="B548" t="s">
        <v>1132</v>
      </c>
      <c r="C548" s="1">
        <v>31928</v>
      </c>
      <c r="D548" s="1">
        <v>44386</v>
      </c>
      <c r="E548" t="s">
        <v>35</v>
      </c>
    </row>
    <row r="549" spans="1:16" x14ac:dyDescent="0.2">
      <c r="A549">
        <v>298</v>
      </c>
      <c r="B549" t="s">
        <v>1133</v>
      </c>
      <c r="C549" s="1">
        <v>25898</v>
      </c>
      <c r="D549" s="1">
        <v>44386</v>
      </c>
      <c r="E549" t="s">
        <v>959</v>
      </c>
    </row>
    <row r="550" spans="1:16" x14ac:dyDescent="0.2">
      <c r="A550">
        <v>299</v>
      </c>
      <c r="B550" t="s">
        <v>1134</v>
      </c>
      <c r="C550" s="1">
        <v>24256</v>
      </c>
      <c r="D550" s="1">
        <v>44386</v>
      </c>
      <c r="E550" t="s">
        <v>387</v>
      </c>
    </row>
    <row r="551" spans="1:16" x14ac:dyDescent="0.2">
      <c r="A551" s="19">
        <v>301</v>
      </c>
      <c r="B551" s="19" t="s">
        <v>1136</v>
      </c>
      <c r="C551" s="1">
        <v>15346</v>
      </c>
      <c r="D551" s="1">
        <v>44383</v>
      </c>
      <c r="E551" t="s">
        <v>1137</v>
      </c>
      <c r="P551" t="s">
        <v>1142</v>
      </c>
    </row>
    <row r="552" spans="1:16" x14ac:dyDescent="0.2">
      <c r="A552" s="19">
        <v>302</v>
      </c>
      <c r="B552" s="19" t="s">
        <v>1138</v>
      </c>
      <c r="C552" s="1">
        <v>24782</v>
      </c>
      <c r="D552" s="1">
        <v>44383</v>
      </c>
      <c r="E552" t="s">
        <v>1139</v>
      </c>
      <c r="P552" t="s">
        <v>1142</v>
      </c>
    </row>
    <row r="553" spans="1:16" x14ac:dyDescent="0.2">
      <c r="A553" s="19">
        <v>303</v>
      </c>
      <c r="B553" s="19" t="s">
        <v>381</v>
      </c>
      <c r="C553" s="1">
        <v>25971</v>
      </c>
      <c r="D553" s="1">
        <v>44383</v>
      </c>
      <c r="E553" t="s">
        <v>959</v>
      </c>
      <c r="P553" t="s">
        <v>1142</v>
      </c>
    </row>
    <row r="554" spans="1:16" x14ac:dyDescent="0.2">
      <c r="A554" s="19">
        <v>304</v>
      </c>
      <c r="B554" s="19" t="s">
        <v>1140</v>
      </c>
      <c r="C554" s="1">
        <v>15060</v>
      </c>
      <c r="D554" s="1">
        <v>44383</v>
      </c>
      <c r="E554" t="s">
        <v>1141</v>
      </c>
      <c r="P554" t="s">
        <v>1142</v>
      </c>
    </row>
    <row r="555" spans="1:16" x14ac:dyDescent="0.2">
      <c r="A555">
        <v>294</v>
      </c>
      <c r="B555" t="s">
        <v>1128</v>
      </c>
      <c r="C555" s="1">
        <v>24670</v>
      </c>
      <c r="D555" s="1">
        <v>44379</v>
      </c>
      <c r="E555" t="s">
        <v>882</v>
      </c>
    </row>
    <row r="556" spans="1:16" x14ac:dyDescent="0.2">
      <c r="A556">
        <v>295</v>
      </c>
      <c r="B556" t="s">
        <v>1129</v>
      </c>
      <c r="C556" s="1">
        <v>26223</v>
      </c>
      <c r="D556" s="1">
        <v>44379</v>
      </c>
      <c r="E556" t="s">
        <v>1130</v>
      </c>
      <c r="F556" s="1">
        <v>45915</v>
      </c>
      <c r="G556" s="33"/>
    </row>
    <row r="557" spans="1:16" x14ac:dyDescent="0.2">
      <c r="A557">
        <v>296</v>
      </c>
      <c r="B557" t="s">
        <v>1131</v>
      </c>
      <c r="C557" s="1">
        <v>23090</v>
      </c>
      <c r="D557" s="1">
        <v>44379</v>
      </c>
      <c r="E557" t="s">
        <v>959</v>
      </c>
      <c r="G557" s="33"/>
    </row>
    <row r="558" spans="1:16" x14ac:dyDescent="0.2">
      <c r="A558">
        <v>292</v>
      </c>
      <c r="B558" t="s">
        <v>1126</v>
      </c>
      <c r="C558" s="1">
        <v>23946</v>
      </c>
      <c r="D558" s="1">
        <v>44375</v>
      </c>
      <c r="E558" t="s">
        <v>972</v>
      </c>
    </row>
    <row r="559" spans="1:16" x14ac:dyDescent="0.2">
      <c r="A559">
        <v>293</v>
      </c>
      <c r="B559" t="s">
        <v>1127</v>
      </c>
      <c r="C559" s="1">
        <v>26796</v>
      </c>
      <c r="D559" s="1">
        <v>44375</v>
      </c>
      <c r="E559" t="s">
        <v>972</v>
      </c>
    </row>
    <row r="560" spans="1:16" x14ac:dyDescent="0.2">
      <c r="A560">
        <v>290</v>
      </c>
      <c r="B560" t="s">
        <v>1124</v>
      </c>
      <c r="C560" s="1">
        <v>27362</v>
      </c>
      <c r="D560" s="1">
        <v>44372</v>
      </c>
      <c r="E560" t="s">
        <v>959</v>
      </c>
    </row>
    <row r="561" spans="1:16" x14ac:dyDescent="0.2">
      <c r="A561">
        <v>291</v>
      </c>
      <c r="B561" t="s">
        <v>1125</v>
      </c>
      <c r="C561" s="1">
        <v>20098</v>
      </c>
      <c r="D561" s="1">
        <v>44372</v>
      </c>
      <c r="E561" t="s">
        <v>959</v>
      </c>
    </row>
    <row r="562" spans="1:16" x14ac:dyDescent="0.2">
      <c r="A562">
        <v>289</v>
      </c>
      <c r="B562" t="s">
        <v>1123</v>
      </c>
      <c r="C562" s="1">
        <v>21656</v>
      </c>
      <c r="D562" s="1">
        <v>44365</v>
      </c>
      <c r="E562" t="s">
        <v>959</v>
      </c>
    </row>
    <row r="563" spans="1:16" x14ac:dyDescent="0.2">
      <c r="A563">
        <v>287</v>
      </c>
      <c r="B563" t="s">
        <v>1121</v>
      </c>
      <c r="C563" s="1">
        <v>29393</v>
      </c>
      <c r="D563" s="1">
        <v>44358</v>
      </c>
      <c r="E563" t="s">
        <v>972</v>
      </c>
    </row>
    <row r="564" spans="1:16" x14ac:dyDescent="0.2">
      <c r="A564">
        <v>288</v>
      </c>
      <c r="B564" t="s">
        <v>1122</v>
      </c>
      <c r="C564" s="1">
        <v>24423</v>
      </c>
      <c r="D564" s="1">
        <v>44358</v>
      </c>
      <c r="E564" t="s">
        <v>35</v>
      </c>
    </row>
    <row r="565" spans="1:16" x14ac:dyDescent="0.2">
      <c r="A565">
        <v>285</v>
      </c>
      <c r="B565" t="s">
        <v>1118</v>
      </c>
      <c r="C565" s="1">
        <v>23312</v>
      </c>
      <c r="D565" s="1">
        <v>44354</v>
      </c>
      <c r="E565" t="s">
        <v>1119</v>
      </c>
    </row>
    <row r="566" spans="1:16" x14ac:dyDescent="0.2">
      <c r="A566">
        <v>286</v>
      </c>
      <c r="B566" t="s">
        <v>1120</v>
      </c>
      <c r="C566" s="1">
        <v>23421</v>
      </c>
      <c r="D566" s="1">
        <v>44354</v>
      </c>
      <c r="E566" t="s">
        <v>873</v>
      </c>
      <c r="N566" s="1">
        <v>44355</v>
      </c>
    </row>
    <row r="567" spans="1:16" x14ac:dyDescent="0.2">
      <c r="A567" s="21">
        <v>283</v>
      </c>
      <c r="B567" s="21" t="s">
        <v>1116</v>
      </c>
      <c r="C567" s="1">
        <v>24369</v>
      </c>
      <c r="D567" s="1">
        <v>44351</v>
      </c>
      <c r="E567" t="s">
        <v>35</v>
      </c>
    </row>
    <row r="568" spans="1:16" x14ac:dyDescent="0.2">
      <c r="A568" s="21">
        <v>284</v>
      </c>
      <c r="B568" s="21" t="s">
        <v>1117</v>
      </c>
      <c r="C568" s="1">
        <v>31897</v>
      </c>
      <c r="D568" s="1">
        <v>44351</v>
      </c>
      <c r="E568" t="s">
        <v>387</v>
      </c>
    </row>
    <row r="569" spans="1:16" x14ac:dyDescent="0.2">
      <c r="A569">
        <v>281</v>
      </c>
      <c r="B569" t="s">
        <v>1114</v>
      </c>
      <c r="C569" s="1">
        <v>30281</v>
      </c>
      <c r="D569" s="1">
        <v>44344</v>
      </c>
      <c r="E569" t="s">
        <v>13</v>
      </c>
    </row>
    <row r="570" spans="1:16" x14ac:dyDescent="0.2">
      <c r="A570">
        <v>282</v>
      </c>
      <c r="B570" t="s">
        <v>1115</v>
      </c>
      <c r="C570" s="1">
        <v>27789</v>
      </c>
      <c r="D570" s="1">
        <v>44344</v>
      </c>
      <c r="E570" t="s">
        <v>882</v>
      </c>
    </row>
    <row r="571" spans="1:16" x14ac:dyDescent="0.2">
      <c r="A571">
        <v>280</v>
      </c>
      <c r="B571" t="s">
        <v>1113</v>
      </c>
      <c r="C571" s="1">
        <v>27140</v>
      </c>
      <c r="D571" s="1">
        <v>44333</v>
      </c>
      <c r="E571" t="s">
        <v>972</v>
      </c>
    </row>
    <row r="572" spans="1:16" x14ac:dyDescent="0.2">
      <c r="A572">
        <v>278</v>
      </c>
      <c r="B572" t="s">
        <v>1111</v>
      </c>
      <c r="C572" s="1">
        <v>23093</v>
      </c>
      <c r="D572" s="1">
        <v>44330</v>
      </c>
      <c r="E572" t="s">
        <v>959</v>
      </c>
    </row>
    <row r="573" spans="1:16" x14ac:dyDescent="0.2">
      <c r="A573">
        <v>279</v>
      </c>
      <c r="B573" t="s">
        <v>1112</v>
      </c>
      <c r="C573" s="1">
        <v>30390</v>
      </c>
      <c r="D573" s="1">
        <v>44330</v>
      </c>
      <c r="E573" t="s">
        <v>972</v>
      </c>
    </row>
    <row r="574" spans="1:16" x14ac:dyDescent="0.2">
      <c r="A574">
        <v>276</v>
      </c>
      <c r="B574" t="s">
        <v>1108</v>
      </c>
      <c r="C574" s="1">
        <v>29038</v>
      </c>
      <c r="D574" s="1">
        <v>44323</v>
      </c>
      <c r="E574" t="s">
        <v>1109</v>
      </c>
      <c r="F574" s="1">
        <v>46181</v>
      </c>
      <c r="G574" t="s">
        <v>2222</v>
      </c>
    </row>
    <row r="575" spans="1:16" x14ac:dyDescent="0.2">
      <c r="A575">
        <v>277</v>
      </c>
      <c r="B575" t="s">
        <v>1110</v>
      </c>
      <c r="C575" s="1">
        <v>25027</v>
      </c>
      <c r="D575" s="1">
        <v>44323</v>
      </c>
      <c r="E575" t="s">
        <v>13</v>
      </c>
    </row>
    <row r="576" spans="1:16" x14ac:dyDescent="0.2">
      <c r="A576">
        <v>305</v>
      </c>
      <c r="B576" t="s">
        <v>1143</v>
      </c>
      <c r="C576" s="1">
        <v>34260</v>
      </c>
      <c r="D576" s="1">
        <v>44320</v>
      </c>
      <c r="E576" t="s">
        <v>35</v>
      </c>
      <c r="P576" t="s">
        <v>1142</v>
      </c>
    </row>
    <row r="577" spans="1:14" x14ac:dyDescent="0.2">
      <c r="A577">
        <v>274</v>
      </c>
      <c r="B577" t="s">
        <v>1105</v>
      </c>
      <c r="C577" s="1">
        <v>23610</v>
      </c>
      <c r="D577" s="1">
        <v>44319</v>
      </c>
      <c r="E577" t="s">
        <v>959</v>
      </c>
    </row>
    <row r="578" spans="1:14" x14ac:dyDescent="0.2">
      <c r="A578">
        <v>275</v>
      </c>
      <c r="B578" t="s">
        <v>1106</v>
      </c>
      <c r="C578" s="1">
        <v>35042</v>
      </c>
      <c r="D578" s="1">
        <v>44319</v>
      </c>
      <c r="E578" t="s">
        <v>1107</v>
      </c>
    </row>
    <row r="579" spans="1:14" x14ac:dyDescent="0.2">
      <c r="A579">
        <v>273</v>
      </c>
      <c r="B579" t="s">
        <v>1104</v>
      </c>
      <c r="C579" s="1">
        <v>35319</v>
      </c>
      <c r="D579" s="1">
        <v>44316</v>
      </c>
      <c r="E579" t="s">
        <v>13</v>
      </c>
      <c r="F579" s="1">
        <v>44452</v>
      </c>
    </row>
    <row r="580" spans="1:14" x14ac:dyDescent="0.2">
      <c r="A580">
        <v>272</v>
      </c>
      <c r="B580" t="s">
        <v>1103</v>
      </c>
      <c r="C580" s="1">
        <v>25660</v>
      </c>
      <c r="D580" s="1">
        <v>44312</v>
      </c>
      <c r="E580" t="s">
        <v>959</v>
      </c>
    </row>
    <row r="581" spans="1:14" x14ac:dyDescent="0.2">
      <c r="A581">
        <v>270</v>
      </c>
      <c r="B581" t="s">
        <v>1101</v>
      </c>
      <c r="C581" s="1">
        <v>21905</v>
      </c>
      <c r="D581" s="1">
        <v>44309</v>
      </c>
      <c r="E581" t="s">
        <v>387</v>
      </c>
    </row>
    <row r="582" spans="1:14" x14ac:dyDescent="0.2">
      <c r="A582">
        <v>271</v>
      </c>
      <c r="B582" t="s">
        <v>1102</v>
      </c>
      <c r="C582" s="1">
        <v>25704</v>
      </c>
      <c r="D582" s="1">
        <v>44309</v>
      </c>
      <c r="E582" t="s">
        <v>387</v>
      </c>
    </row>
    <row r="583" spans="1:14" x14ac:dyDescent="0.2">
      <c r="A583">
        <v>269</v>
      </c>
      <c r="B583" t="s">
        <v>1100</v>
      </c>
      <c r="C583" s="1">
        <v>20859</v>
      </c>
      <c r="D583" s="1">
        <v>44298</v>
      </c>
      <c r="E583" t="s">
        <v>959</v>
      </c>
    </row>
    <row r="584" spans="1:14" x14ac:dyDescent="0.2">
      <c r="A584">
        <v>267</v>
      </c>
      <c r="B584" t="s">
        <v>1098</v>
      </c>
      <c r="C584" s="1">
        <v>24311</v>
      </c>
      <c r="D584" s="1">
        <v>44295</v>
      </c>
      <c r="E584" t="s">
        <v>387</v>
      </c>
    </row>
    <row r="585" spans="1:14" x14ac:dyDescent="0.2">
      <c r="A585">
        <v>268</v>
      </c>
      <c r="B585" t="s">
        <v>1099</v>
      </c>
      <c r="C585" s="1">
        <v>23966</v>
      </c>
      <c r="D585" s="1">
        <v>44295</v>
      </c>
      <c r="E585" t="s">
        <v>387</v>
      </c>
    </row>
    <row r="586" spans="1:14" x14ac:dyDescent="0.2">
      <c r="A586">
        <v>266</v>
      </c>
      <c r="B586" t="s">
        <v>1025</v>
      </c>
      <c r="C586" s="1">
        <v>18773</v>
      </c>
      <c r="D586" s="1">
        <v>44284</v>
      </c>
      <c r="E586" t="s">
        <v>1026</v>
      </c>
      <c r="N586" s="1">
        <v>44286</v>
      </c>
    </row>
    <row r="587" spans="1:14" x14ac:dyDescent="0.2">
      <c r="A587">
        <v>264</v>
      </c>
      <c r="B587" t="s">
        <v>1096</v>
      </c>
      <c r="C587" s="1">
        <v>22339</v>
      </c>
      <c r="D587" s="1">
        <v>44281</v>
      </c>
      <c r="E587" t="s">
        <v>959</v>
      </c>
      <c r="F587" s="1">
        <v>45005</v>
      </c>
    </row>
    <row r="588" spans="1:14" x14ac:dyDescent="0.2">
      <c r="A588">
        <v>265</v>
      </c>
      <c r="B588" t="s">
        <v>1097</v>
      </c>
      <c r="C588" s="1">
        <v>21605</v>
      </c>
      <c r="D588" s="1">
        <v>44281</v>
      </c>
      <c r="E588" t="s">
        <v>35</v>
      </c>
    </row>
    <row r="589" spans="1:14" x14ac:dyDescent="0.2">
      <c r="A589">
        <v>262</v>
      </c>
      <c r="B589" t="s">
        <v>1094</v>
      </c>
      <c r="C589" s="1">
        <v>28444</v>
      </c>
      <c r="D589" s="1">
        <v>44277</v>
      </c>
      <c r="E589" t="s">
        <v>959</v>
      </c>
    </row>
    <row r="590" spans="1:14" x14ac:dyDescent="0.2">
      <c r="A590">
        <v>263</v>
      </c>
      <c r="B590" t="s">
        <v>1095</v>
      </c>
      <c r="C590" s="1">
        <v>20469</v>
      </c>
      <c r="D590" s="1">
        <v>44277</v>
      </c>
      <c r="E590" t="s">
        <v>35</v>
      </c>
      <c r="H590" t="s">
        <v>1624</v>
      </c>
    </row>
    <row r="591" spans="1:14" x14ac:dyDescent="0.2">
      <c r="A591">
        <v>260</v>
      </c>
      <c r="B591" t="s">
        <v>1092</v>
      </c>
      <c r="C591" s="1">
        <v>18417</v>
      </c>
      <c r="D591" s="1">
        <v>44274</v>
      </c>
      <c r="E591" t="s">
        <v>959</v>
      </c>
      <c r="F591" s="1">
        <v>45387</v>
      </c>
    </row>
    <row r="592" spans="1:14" x14ac:dyDescent="0.2">
      <c r="A592">
        <v>261</v>
      </c>
      <c r="B592" t="s">
        <v>1093</v>
      </c>
      <c r="C592" s="1">
        <v>24891</v>
      </c>
      <c r="D592" s="1">
        <v>44274</v>
      </c>
      <c r="E592" t="s">
        <v>959</v>
      </c>
    </row>
    <row r="593" spans="1:13" x14ac:dyDescent="0.2">
      <c r="A593">
        <v>346</v>
      </c>
      <c r="B593" t="s">
        <v>1268</v>
      </c>
      <c r="C593" s="1">
        <v>24891</v>
      </c>
      <c r="D593" s="1">
        <v>44274</v>
      </c>
      <c r="E593" t="s">
        <v>42</v>
      </c>
    </row>
    <row r="594" spans="1:13" x14ac:dyDescent="0.2">
      <c r="A594">
        <v>258</v>
      </c>
      <c r="B594" t="s">
        <v>1090</v>
      </c>
      <c r="C594" s="1">
        <v>24840</v>
      </c>
      <c r="D594" s="1">
        <v>44270</v>
      </c>
      <c r="E594" t="s">
        <v>35</v>
      </c>
    </row>
    <row r="595" spans="1:13" x14ac:dyDescent="0.2">
      <c r="A595">
        <v>259</v>
      </c>
      <c r="B595" t="s">
        <v>1091</v>
      </c>
      <c r="C595" s="1">
        <v>24136</v>
      </c>
      <c r="D595" s="1">
        <v>44270</v>
      </c>
      <c r="E595" t="s">
        <v>35</v>
      </c>
    </row>
    <row r="596" spans="1:13" x14ac:dyDescent="0.2">
      <c r="A596">
        <v>246</v>
      </c>
      <c r="B596" t="s">
        <v>1040</v>
      </c>
      <c r="C596" s="1">
        <v>29802</v>
      </c>
      <c r="D596" s="1">
        <v>44249</v>
      </c>
      <c r="E596" t="s">
        <v>387</v>
      </c>
      <c r="F596" s="1">
        <v>44361</v>
      </c>
      <c r="G596" s="1"/>
      <c r="H596" s="1"/>
      <c r="I596" s="1"/>
      <c r="J596" s="1"/>
      <c r="K596" s="1"/>
      <c r="L596" s="1"/>
      <c r="M596" s="1"/>
    </row>
    <row r="597" spans="1:13" x14ac:dyDescent="0.2">
      <c r="A597">
        <v>247</v>
      </c>
      <c r="B597" t="s">
        <v>1041</v>
      </c>
      <c r="C597" s="1">
        <v>23940</v>
      </c>
      <c r="D597" s="1">
        <v>44249</v>
      </c>
      <c r="E597" t="s">
        <v>387</v>
      </c>
    </row>
    <row r="598" spans="1:13" x14ac:dyDescent="0.2">
      <c r="A598">
        <v>257</v>
      </c>
      <c r="B598" t="s">
        <v>1080</v>
      </c>
      <c r="C598" s="1">
        <v>31020</v>
      </c>
      <c r="D598" s="1">
        <v>44249</v>
      </c>
      <c r="E598" t="s">
        <v>35</v>
      </c>
    </row>
    <row r="599" spans="1:13" x14ac:dyDescent="0.2">
      <c r="A599">
        <v>256</v>
      </c>
      <c r="B599" t="s">
        <v>1070</v>
      </c>
      <c r="C599" s="1">
        <v>22831</v>
      </c>
      <c r="D599" s="1">
        <v>44242</v>
      </c>
      <c r="E599" t="s">
        <v>35</v>
      </c>
    </row>
    <row r="600" spans="1:13" x14ac:dyDescent="0.2">
      <c r="A600">
        <v>255</v>
      </c>
      <c r="B600" t="s">
        <v>1069</v>
      </c>
      <c r="C600" s="1">
        <v>24639</v>
      </c>
      <c r="D600" s="1">
        <v>44239</v>
      </c>
      <c r="E600" t="s">
        <v>959</v>
      </c>
    </row>
    <row r="601" spans="1:13" x14ac:dyDescent="0.2">
      <c r="A601">
        <v>253</v>
      </c>
      <c r="B601" t="s">
        <v>1071</v>
      </c>
      <c r="C601" s="1">
        <v>21583</v>
      </c>
      <c r="D601" s="1">
        <v>44235</v>
      </c>
      <c r="E601" t="s">
        <v>13</v>
      </c>
      <c r="F601" s="1">
        <v>44396</v>
      </c>
      <c r="G601" s="1"/>
      <c r="H601" s="1"/>
      <c r="I601" s="1"/>
      <c r="J601" s="1"/>
      <c r="K601" s="1"/>
      <c r="L601" s="1"/>
      <c r="M601" s="1"/>
    </row>
    <row r="602" spans="1:13" x14ac:dyDescent="0.2">
      <c r="A602">
        <v>254</v>
      </c>
      <c r="B602" t="s">
        <v>1068</v>
      </c>
      <c r="C602" s="1">
        <v>28819</v>
      </c>
      <c r="D602" s="1">
        <v>44235</v>
      </c>
      <c r="E602" t="s">
        <v>35</v>
      </c>
    </row>
    <row r="603" spans="1:13" x14ac:dyDescent="0.2">
      <c r="A603">
        <v>252</v>
      </c>
      <c r="B603" t="s">
        <v>1066</v>
      </c>
      <c r="C603" s="1">
        <v>32423</v>
      </c>
      <c r="D603" s="1">
        <v>44232</v>
      </c>
      <c r="E603" t="s">
        <v>1067</v>
      </c>
    </row>
    <row r="604" spans="1:13" x14ac:dyDescent="0.2">
      <c r="A604">
        <v>251</v>
      </c>
      <c r="B604" t="s">
        <v>1065</v>
      </c>
      <c r="C604" s="1">
        <v>24364</v>
      </c>
      <c r="D604" s="1">
        <v>44228</v>
      </c>
      <c r="E604" t="s">
        <v>35</v>
      </c>
    </row>
    <row r="605" spans="1:13" x14ac:dyDescent="0.2">
      <c r="A605">
        <v>249</v>
      </c>
      <c r="B605" t="s">
        <v>1063</v>
      </c>
      <c r="C605" s="1">
        <v>29717</v>
      </c>
      <c r="D605" s="1">
        <v>44225</v>
      </c>
      <c r="E605" t="s">
        <v>882</v>
      </c>
    </row>
    <row r="606" spans="1:13" x14ac:dyDescent="0.2">
      <c r="A606">
        <v>250</v>
      </c>
      <c r="B606" t="s">
        <v>1064</v>
      </c>
      <c r="C606" s="1">
        <v>27577</v>
      </c>
      <c r="D606" s="1">
        <v>44225</v>
      </c>
      <c r="E606" t="s">
        <v>387</v>
      </c>
    </row>
    <row r="607" spans="1:13" x14ac:dyDescent="0.2">
      <c r="A607">
        <v>248</v>
      </c>
      <c r="B607" t="s">
        <v>1056</v>
      </c>
      <c r="C607" s="1">
        <v>32963</v>
      </c>
      <c r="D607" s="1">
        <v>44221</v>
      </c>
      <c r="E607" t="s">
        <v>387</v>
      </c>
    </row>
    <row r="608" spans="1:13" x14ac:dyDescent="0.2">
      <c r="A608">
        <v>244</v>
      </c>
      <c r="B608" t="s">
        <v>1038</v>
      </c>
      <c r="C608" s="1">
        <v>20860</v>
      </c>
      <c r="D608" s="1">
        <v>44214</v>
      </c>
      <c r="E608" t="s">
        <v>35</v>
      </c>
    </row>
    <row r="609" spans="1:14" x14ac:dyDescent="0.2">
      <c r="A609">
        <v>245</v>
      </c>
      <c r="B609" t="s">
        <v>1039</v>
      </c>
      <c r="C609" s="1">
        <v>21266</v>
      </c>
      <c r="D609" s="1">
        <v>44214</v>
      </c>
      <c r="E609" t="s">
        <v>387</v>
      </c>
      <c r="F609" s="1">
        <v>44736</v>
      </c>
    </row>
    <row r="610" spans="1:14" x14ac:dyDescent="0.2">
      <c r="A610">
        <v>242</v>
      </c>
      <c r="B610" t="s">
        <v>1036</v>
      </c>
      <c r="C610" s="1">
        <v>21690</v>
      </c>
      <c r="D610" s="1">
        <v>44211</v>
      </c>
      <c r="E610" t="s">
        <v>42</v>
      </c>
      <c r="F610" s="1">
        <v>45187</v>
      </c>
    </row>
    <row r="611" spans="1:14" x14ac:dyDescent="0.2">
      <c r="A611">
        <v>243</v>
      </c>
      <c r="B611" t="s">
        <v>1037</v>
      </c>
      <c r="C611" s="1">
        <v>28075</v>
      </c>
      <c r="D611" s="1">
        <v>44211</v>
      </c>
      <c r="E611" t="s">
        <v>882</v>
      </c>
    </row>
    <row r="612" spans="1:14" x14ac:dyDescent="0.2">
      <c r="A612">
        <v>241</v>
      </c>
      <c r="B612" t="s">
        <v>1035</v>
      </c>
      <c r="C612" s="1">
        <v>25614</v>
      </c>
      <c r="D612" s="1">
        <v>44207</v>
      </c>
      <c r="E612" t="s">
        <v>387</v>
      </c>
    </row>
    <row r="613" spans="1:14" x14ac:dyDescent="0.2">
      <c r="A613">
        <v>239</v>
      </c>
      <c r="B613" s="4" t="s">
        <v>1027</v>
      </c>
      <c r="C613" s="1">
        <v>23727</v>
      </c>
      <c r="D613" s="1">
        <v>44204</v>
      </c>
      <c r="E613" t="s">
        <v>1028</v>
      </c>
      <c r="N613" s="1">
        <v>44182</v>
      </c>
    </row>
    <row r="614" spans="1:14" x14ac:dyDescent="0.2">
      <c r="A614">
        <v>240</v>
      </c>
      <c r="B614" t="s">
        <v>1029</v>
      </c>
      <c r="C614" s="1">
        <v>22372</v>
      </c>
      <c r="D614" s="1">
        <v>44204</v>
      </c>
      <c r="E614" t="s">
        <v>1026</v>
      </c>
      <c r="N614" s="1">
        <v>44155</v>
      </c>
    </row>
    <row r="615" spans="1:14" x14ac:dyDescent="0.2">
      <c r="A615">
        <v>237</v>
      </c>
      <c r="B615" t="s">
        <v>1024</v>
      </c>
      <c r="C615" s="1">
        <v>34159</v>
      </c>
      <c r="D615" s="1">
        <v>44186</v>
      </c>
      <c r="E615" t="s">
        <v>42</v>
      </c>
    </row>
    <row r="616" spans="1:14" x14ac:dyDescent="0.2">
      <c r="A616">
        <v>238</v>
      </c>
      <c r="B616" t="s">
        <v>1025</v>
      </c>
      <c r="C616" s="1">
        <v>18773</v>
      </c>
      <c r="D616" s="1">
        <v>44186</v>
      </c>
      <c r="E616" t="s">
        <v>1026</v>
      </c>
      <c r="F616" s="1">
        <v>45824</v>
      </c>
      <c r="N616" s="1">
        <v>44180</v>
      </c>
    </row>
    <row r="617" spans="1:14" x14ac:dyDescent="0.2">
      <c r="A617">
        <v>236</v>
      </c>
      <c r="B617" t="s">
        <v>996</v>
      </c>
      <c r="C617" s="1">
        <v>31683</v>
      </c>
      <c r="D617" s="1">
        <v>44183</v>
      </c>
      <c r="E617" t="s">
        <v>42</v>
      </c>
    </row>
    <row r="618" spans="1:14" x14ac:dyDescent="0.2">
      <c r="A618">
        <v>234</v>
      </c>
      <c r="B618" t="s">
        <v>995</v>
      </c>
      <c r="C618" s="1">
        <v>21205</v>
      </c>
      <c r="D618" s="1">
        <v>44179</v>
      </c>
      <c r="E618" t="s">
        <v>35</v>
      </c>
      <c r="F618" s="1">
        <v>44347</v>
      </c>
      <c r="G618" s="1"/>
      <c r="H618" s="1"/>
      <c r="I618" s="1"/>
      <c r="J618" s="1"/>
      <c r="K618" s="1"/>
      <c r="L618" s="1"/>
      <c r="M618" s="1"/>
    </row>
    <row r="619" spans="1:14" x14ac:dyDescent="0.2">
      <c r="A619">
        <v>235</v>
      </c>
      <c r="B619" t="s">
        <v>1020</v>
      </c>
      <c r="C619" s="1">
        <v>30836</v>
      </c>
      <c r="D619" s="1">
        <v>44179</v>
      </c>
      <c r="E619" t="s">
        <v>409</v>
      </c>
    </row>
    <row r="620" spans="1:14" x14ac:dyDescent="0.2">
      <c r="A620">
        <v>232</v>
      </c>
      <c r="B620" t="s">
        <v>993</v>
      </c>
      <c r="C620" s="1">
        <v>23277</v>
      </c>
      <c r="D620" s="1">
        <v>44176</v>
      </c>
      <c r="E620" t="s">
        <v>387</v>
      </c>
    </row>
    <row r="621" spans="1:14" x14ac:dyDescent="0.2">
      <c r="A621">
        <v>233</v>
      </c>
      <c r="B621" t="s">
        <v>994</v>
      </c>
      <c r="C621" s="1">
        <v>27069</v>
      </c>
      <c r="D621" s="1">
        <v>44176</v>
      </c>
      <c r="E621" t="s">
        <v>882</v>
      </c>
    </row>
    <row r="622" spans="1:14" x14ac:dyDescent="0.2">
      <c r="A622">
        <v>230</v>
      </c>
      <c r="B622" t="s">
        <v>991</v>
      </c>
      <c r="C622" s="1">
        <v>23140</v>
      </c>
      <c r="D622" s="1">
        <v>44172</v>
      </c>
      <c r="E622" t="s">
        <v>387</v>
      </c>
    </row>
    <row r="623" spans="1:14" x14ac:dyDescent="0.2">
      <c r="A623">
        <v>231</v>
      </c>
      <c r="B623" t="s">
        <v>992</v>
      </c>
      <c r="C623" s="1">
        <v>18446</v>
      </c>
      <c r="D623" s="1">
        <v>44172</v>
      </c>
      <c r="E623" t="s">
        <v>35</v>
      </c>
    </row>
    <row r="624" spans="1:14" x14ac:dyDescent="0.2">
      <c r="A624">
        <v>229</v>
      </c>
      <c r="B624" t="s">
        <v>990</v>
      </c>
      <c r="C624" s="1">
        <v>30626</v>
      </c>
      <c r="D624" s="1">
        <v>44169</v>
      </c>
      <c r="E624" t="s">
        <v>13</v>
      </c>
    </row>
    <row r="625" spans="1:13" x14ac:dyDescent="0.2">
      <c r="A625">
        <v>227</v>
      </c>
      <c r="B625" t="s">
        <v>988</v>
      </c>
      <c r="C625" s="1">
        <v>22857</v>
      </c>
      <c r="D625" s="1">
        <v>44162</v>
      </c>
      <c r="E625" t="s">
        <v>42</v>
      </c>
      <c r="F625" s="1">
        <v>44736</v>
      </c>
      <c r="G625" s="1">
        <v>44823</v>
      </c>
      <c r="H625" s="1">
        <v>45173</v>
      </c>
      <c r="I625" s="1">
        <v>45670</v>
      </c>
      <c r="J625" s="1"/>
      <c r="K625" s="1"/>
      <c r="L625" s="1"/>
      <c r="M625" s="1"/>
    </row>
    <row r="626" spans="1:13" x14ac:dyDescent="0.2">
      <c r="A626">
        <v>228</v>
      </c>
      <c r="B626" t="s">
        <v>989</v>
      </c>
      <c r="C626" s="1">
        <v>23518</v>
      </c>
      <c r="D626" s="1">
        <v>44162</v>
      </c>
      <c r="E626" t="s">
        <v>35</v>
      </c>
    </row>
    <row r="627" spans="1:13" x14ac:dyDescent="0.2">
      <c r="A627">
        <v>226</v>
      </c>
      <c r="B627" t="s">
        <v>986</v>
      </c>
      <c r="C627" s="1">
        <v>28867</v>
      </c>
      <c r="D627" s="1">
        <v>44155</v>
      </c>
      <c r="E627" t="s">
        <v>987</v>
      </c>
    </row>
    <row r="628" spans="1:13" x14ac:dyDescent="0.2">
      <c r="A628">
        <v>225</v>
      </c>
      <c r="B628" t="s">
        <v>862</v>
      </c>
      <c r="C628" s="1">
        <v>24699</v>
      </c>
      <c r="D628" s="1">
        <v>44151</v>
      </c>
      <c r="E628" t="s">
        <v>42</v>
      </c>
      <c r="F628" s="1">
        <v>44712</v>
      </c>
      <c r="G628" s="1"/>
      <c r="H628" s="1"/>
      <c r="I628" s="1"/>
      <c r="J628" s="1"/>
      <c r="K628" s="1"/>
      <c r="L628" s="1"/>
      <c r="M628" s="1"/>
    </row>
    <row r="629" spans="1:13" x14ac:dyDescent="0.2">
      <c r="A629">
        <v>223</v>
      </c>
      <c r="B629" t="s">
        <v>856</v>
      </c>
      <c r="C629" s="1">
        <v>20896</v>
      </c>
      <c r="D629" s="1">
        <v>44148</v>
      </c>
      <c r="E629" t="s">
        <v>387</v>
      </c>
    </row>
    <row r="630" spans="1:13" x14ac:dyDescent="0.2">
      <c r="A630">
        <v>224</v>
      </c>
      <c r="B630" t="s">
        <v>860</v>
      </c>
      <c r="C630" s="1">
        <v>19170</v>
      </c>
      <c r="D630" s="1">
        <v>44148</v>
      </c>
      <c r="E630" t="s">
        <v>35</v>
      </c>
      <c r="F630" s="1">
        <v>44246</v>
      </c>
      <c r="G630" s="1"/>
      <c r="H630" s="1"/>
      <c r="I630" s="1"/>
      <c r="J630" s="1"/>
      <c r="K630" s="1"/>
      <c r="L630" s="1"/>
      <c r="M630" s="1"/>
    </row>
    <row r="631" spans="1:13" x14ac:dyDescent="0.2">
      <c r="A631">
        <v>220</v>
      </c>
      <c r="B631" t="s">
        <v>863</v>
      </c>
      <c r="C631" s="1">
        <v>25941</v>
      </c>
      <c r="D631" s="1">
        <v>44144</v>
      </c>
      <c r="E631" t="s">
        <v>42</v>
      </c>
      <c r="F631" s="1">
        <v>44508</v>
      </c>
      <c r="G631" s="1">
        <v>46227</v>
      </c>
    </row>
    <row r="632" spans="1:13" x14ac:dyDescent="0.2">
      <c r="A632">
        <v>221</v>
      </c>
      <c r="B632" t="s">
        <v>985</v>
      </c>
      <c r="C632" s="1">
        <v>27474</v>
      </c>
      <c r="D632" s="1">
        <v>44144</v>
      </c>
      <c r="E632" t="s">
        <v>408</v>
      </c>
    </row>
    <row r="633" spans="1:13" x14ac:dyDescent="0.2">
      <c r="A633">
        <v>222</v>
      </c>
      <c r="B633" t="s">
        <v>853</v>
      </c>
      <c r="C633" s="1">
        <v>24503</v>
      </c>
      <c r="D633" s="1">
        <v>44144</v>
      </c>
      <c r="E633" t="s">
        <v>35</v>
      </c>
    </row>
    <row r="634" spans="1:13" x14ac:dyDescent="0.2">
      <c r="A634">
        <v>219</v>
      </c>
      <c r="B634" t="s">
        <v>849</v>
      </c>
      <c r="C634" s="1">
        <v>22275</v>
      </c>
      <c r="D634" s="1">
        <v>44137</v>
      </c>
      <c r="E634" t="s">
        <v>35</v>
      </c>
      <c r="F634" s="1">
        <v>44337</v>
      </c>
      <c r="G634" s="1"/>
      <c r="H634" s="1"/>
      <c r="I634" s="1"/>
      <c r="J634" s="1"/>
      <c r="K634" s="1"/>
      <c r="L634" s="1"/>
      <c r="M634" s="1"/>
    </row>
    <row r="635" spans="1:13" x14ac:dyDescent="0.2">
      <c r="A635">
        <v>218</v>
      </c>
      <c r="B635" t="s">
        <v>865</v>
      </c>
      <c r="C635" s="1">
        <v>21995</v>
      </c>
      <c r="D635" s="1">
        <v>44135</v>
      </c>
      <c r="E635" t="s">
        <v>864</v>
      </c>
      <c r="F635" s="1">
        <v>44512</v>
      </c>
    </row>
    <row r="636" spans="1:13" x14ac:dyDescent="0.2">
      <c r="A636">
        <v>216</v>
      </c>
      <c r="B636" t="s">
        <v>867</v>
      </c>
      <c r="C636" s="1">
        <v>21030</v>
      </c>
      <c r="D636" s="1">
        <v>44130</v>
      </c>
      <c r="E636" t="s">
        <v>408</v>
      </c>
    </row>
    <row r="637" spans="1:13" x14ac:dyDescent="0.2">
      <c r="A637">
        <v>217</v>
      </c>
      <c r="B637" t="s">
        <v>866</v>
      </c>
      <c r="C637" s="1">
        <v>35232</v>
      </c>
      <c r="D637" s="1">
        <v>44130</v>
      </c>
      <c r="E637" t="s">
        <v>408</v>
      </c>
    </row>
    <row r="638" spans="1:13" x14ac:dyDescent="0.2">
      <c r="A638">
        <v>213</v>
      </c>
      <c r="B638" t="s">
        <v>868</v>
      </c>
      <c r="C638" s="1">
        <v>26262</v>
      </c>
      <c r="D638" s="1">
        <v>44127</v>
      </c>
      <c r="E638" t="s">
        <v>42</v>
      </c>
      <c r="F638" s="1">
        <v>44540</v>
      </c>
    </row>
    <row r="639" spans="1:13" x14ac:dyDescent="0.2">
      <c r="A639">
        <v>214</v>
      </c>
      <c r="B639" t="s">
        <v>799</v>
      </c>
      <c r="C639" s="1">
        <v>21180</v>
      </c>
      <c r="D639" s="1">
        <v>44127</v>
      </c>
      <c r="E639" t="s">
        <v>387</v>
      </c>
    </row>
    <row r="640" spans="1:13" x14ac:dyDescent="0.2">
      <c r="A640">
        <v>215</v>
      </c>
      <c r="B640" t="s">
        <v>800</v>
      </c>
      <c r="C640" s="1">
        <v>32031</v>
      </c>
      <c r="D640" s="1">
        <v>44127</v>
      </c>
      <c r="E640" t="s">
        <v>35</v>
      </c>
      <c r="F640" s="1">
        <v>44326</v>
      </c>
      <c r="G640" s="1"/>
      <c r="H640" s="1"/>
      <c r="I640" s="1"/>
      <c r="J640" s="1"/>
      <c r="K640" s="1"/>
      <c r="L640" s="1"/>
      <c r="M640" s="1"/>
    </row>
    <row r="641" spans="1:13" x14ac:dyDescent="0.2">
      <c r="A641">
        <v>211</v>
      </c>
      <c r="B641" t="s">
        <v>797</v>
      </c>
      <c r="C641" s="1">
        <v>27568</v>
      </c>
      <c r="D641" s="1">
        <v>44123</v>
      </c>
      <c r="E641" t="s">
        <v>869</v>
      </c>
    </row>
    <row r="642" spans="1:13" x14ac:dyDescent="0.2">
      <c r="A642">
        <v>212</v>
      </c>
      <c r="B642" t="s">
        <v>798</v>
      </c>
      <c r="C642" s="1">
        <v>24469</v>
      </c>
      <c r="D642" s="1">
        <v>44123</v>
      </c>
      <c r="E642" t="s">
        <v>387</v>
      </c>
      <c r="F642" s="1">
        <v>44242</v>
      </c>
      <c r="G642" s="1"/>
      <c r="H642" s="1"/>
      <c r="I642" s="1"/>
      <c r="J642" s="1"/>
      <c r="K642" s="1"/>
      <c r="L642" s="1"/>
      <c r="M642" s="1"/>
    </row>
    <row r="643" spans="1:13" x14ac:dyDescent="0.2">
      <c r="A643">
        <v>209</v>
      </c>
      <c r="B643" t="s">
        <v>870</v>
      </c>
      <c r="C643" s="1">
        <v>27606</v>
      </c>
      <c r="D643" s="1">
        <v>44120</v>
      </c>
      <c r="E643" t="s">
        <v>387</v>
      </c>
    </row>
    <row r="644" spans="1:13" x14ac:dyDescent="0.2">
      <c r="A644">
        <v>210</v>
      </c>
      <c r="B644" t="s">
        <v>796</v>
      </c>
      <c r="C644" s="1">
        <v>21999</v>
      </c>
      <c r="D644" s="1">
        <v>44120</v>
      </c>
      <c r="E644" t="s">
        <v>13</v>
      </c>
      <c r="F644" s="1">
        <v>44253</v>
      </c>
      <c r="G644" s="1"/>
      <c r="H644" s="1"/>
      <c r="I644" s="1"/>
      <c r="J644" s="1"/>
      <c r="K644" s="1"/>
      <c r="L644" s="1"/>
      <c r="M644" s="1"/>
    </row>
    <row r="645" spans="1:13" x14ac:dyDescent="0.2">
      <c r="A645">
        <v>206</v>
      </c>
      <c r="B645" t="s">
        <v>874</v>
      </c>
      <c r="C645" s="1">
        <v>15153</v>
      </c>
      <c r="D645" s="1">
        <v>44116</v>
      </c>
      <c r="E645" t="s">
        <v>873</v>
      </c>
    </row>
    <row r="646" spans="1:13" x14ac:dyDescent="0.2">
      <c r="A646">
        <v>207</v>
      </c>
      <c r="B646" t="s">
        <v>872</v>
      </c>
      <c r="C646" s="1">
        <v>22018</v>
      </c>
      <c r="D646" s="1">
        <v>44116</v>
      </c>
      <c r="E646" t="s">
        <v>871</v>
      </c>
    </row>
    <row r="647" spans="1:13" x14ac:dyDescent="0.2">
      <c r="A647">
        <v>205</v>
      </c>
      <c r="B647" t="s">
        <v>875</v>
      </c>
      <c r="C647" s="1">
        <v>22764</v>
      </c>
      <c r="D647" s="1">
        <v>44113</v>
      </c>
      <c r="E647" t="s">
        <v>42</v>
      </c>
      <c r="F647" s="1">
        <v>44249</v>
      </c>
      <c r="G647" s="1"/>
      <c r="H647" s="1"/>
      <c r="I647" s="1"/>
      <c r="J647" s="1"/>
      <c r="K647" s="1"/>
      <c r="L647" s="1"/>
      <c r="M647" s="1"/>
    </row>
    <row r="648" spans="1:13" x14ac:dyDescent="0.2">
      <c r="A648">
        <v>203</v>
      </c>
      <c r="B648" t="s">
        <v>782</v>
      </c>
      <c r="C648" s="1">
        <v>26584</v>
      </c>
      <c r="D648" s="1">
        <v>44109</v>
      </c>
      <c r="E648" t="s">
        <v>35</v>
      </c>
      <c r="F648" s="1">
        <v>44298</v>
      </c>
      <c r="G648" s="1"/>
      <c r="H648" s="1"/>
      <c r="I648" s="1"/>
      <c r="J648" s="1"/>
      <c r="K648" s="1"/>
      <c r="L648" s="1"/>
      <c r="M648" s="1"/>
    </row>
    <row r="649" spans="1:13" x14ac:dyDescent="0.2">
      <c r="A649">
        <v>204</v>
      </c>
      <c r="B649" t="s">
        <v>783</v>
      </c>
      <c r="C649" s="1">
        <v>24490</v>
      </c>
      <c r="D649" s="1">
        <v>44109</v>
      </c>
      <c r="E649" t="s">
        <v>35</v>
      </c>
    </row>
    <row r="650" spans="1:13" x14ac:dyDescent="0.2">
      <c r="A650">
        <v>201</v>
      </c>
      <c r="B650" t="s">
        <v>780</v>
      </c>
      <c r="C650" s="1">
        <v>21332</v>
      </c>
      <c r="D650" s="1">
        <v>44106</v>
      </c>
      <c r="E650" t="s">
        <v>387</v>
      </c>
    </row>
    <row r="651" spans="1:13" x14ac:dyDescent="0.2">
      <c r="A651">
        <v>202</v>
      </c>
      <c r="B651" t="s">
        <v>781</v>
      </c>
      <c r="C651" s="1">
        <v>22959</v>
      </c>
      <c r="D651" s="1">
        <v>44106</v>
      </c>
      <c r="E651" t="s">
        <v>13</v>
      </c>
      <c r="F651" s="1">
        <v>44274</v>
      </c>
      <c r="G651" s="1"/>
      <c r="H651" s="1"/>
      <c r="I651" s="1"/>
      <c r="J651" s="1"/>
      <c r="K651" s="1"/>
      <c r="L651" s="1"/>
      <c r="M651" s="1"/>
    </row>
    <row r="652" spans="1:13" x14ac:dyDescent="0.2">
      <c r="A652">
        <v>198</v>
      </c>
      <c r="B652" t="s">
        <v>877</v>
      </c>
      <c r="C652" s="1">
        <v>25233</v>
      </c>
      <c r="D652" s="1">
        <v>44099</v>
      </c>
      <c r="E652" t="s">
        <v>42</v>
      </c>
    </row>
    <row r="653" spans="1:13" x14ac:dyDescent="0.2">
      <c r="A653">
        <v>199</v>
      </c>
      <c r="B653" t="s">
        <v>876</v>
      </c>
      <c r="C653" s="1">
        <v>22660</v>
      </c>
      <c r="D653" s="1">
        <v>44099</v>
      </c>
      <c r="E653" t="s">
        <v>873</v>
      </c>
      <c r="F653" s="1">
        <v>44890</v>
      </c>
      <c r="G653" s="1">
        <v>46146</v>
      </c>
    </row>
    <row r="654" spans="1:13" x14ac:dyDescent="0.2">
      <c r="A654">
        <v>200</v>
      </c>
      <c r="B654" t="s">
        <v>615</v>
      </c>
      <c r="C654" s="1">
        <v>24911</v>
      </c>
      <c r="D654" s="1">
        <v>44099</v>
      </c>
      <c r="E654" t="s">
        <v>408</v>
      </c>
    </row>
    <row r="655" spans="1:13" x14ac:dyDescent="0.2">
      <c r="A655">
        <v>195</v>
      </c>
      <c r="B655" t="s">
        <v>879</v>
      </c>
      <c r="C655" s="1">
        <v>21635</v>
      </c>
      <c r="D655" s="1">
        <v>44092</v>
      </c>
      <c r="E655" t="s">
        <v>42</v>
      </c>
    </row>
    <row r="656" spans="1:13" x14ac:dyDescent="0.2">
      <c r="A656">
        <v>196</v>
      </c>
      <c r="B656" t="s">
        <v>878</v>
      </c>
      <c r="C656" s="1">
        <v>20394</v>
      </c>
      <c r="D656" s="1">
        <v>44092</v>
      </c>
      <c r="E656" t="s">
        <v>42</v>
      </c>
    </row>
    <row r="657" spans="1:13" x14ac:dyDescent="0.2">
      <c r="A657">
        <v>197</v>
      </c>
      <c r="B657" t="s">
        <v>614</v>
      </c>
      <c r="C657" s="1">
        <v>32194</v>
      </c>
      <c r="D657" s="1">
        <v>44092</v>
      </c>
      <c r="E657" t="s">
        <v>387</v>
      </c>
      <c r="F657" s="1">
        <v>44239</v>
      </c>
      <c r="G657" s="1"/>
      <c r="H657" s="1"/>
      <c r="I657" s="1"/>
      <c r="J657" s="1"/>
      <c r="K657" s="1"/>
      <c r="L657" s="1"/>
      <c r="M657" s="1"/>
    </row>
    <row r="658" spans="1:13" x14ac:dyDescent="0.2">
      <c r="A658">
        <v>194</v>
      </c>
      <c r="B658" t="s">
        <v>613</v>
      </c>
      <c r="C658" s="1">
        <v>25439</v>
      </c>
      <c r="D658" s="1">
        <v>44088</v>
      </c>
      <c r="E658" t="s">
        <v>35</v>
      </c>
    </row>
    <row r="659" spans="1:13" x14ac:dyDescent="0.2">
      <c r="A659">
        <v>193</v>
      </c>
      <c r="B659" t="s">
        <v>612</v>
      </c>
      <c r="C659" s="1">
        <v>30495</v>
      </c>
      <c r="D659" s="1">
        <v>44085</v>
      </c>
      <c r="E659" t="s">
        <v>35</v>
      </c>
    </row>
    <row r="660" spans="1:13" x14ac:dyDescent="0.2">
      <c r="A660">
        <v>191</v>
      </c>
      <c r="B660" t="s">
        <v>881</v>
      </c>
      <c r="C660" s="1">
        <v>31944</v>
      </c>
      <c r="D660" s="1">
        <v>44081</v>
      </c>
      <c r="E660" t="s">
        <v>387</v>
      </c>
    </row>
    <row r="661" spans="1:13" x14ac:dyDescent="0.2">
      <c r="A661">
        <v>192</v>
      </c>
      <c r="B661" t="s">
        <v>880</v>
      </c>
      <c r="C661" s="1">
        <v>31678</v>
      </c>
      <c r="D661" s="1">
        <v>44081</v>
      </c>
      <c r="E661" t="s">
        <v>873</v>
      </c>
    </row>
    <row r="662" spans="1:13" x14ac:dyDescent="0.2">
      <c r="A662">
        <v>189</v>
      </c>
      <c r="B662" t="s">
        <v>883</v>
      </c>
      <c r="C662" s="1">
        <v>32198</v>
      </c>
      <c r="D662" s="1">
        <v>44078</v>
      </c>
      <c r="E662" t="s">
        <v>882</v>
      </c>
    </row>
    <row r="663" spans="1:13" x14ac:dyDescent="0.2">
      <c r="A663">
        <v>190</v>
      </c>
      <c r="B663" t="s">
        <v>418</v>
      </c>
      <c r="C663" s="1">
        <v>24739</v>
      </c>
      <c r="D663" s="1">
        <v>44078</v>
      </c>
      <c r="E663" t="s">
        <v>35</v>
      </c>
    </row>
    <row r="664" spans="1:13" x14ac:dyDescent="0.2">
      <c r="A664">
        <v>188</v>
      </c>
      <c r="B664" t="s">
        <v>74</v>
      </c>
      <c r="C664" s="1">
        <v>20147</v>
      </c>
      <c r="D664" s="1">
        <v>44071</v>
      </c>
      <c r="E664" t="s">
        <v>35</v>
      </c>
    </row>
    <row r="665" spans="1:13" x14ac:dyDescent="0.2">
      <c r="A665">
        <v>186</v>
      </c>
      <c r="B665" t="s">
        <v>885</v>
      </c>
      <c r="C665" s="1">
        <v>25379</v>
      </c>
      <c r="D665" s="1">
        <v>44067</v>
      </c>
      <c r="E665" t="s">
        <v>42</v>
      </c>
    </row>
    <row r="666" spans="1:13" x14ac:dyDescent="0.2">
      <c r="A666">
        <v>187</v>
      </c>
      <c r="B666" t="s">
        <v>884</v>
      </c>
      <c r="C666" s="1">
        <v>25722</v>
      </c>
      <c r="D666" s="1">
        <v>44067</v>
      </c>
      <c r="E666" t="s">
        <v>387</v>
      </c>
    </row>
    <row r="667" spans="1:13" x14ac:dyDescent="0.2">
      <c r="A667">
        <v>185</v>
      </c>
      <c r="B667" t="s">
        <v>886</v>
      </c>
      <c r="C667" s="1">
        <v>22441</v>
      </c>
      <c r="D667" s="1">
        <v>44064</v>
      </c>
      <c r="E667" t="s">
        <v>882</v>
      </c>
    </row>
    <row r="668" spans="1:13" x14ac:dyDescent="0.2">
      <c r="A668">
        <v>184</v>
      </c>
      <c r="B668" t="s">
        <v>416</v>
      </c>
      <c r="C668" s="1">
        <v>30454</v>
      </c>
      <c r="D668" s="1">
        <v>44060</v>
      </c>
      <c r="E668" t="s">
        <v>882</v>
      </c>
    </row>
    <row r="669" spans="1:13" x14ac:dyDescent="0.2">
      <c r="A669">
        <v>182</v>
      </c>
      <c r="B669" t="s">
        <v>888</v>
      </c>
      <c r="C669" s="1">
        <v>34047</v>
      </c>
      <c r="D669" s="1">
        <v>44053</v>
      </c>
      <c r="E669" t="s">
        <v>387</v>
      </c>
      <c r="F669" s="1">
        <v>44169</v>
      </c>
      <c r="G669" s="1"/>
      <c r="H669" s="1"/>
      <c r="I669" s="1"/>
      <c r="J669" s="1"/>
      <c r="K669" s="1"/>
      <c r="L669" s="1"/>
      <c r="M669" s="1"/>
    </row>
    <row r="670" spans="1:13" x14ac:dyDescent="0.2">
      <c r="A670">
        <v>183</v>
      </c>
      <c r="B670" t="s">
        <v>887</v>
      </c>
      <c r="C670" s="1">
        <v>33369</v>
      </c>
      <c r="D670" s="1">
        <v>44053</v>
      </c>
      <c r="E670" t="s">
        <v>882</v>
      </c>
    </row>
    <row r="671" spans="1:13" x14ac:dyDescent="0.2">
      <c r="A671">
        <v>180</v>
      </c>
      <c r="B671" t="s">
        <v>890</v>
      </c>
      <c r="C671" s="1">
        <v>15713</v>
      </c>
      <c r="D671" s="1">
        <v>44050</v>
      </c>
      <c r="E671" t="s">
        <v>873</v>
      </c>
    </row>
    <row r="672" spans="1:13" x14ac:dyDescent="0.2">
      <c r="A672">
        <v>181</v>
      </c>
      <c r="B672" t="s">
        <v>889</v>
      </c>
      <c r="C672" s="1">
        <v>18209</v>
      </c>
      <c r="D672" s="1">
        <v>44050</v>
      </c>
      <c r="E672" t="s">
        <v>35</v>
      </c>
    </row>
    <row r="673" spans="1:13" x14ac:dyDescent="0.2">
      <c r="A673">
        <v>178</v>
      </c>
      <c r="B673" t="s">
        <v>891</v>
      </c>
      <c r="C673" s="1">
        <v>21507</v>
      </c>
      <c r="D673" s="1">
        <v>44046</v>
      </c>
      <c r="E673" t="s">
        <v>387</v>
      </c>
    </row>
    <row r="674" spans="1:13" x14ac:dyDescent="0.2">
      <c r="A674">
        <v>179</v>
      </c>
      <c r="B674" t="s">
        <v>415</v>
      </c>
      <c r="C674" s="1">
        <v>29274</v>
      </c>
      <c r="D674" s="1">
        <v>44046</v>
      </c>
      <c r="E674" t="s">
        <v>387</v>
      </c>
      <c r="F674" s="1">
        <v>44253</v>
      </c>
      <c r="G674" s="1"/>
      <c r="H674" s="1"/>
      <c r="I674" s="1"/>
      <c r="J674" s="1"/>
      <c r="K674" s="1"/>
      <c r="L674" s="1"/>
      <c r="M674" s="1"/>
    </row>
    <row r="675" spans="1:13" x14ac:dyDescent="0.2">
      <c r="A675">
        <v>175</v>
      </c>
      <c r="B675" t="s">
        <v>893</v>
      </c>
      <c r="C675" s="1">
        <v>19587</v>
      </c>
      <c r="D675" s="1">
        <v>44039</v>
      </c>
      <c r="E675" t="s">
        <v>42</v>
      </c>
      <c r="F675" s="1">
        <v>44316</v>
      </c>
      <c r="G675" s="1"/>
      <c r="H675" s="1"/>
      <c r="I675" s="1"/>
      <c r="J675" s="1"/>
      <c r="K675" s="1"/>
      <c r="L675" s="1"/>
      <c r="M675" s="1"/>
    </row>
    <row r="676" spans="1:13" x14ac:dyDescent="0.2">
      <c r="A676">
        <v>176</v>
      </c>
      <c r="B676" t="s">
        <v>414</v>
      </c>
      <c r="C676" s="1">
        <v>23742</v>
      </c>
      <c r="D676" s="1">
        <v>44039</v>
      </c>
      <c r="E676" t="s">
        <v>387</v>
      </c>
    </row>
    <row r="677" spans="1:13" x14ac:dyDescent="0.2">
      <c r="A677">
        <v>177</v>
      </c>
      <c r="B677" t="s">
        <v>892</v>
      </c>
      <c r="C677" s="1">
        <v>23650</v>
      </c>
      <c r="D677" s="1">
        <v>44039</v>
      </c>
      <c r="E677" t="s">
        <v>882</v>
      </c>
    </row>
    <row r="678" spans="1:13" x14ac:dyDescent="0.2">
      <c r="A678">
        <v>172</v>
      </c>
      <c r="B678" t="s">
        <v>896</v>
      </c>
      <c r="C678" s="1">
        <v>25251</v>
      </c>
      <c r="D678" s="1">
        <v>44036</v>
      </c>
      <c r="E678" t="s">
        <v>35</v>
      </c>
    </row>
    <row r="679" spans="1:13" x14ac:dyDescent="0.2">
      <c r="A679">
        <v>173</v>
      </c>
      <c r="B679" t="s">
        <v>895</v>
      </c>
      <c r="C679" s="1">
        <v>23894</v>
      </c>
      <c r="D679" s="1">
        <v>44036</v>
      </c>
      <c r="E679" t="s">
        <v>35</v>
      </c>
    </row>
    <row r="680" spans="1:13" x14ac:dyDescent="0.2">
      <c r="A680">
        <v>174</v>
      </c>
      <c r="B680" t="s">
        <v>894</v>
      </c>
      <c r="C680" s="1">
        <v>19228</v>
      </c>
      <c r="D680" s="1">
        <v>44036</v>
      </c>
      <c r="E680" t="s">
        <v>42</v>
      </c>
    </row>
    <row r="681" spans="1:13" x14ac:dyDescent="0.2">
      <c r="A681">
        <v>169</v>
      </c>
      <c r="B681" t="s">
        <v>413</v>
      </c>
      <c r="C681" s="1">
        <v>35535</v>
      </c>
      <c r="D681" s="1">
        <v>44032</v>
      </c>
      <c r="E681" t="s">
        <v>387</v>
      </c>
      <c r="F681" s="1">
        <v>44113</v>
      </c>
      <c r="G681" s="1"/>
      <c r="H681" s="1"/>
      <c r="I681" s="1"/>
      <c r="J681" s="1"/>
      <c r="K681" s="1"/>
      <c r="L681" s="1"/>
      <c r="M681" s="1"/>
    </row>
    <row r="682" spans="1:13" x14ac:dyDescent="0.2">
      <c r="A682">
        <v>170</v>
      </c>
      <c r="B682" t="s">
        <v>898</v>
      </c>
      <c r="C682" s="1">
        <v>23086</v>
      </c>
      <c r="D682" s="1">
        <v>44032</v>
      </c>
      <c r="E682" t="s">
        <v>409</v>
      </c>
    </row>
    <row r="683" spans="1:13" x14ac:dyDescent="0.2">
      <c r="A683">
        <v>171</v>
      </c>
      <c r="B683" t="s">
        <v>897</v>
      </c>
      <c r="C683" s="1">
        <v>30375</v>
      </c>
      <c r="D683" s="1">
        <v>44032</v>
      </c>
      <c r="E683" t="s">
        <v>35</v>
      </c>
    </row>
    <row r="684" spans="1:13" x14ac:dyDescent="0.2">
      <c r="A684">
        <v>168</v>
      </c>
      <c r="B684" t="s">
        <v>899</v>
      </c>
      <c r="C684" s="1">
        <v>27842</v>
      </c>
      <c r="D684" s="1">
        <v>44029</v>
      </c>
      <c r="E684" t="s">
        <v>35</v>
      </c>
    </row>
    <row r="685" spans="1:13" x14ac:dyDescent="0.2">
      <c r="A685">
        <v>166</v>
      </c>
      <c r="B685" t="s">
        <v>902</v>
      </c>
      <c r="C685" s="1">
        <v>21969</v>
      </c>
      <c r="D685" s="1">
        <v>44025</v>
      </c>
      <c r="E685" t="s">
        <v>901</v>
      </c>
    </row>
    <row r="686" spans="1:13" x14ac:dyDescent="0.2">
      <c r="A686">
        <v>167</v>
      </c>
      <c r="B686" t="s">
        <v>900</v>
      </c>
      <c r="C686" s="1">
        <v>26835</v>
      </c>
      <c r="D686" s="1">
        <v>44025</v>
      </c>
      <c r="E686" t="s">
        <v>35</v>
      </c>
    </row>
    <row r="687" spans="1:13" x14ac:dyDescent="0.2">
      <c r="A687">
        <v>163</v>
      </c>
      <c r="B687" t="s">
        <v>411</v>
      </c>
      <c r="C687" s="1">
        <v>20660</v>
      </c>
      <c r="D687" s="1">
        <v>44022</v>
      </c>
      <c r="E687" t="s">
        <v>387</v>
      </c>
    </row>
    <row r="688" spans="1:13" x14ac:dyDescent="0.2">
      <c r="A688">
        <v>164</v>
      </c>
      <c r="B688" t="s">
        <v>903</v>
      </c>
      <c r="C688" s="1">
        <v>24156</v>
      </c>
      <c r="D688" s="1">
        <v>44022</v>
      </c>
      <c r="E688" t="s">
        <v>42</v>
      </c>
      <c r="F688" s="1">
        <v>44466</v>
      </c>
    </row>
    <row r="689" spans="1:13" x14ac:dyDescent="0.2">
      <c r="A689">
        <v>165</v>
      </c>
      <c r="B689" t="s">
        <v>412</v>
      </c>
      <c r="C689" s="1">
        <v>24300</v>
      </c>
      <c r="D689" s="1">
        <v>44022</v>
      </c>
      <c r="E689" t="s">
        <v>387</v>
      </c>
    </row>
    <row r="690" spans="1:13" x14ac:dyDescent="0.2">
      <c r="A690">
        <v>161</v>
      </c>
      <c r="B690" t="s">
        <v>905</v>
      </c>
      <c r="C690" s="1">
        <v>24088</v>
      </c>
      <c r="D690" s="1">
        <v>44018</v>
      </c>
      <c r="E690" t="s">
        <v>387</v>
      </c>
    </row>
    <row r="691" spans="1:13" x14ac:dyDescent="0.2">
      <c r="A691">
        <v>162</v>
      </c>
      <c r="B691" t="s">
        <v>904</v>
      </c>
      <c r="C691" s="1">
        <v>35724</v>
      </c>
      <c r="D691" s="1">
        <v>44018</v>
      </c>
      <c r="E691" t="s">
        <v>387</v>
      </c>
    </row>
    <row r="692" spans="1:13" x14ac:dyDescent="0.2">
      <c r="A692">
        <v>158</v>
      </c>
      <c r="B692" t="s">
        <v>907</v>
      </c>
      <c r="C692" s="1">
        <v>23379</v>
      </c>
      <c r="D692" s="1">
        <v>44015</v>
      </c>
      <c r="E692" t="s">
        <v>42</v>
      </c>
    </row>
    <row r="693" spans="1:13" x14ac:dyDescent="0.2">
      <c r="A693" s="15">
        <v>159</v>
      </c>
      <c r="B693" s="18" t="s">
        <v>410</v>
      </c>
      <c r="C693" s="1">
        <v>34137</v>
      </c>
      <c r="D693" s="1">
        <v>44015</v>
      </c>
      <c r="E693" t="s">
        <v>408</v>
      </c>
    </row>
    <row r="694" spans="1:13" x14ac:dyDescent="0.2">
      <c r="A694" s="15">
        <v>160</v>
      </c>
      <c r="B694" s="18" t="s">
        <v>906</v>
      </c>
      <c r="C694" s="1">
        <v>18370</v>
      </c>
      <c r="D694" s="1">
        <v>44015</v>
      </c>
      <c r="E694" t="s">
        <v>408</v>
      </c>
    </row>
    <row r="695" spans="1:13" x14ac:dyDescent="0.2">
      <c r="A695">
        <v>155</v>
      </c>
      <c r="B695" s="18" t="s">
        <v>910</v>
      </c>
      <c r="C695" s="1">
        <v>28436</v>
      </c>
      <c r="D695" s="1">
        <v>44011</v>
      </c>
      <c r="E695" t="s">
        <v>408</v>
      </c>
    </row>
    <row r="696" spans="1:13" x14ac:dyDescent="0.2">
      <c r="A696">
        <v>156</v>
      </c>
      <c r="B696" t="s">
        <v>909</v>
      </c>
      <c r="C696" s="1">
        <v>20007</v>
      </c>
      <c r="D696" s="1">
        <v>44011</v>
      </c>
      <c r="E696" t="s">
        <v>409</v>
      </c>
    </row>
    <row r="697" spans="1:13" x14ac:dyDescent="0.2">
      <c r="A697">
        <v>157</v>
      </c>
      <c r="B697" t="s">
        <v>908</v>
      </c>
      <c r="C697" s="1">
        <v>25167</v>
      </c>
      <c r="D697" s="1">
        <v>44011</v>
      </c>
      <c r="E697" t="s">
        <v>42</v>
      </c>
    </row>
    <row r="698" spans="1:13" x14ac:dyDescent="0.2">
      <c r="A698">
        <v>153</v>
      </c>
      <c r="B698" t="s">
        <v>912</v>
      </c>
      <c r="C698" s="1">
        <v>25257</v>
      </c>
      <c r="D698" s="1">
        <v>44008</v>
      </c>
      <c r="E698" t="s">
        <v>42</v>
      </c>
      <c r="F698" s="1">
        <v>45121</v>
      </c>
    </row>
    <row r="699" spans="1:13" x14ac:dyDescent="0.2">
      <c r="A699" s="15">
        <v>154</v>
      </c>
      <c r="B699" s="18" t="s">
        <v>911</v>
      </c>
      <c r="C699" s="1">
        <v>28273</v>
      </c>
      <c r="D699" s="1">
        <v>44008</v>
      </c>
      <c r="E699" t="s">
        <v>408</v>
      </c>
    </row>
    <row r="700" spans="1:13" x14ac:dyDescent="0.2">
      <c r="A700">
        <v>150</v>
      </c>
      <c r="B700" t="s">
        <v>916</v>
      </c>
      <c r="C700" s="1">
        <v>33520</v>
      </c>
      <c r="D700" s="1">
        <v>44004</v>
      </c>
      <c r="E700" t="s">
        <v>387</v>
      </c>
    </row>
    <row r="701" spans="1:13" x14ac:dyDescent="0.2">
      <c r="A701">
        <v>151</v>
      </c>
      <c r="B701" t="s">
        <v>915</v>
      </c>
      <c r="C701" s="1">
        <v>29488</v>
      </c>
      <c r="D701" s="1">
        <v>44004</v>
      </c>
      <c r="E701" t="s">
        <v>914</v>
      </c>
    </row>
    <row r="702" spans="1:13" x14ac:dyDescent="0.2">
      <c r="A702">
        <v>152</v>
      </c>
      <c r="B702" s="18" t="s">
        <v>913</v>
      </c>
      <c r="C702" s="1">
        <v>31283</v>
      </c>
      <c r="D702" s="1">
        <v>44004</v>
      </c>
      <c r="E702" t="s">
        <v>408</v>
      </c>
    </row>
    <row r="703" spans="1:13" x14ac:dyDescent="0.2">
      <c r="A703">
        <v>148</v>
      </c>
      <c r="B703" t="s">
        <v>918</v>
      </c>
      <c r="C703" s="1">
        <v>20092</v>
      </c>
      <c r="D703" s="1">
        <v>44001</v>
      </c>
      <c r="E703" t="s">
        <v>29</v>
      </c>
    </row>
    <row r="704" spans="1:13" x14ac:dyDescent="0.2">
      <c r="A704">
        <v>149</v>
      </c>
      <c r="B704" t="s">
        <v>917</v>
      </c>
      <c r="C704" s="1">
        <v>26748</v>
      </c>
      <c r="D704" s="1">
        <v>44001</v>
      </c>
      <c r="E704" t="s">
        <v>42</v>
      </c>
      <c r="F704" s="1">
        <v>44326</v>
      </c>
      <c r="G704" s="1"/>
      <c r="H704" s="1"/>
      <c r="I704" s="1"/>
      <c r="J704" s="1"/>
      <c r="K704" s="1"/>
      <c r="L704" s="1"/>
      <c r="M704" s="1"/>
    </row>
    <row r="705" spans="1:13" x14ac:dyDescent="0.2">
      <c r="A705">
        <v>146</v>
      </c>
      <c r="B705" t="s">
        <v>919</v>
      </c>
      <c r="C705" s="1">
        <v>17237</v>
      </c>
      <c r="D705" s="1">
        <v>43990</v>
      </c>
      <c r="E705" t="s">
        <v>42</v>
      </c>
    </row>
    <row r="706" spans="1:13" x14ac:dyDescent="0.2">
      <c r="A706">
        <v>147</v>
      </c>
      <c r="B706" t="s">
        <v>407</v>
      </c>
      <c r="C706" s="1">
        <v>22680</v>
      </c>
      <c r="D706" s="1">
        <v>43990</v>
      </c>
      <c r="E706" t="s">
        <v>35</v>
      </c>
      <c r="F706" s="1">
        <v>44120</v>
      </c>
      <c r="G706" s="1"/>
      <c r="H706" s="1"/>
      <c r="I706" s="1"/>
      <c r="J706" s="1"/>
      <c r="K706" s="1"/>
      <c r="L706" s="1"/>
      <c r="M706" s="1"/>
    </row>
    <row r="707" spans="1:13" x14ac:dyDescent="0.2">
      <c r="A707">
        <v>144</v>
      </c>
      <c r="B707" t="s">
        <v>922</v>
      </c>
      <c r="C707" s="1">
        <v>31103</v>
      </c>
      <c r="D707" s="1">
        <v>43987</v>
      </c>
      <c r="E707" t="s">
        <v>921</v>
      </c>
    </row>
    <row r="708" spans="1:13" x14ac:dyDescent="0.2">
      <c r="A708">
        <v>145</v>
      </c>
      <c r="B708" t="s">
        <v>920</v>
      </c>
      <c r="C708" s="1">
        <v>22640</v>
      </c>
      <c r="D708" s="1">
        <v>43987</v>
      </c>
      <c r="E708" t="s">
        <v>42</v>
      </c>
    </row>
    <row r="709" spans="1:13" x14ac:dyDescent="0.2">
      <c r="A709">
        <v>142</v>
      </c>
      <c r="B709" t="s">
        <v>924</v>
      </c>
      <c r="C709" s="1">
        <v>25335</v>
      </c>
      <c r="D709" s="1">
        <v>43980</v>
      </c>
      <c r="E709" t="s">
        <v>387</v>
      </c>
    </row>
    <row r="710" spans="1:13" x14ac:dyDescent="0.2">
      <c r="A710">
        <v>143</v>
      </c>
      <c r="B710" t="s">
        <v>923</v>
      </c>
      <c r="C710" s="1">
        <v>27248</v>
      </c>
      <c r="D710" s="1">
        <v>43980</v>
      </c>
      <c r="E710" t="s">
        <v>921</v>
      </c>
    </row>
    <row r="711" spans="1:13" x14ac:dyDescent="0.2">
      <c r="A711">
        <v>139</v>
      </c>
      <c r="B711" t="s">
        <v>927</v>
      </c>
      <c r="C711" s="1">
        <v>32518</v>
      </c>
      <c r="D711" s="1">
        <v>43976</v>
      </c>
      <c r="E711" t="s">
        <v>387</v>
      </c>
      <c r="F711" s="1">
        <v>44221</v>
      </c>
      <c r="G711" s="1"/>
      <c r="H711" s="1"/>
      <c r="I711" s="1"/>
      <c r="J711" s="1"/>
      <c r="K711" s="1"/>
      <c r="L711" s="1"/>
      <c r="M711" s="1"/>
    </row>
    <row r="712" spans="1:13" x14ac:dyDescent="0.2">
      <c r="A712">
        <v>140</v>
      </c>
      <c r="B712" t="s">
        <v>926</v>
      </c>
      <c r="C712" s="1">
        <v>18112</v>
      </c>
      <c r="D712" s="1">
        <v>43976</v>
      </c>
      <c r="E712" t="s">
        <v>35</v>
      </c>
    </row>
    <row r="713" spans="1:13" x14ac:dyDescent="0.2">
      <c r="A713">
        <v>141</v>
      </c>
      <c r="B713" t="s">
        <v>925</v>
      </c>
      <c r="C713" s="1">
        <v>20474</v>
      </c>
      <c r="D713" s="1">
        <v>43976</v>
      </c>
      <c r="E713" t="s">
        <v>29</v>
      </c>
      <c r="F713" s="1">
        <v>44400</v>
      </c>
      <c r="G713" s="1">
        <v>44802</v>
      </c>
      <c r="H713" s="1">
        <v>45593</v>
      </c>
      <c r="I713" s="1"/>
      <c r="J713" s="1"/>
      <c r="K713" s="1"/>
      <c r="L713" s="1"/>
      <c r="M713" s="1"/>
    </row>
    <row r="714" spans="1:13" x14ac:dyDescent="0.2">
      <c r="A714">
        <v>136</v>
      </c>
      <c r="B714" t="s">
        <v>930</v>
      </c>
      <c r="C714" s="1">
        <v>23700</v>
      </c>
      <c r="D714" s="1">
        <v>43973</v>
      </c>
      <c r="E714" t="s">
        <v>42</v>
      </c>
    </row>
    <row r="715" spans="1:13" x14ac:dyDescent="0.2">
      <c r="A715">
        <v>137</v>
      </c>
      <c r="B715" t="s">
        <v>929</v>
      </c>
      <c r="C715" s="1">
        <v>29887</v>
      </c>
      <c r="D715" s="1">
        <v>43973</v>
      </c>
      <c r="E715" t="s">
        <v>42</v>
      </c>
    </row>
    <row r="716" spans="1:13" x14ac:dyDescent="0.2">
      <c r="A716">
        <v>138</v>
      </c>
      <c r="B716" t="s">
        <v>928</v>
      </c>
      <c r="C716" s="1">
        <v>24472</v>
      </c>
      <c r="D716" s="1">
        <v>43973</v>
      </c>
      <c r="E716" t="s">
        <v>35</v>
      </c>
      <c r="F716" s="1">
        <v>44135</v>
      </c>
      <c r="G716" s="1"/>
      <c r="H716" s="1"/>
      <c r="I716" s="1"/>
      <c r="J716" s="1"/>
      <c r="K716" s="1"/>
      <c r="L716" s="1"/>
      <c r="M716" s="1"/>
    </row>
    <row r="717" spans="1:13" x14ac:dyDescent="0.2">
      <c r="A717">
        <v>133</v>
      </c>
      <c r="B717" t="s">
        <v>933</v>
      </c>
      <c r="C717" s="1">
        <v>24045</v>
      </c>
      <c r="D717" s="1">
        <v>43966</v>
      </c>
      <c r="E717" t="s">
        <v>42</v>
      </c>
    </row>
    <row r="718" spans="1:13" x14ac:dyDescent="0.2">
      <c r="A718">
        <v>134</v>
      </c>
      <c r="B718" t="s">
        <v>932</v>
      </c>
      <c r="C718" s="1">
        <v>35951</v>
      </c>
      <c r="D718" s="1">
        <v>43966</v>
      </c>
      <c r="E718" t="s">
        <v>387</v>
      </c>
    </row>
    <row r="719" spans="1:13" x14ac:dyDescent="0.2">
      <c r="A719">
        <v>135</v>
      </c>
      <c r="B719" t="s">
        <v>931</v>
      </c>
      <c r="C719" s="1">
        <v>27471</v>
      </c>
      <c r="D719" s="1">
        <v>43966</v>
      </c>
      <c r="E719" t="s">
        <v>921</v>
      </c>
    </row>
    <row r="720" spans="1:13" x14ac:dyDescent="0.2">
      <c r="A720">
        <v>131</v>
      </c>
      <c r="B720" t="s">
        <v>934</v>
      </c>
      <c r="C720" s="1">
        <v>17344</v>
      </c>
      <c r="D720" s="1">
        <v>43962</v>
      </c>
      <c r="E720" t="s">
        <v>35</v>
      </c>
      <c r="F720" s="1">
        <v>44232</v>
      </c>
      <c r="G720" s="1"/>
      <c r="H720" s="1"/>
      <c r="I720" s="1"/>
      <c r="J720" s="1"/>
      <c r="K720" s="1"/>
      <c r="L720" s="1"/>
      <c r="M720" s="1"/>
    </row>
    <row r="721" spans="1:13" x14ac:dyDescent="0.2">
      <c r="A721">
        <v>132</v>
      </c>
      <c r="B721" t="s">
        <v>406</v>
      </c>
      <c r="C721" s="1">
        <v>29793</v>
      </c>
      <c r="D721" s="1">
        <v>43962</v>
      </c>
      <c r="E721" t="s">
        <v>921</v>
      </c>
    </row>
    <row r="722" spans="1:13" x14ac:dyDescent="0.2">
      <c r="A722">
        <v>128</v>
      </c>
      <c r="B722" t="s">
        <v>937</v>
      </c>
      <c r="C722" s="1">
        <v>24571</v>
      </c>
      <c r="D722" s="1">
        <v>43959</v>
      </c>
      <c r="E722" t="s">
        <v>921</v>
      </c>
    </row>
    <row r="723" spans="1:13" x14ac:dyDescent="0.2">
      <c r="A723">
        <v>129</v>
      </c>
      <c r="B723" t="s">
        <v>936</v>
      </c>
      <c r="C723" s="1">
        <v>24895</v>
      </c>
      <c r="D723" s="1">
        <v>43959</v>
      </c>
      <c r="E723" t="s">
        <v>13</v>
      </c>
    </row>
    <row r="724" spans="1:13" x14ac:dyDescent="0.2">
      <c r="A724">
        <v>130</v>
      </c>
      <c r="B724" t="s">
        <v>935</v>
      </c>
      <c r="C724" s="1">
        <v>30834</v>
      </c>
      <c r="D724" s="1">
        <v>43959</v>
      </c>
      <c r="E724" t="s">
        <v>921</v>
      </c>
    </row>
    <row r="725" spans="1:13" x14ac:dyDescent="0.2">
      <c r="A725">
        <v>125</v>
      </c>
      <c r="B725" t="s">
        <v>940</v>
      </c>
      <c r="C725" s="1">
        <v>30034</v>
      </c>
      <c r="D725" s="1">
        <v>43948</v>
      </c>
      <c r="E725" t="s">
        <v>914</v>
      </c>
      <c r="F725" s="1">
        <v>44085</v>
      </c>
      <c r="G725" s="1"/>
      <c r="H725" s="1"/>
      <c r="I725" s="1"/>
      <c r="J725" s="1"/>
      <c r="K725" s="1"/>
      <c r="L725" s="1"/>
      <c r="M725" s="1"/>
    </row>
    <row r="726" spans="1:13" x14ac:dyDescent="0.2">
      <c r="A726">
        <v>126</v>
      </c>
      <c r="B726" t="s">
        <v>405</v>
      </c>
      <c r="C726" s="1">
        <v>31483</v>
      </c>
      <c r="D726" s="1">
        <v>43948</v>
      </c>
      <c r="E726" t="s">
        <v>939</v>
      </c>
    </row>
    <row r="727" spans="1:13" x14ac:dyDescent="0.2">
      <c r="A727">
        <v>127</v>
      </c>
      <c r="B727" t="s">
        <v>938</v>
      </c>
      <c r="C727" s="1">
        <v>34872</v>
      </c>
      <c r="D727" s="1">
        <v>43948</v>
      </c>
      <c r="E727" t="s">
        <v>387</v>
      </c>
    </row>
    <row r="728" spans="1:13" x14ac:dyDescent="0.2">
      <c r="A728">
        <v>123</v>
      </c>
      <c r="B728" t="s">
        <v>941</v>
      </c>
      <c r="C728" s="1">
        <v>25678</v>
      </c>
      <c r="D728" s="1">
        <v>43941</v>
      </c>
      <c r="E728" t="s">
        <v>387</v>
      </c>
    </row>
    <row r="729" spans="1:13" x14ac:dyDescent="0.2">
      <c r="A729">
        <v>124</v>
      </c>
      <c r="B729" s="17" t="s">
        <v>404</v>
      </c>
      <c r="C729" s="1">
        <v>26611</v>
      </c>
      <c r="D729" s="1">
        <v>43941</v>
      </c>
      <c r="E729" t="s">
        <v>35</v>
      </c>
      <c r="F729" s="1">
        <v>44135</v>
      </c>
      <c r="G729" s="1"/>
      <c r="H729" s="1"/>
      <c r="I729" s="1"/>
      <c r="J729" s="1"/>
      <c r="K729" s="1"/>
      <c r="L729" s="1"/>
      <c r="M729" s="1"/>
    </row>
    <row r="730" spans="1:13" x14ac:dyDescent="0.2">
      <c r="A730">
        <v>120</v>
      </c>
      <c r="B730" t="s">
        <v>944</v>
      </c>
      <c r="C730" s="1">
        <v>26214</v>
      </c>
      <c r="D730" s="1">
        <v>43938</v>
      </c>
      <c r="E730" t="s">
        <v>921</v>
      </c>
    </row>
    <row r="731" spans="1:13" x14ac:dyDescent="0.2">
      <c r="A731">
        <v>121</v>
      </c>
      <c r="B731" t="s">
        <v>403</v>
      </c>
      <c r="C731" s="1">
        <v>12879</v>
      </c>
      <c r="D731" s="1">
        <v>43938</v>
      </c>
      <c r="E731" t="s">
        <v>943</v>
      </c>
    </row>
    <row r="732" spans="1:13" x14ac:dyDescent="0.2">
      <c r="A732">
        <v>122</v>
      </c>
      <c r="B732" t="s">
        <v>942</v>
      </c>
      <c r="C732" s="1">
        <v>22407</v>
      </c>
      <c r="D732" s="1">
        <v>43938</v>
      </c>
      <c r="E732" t="s">
        <v>35</v>
      </c>
      <c r="F732" s="1">
        <v>44165</v>
      </c>
      <c r="G732" s="1"/>
      <c r="H732" s="1"/>
      <c r="I732" s="1"/>
      <c r="J732" s="1"/>
      <c r="K732" s="1"/>
      <c r="L732" s="1"/>
      <c r="M732" s="1"/>
    </row>
    <row r="733" spans="1:13" x14ac:dyDescent="0.2">
      <c r="A733">
        <v>118</v>
      </c>
      <c r="B733" t="s">
        <v>402</v>
      </c>
      <c r="C733" s="1">
        <v>25500</v>
      </c>
      <c r="D733" s="1">
        <v>43927</v>
      </c>
      <c r="E733" t="s">
        <v>387</v>
      </c>
    </row>
    <row r="734" spans="1:13" x14ac:dyDescent="0.2">
      <c r="A734">
        <v>119</v>
      </c>
      <c r="B734" t="s">
        <v>945</v>
      </c>
      <c r="C734" s="1">
        <v>24104</v>
      </c>
      <c r="D734" s="1">
        <v>43927</v>
      </c>
      <c r="E734" t="s">
        <v>35</v>
      </c>
    </row>
    <row r="735" spans="1:13" x14ac:dyDescent="0.2">
      <c r="A735">
        <v>115</v>
      </c>
      <c r="B735" t="s">
        <v>947</v>
      </c>
      <c r="C735" s="1">
        <v>30246</v>
      </c>
      <c r="D735" s="1">
        <v>43924</v>
      </c>
      <c r="E735" t="s">
        <v>387</v>
      </c>
    </row>
    <row r="736" spans="1:13" x14ac:dyDescent="0.2">
      <c r="A736">
        <v>116</v>
      </c>
      <c r="B736" t="s">
        <v>401</v>
      </c>
      <c r="C736" s="1">
        <v>26577</v>
      </c>
      <c r="D736" s="1">
        <v>43924</v>
      </c>
      <c r="E736" t="s">
        <v>387</v>
      </c>
    </row>
    <row r="737" spans="1:14" x14ac:dyDescent="0.2">
      <c r="A737">
        <v>117</v>
      </c>
      <c r="B737" t="s">
        <v>946</v>
      </c>
      <c r="C737" s="1">
        <v>24196</v>
      </c>
      <c r="D737" s="1">
        <v>43924</v>
      </c>
      <c r="E737" t="s">
        <v>387</v>
      </c>
    </row>
    <row r="738" spans="1:14" x14ac:dyDescent="0.2">
      <c r="A738">
        <v>114</v>
      </c>
      <c r="B738" t="s">
        <v>948</v>
      </c>
      <c r="C738" s="1">
        <v>25237</v>
      </c>
      <c r="D738" s="1">
        <v>43917</v>
      </c>
      <c r="E738" t="s">
        <v>42</v>
      </c>
      <c r="F738" s="1">
        <v>44526</v>
      </c>
    </row>
    <row r="739" spans="1:14" x14ac:dyDescent="0.2">
      <c r="A739">
        <v>113</v>
      </c>
      <c r="B739" t="s">
        <v>949</v>
      </c>
      <c r="C739" s="1">
        <v>23208</v>
      </c>
      <c r="D739" s="1">
        <v>43913</v>
      </c>
      <c r="E739" t="s">
        <v>387</v>
      </c>
    </row>
    <row r="740" spans="1:14" x14ac:dyDescent="0.2">
      <c r="A740">
        <v>110</v>
      </c>
      <c r="B740" t="s">
        <v>952</v>
      </c>
      <c r="C740" s="1">
        <v>24028</v>
      </c>
      <c r="D740" s="1">
        <v>43910</v>
      </c>
      <c r="E740" t="s">
        <v>42</v>
      </c>
    </row>
    <row r="741" spans="1:14" x14ac:dyDescent="0.2">
      <c r="A741">
        <v>111</v>
      </c>
      <c r="B741" t="s">
        <v>951</v>
      </c>
      <c r="C741" s="1">
        <v>21409</v>
      </c>
      <c r="D741" s="1">
        <v>43910</v>
      </c>
      <c r="E741" t="s">
        <v>42</v>
      </c>
    </row>
    <row r="742" spans="1:14" x14ac:dyDescent="0.2">
      <c r="A742">
        <v>112</v>
      </c>
      <c r="B742" t="s">
        <v>950</v>
      </c>
      <c r="C742" s="1">
        <v>28475</v>
      </c>
      <c r="D742" s="1">
        <v>43910</v>
      </c>
      <c r="E742" t="s">
        <v>387</v>
      </c>
    </row>
    <row r="743" spans="1:14" x14ac:dyDescent="0.2">
      <c r="A743">
        <v>107</v>
      </c>
      <c r="B743" t="s">
        <v>954</v>
      </c>
      <c r="C743" s="1">
        <v>24148</v>
      </c>
      <c r="D743" s="1">
        <v>43906</v>
      </c>
      <c r="E743" t="s">
        <v>42</v>
      </c>
      <c r="F743" s="1">
        <v>44361</v>
      </c>
      <c r="G743" s="1">
        <v>45429</v>
      </c>
      <c r="H743" s="1"/>
      <c r="I743" s="1"/>
      <c r="J743" s="1"/>
      <c r="K743" s="1"/>
      <c r="L743" s="1"/>
      <c r="M743" s="1"/>
    </row>
    <row r="744" spans="1:14" x14ac:dyDescent="0.2">
      <c r="A744">
        <v>108</v>
      </c>
      <c r="B744" t="s">
        <v>953</v>
      </c>
      <c r="C744" s="1">
        <v>22028</v>
      </c>
      <c r="D744" s="1">
        <v>43906</v>
      </c>
      <c r="E744" t="s">
        <v>35</v>
      </c>
      <c r="F744" s="1">
        <v>44095</v>
      </c>
      <c r="G744" s="1"/>
      <c r="H744" s="1"/>
      <c r="I744" s="1"/>
      <c r="J744" s="1"/>
      <c r="K744" s="1"/>
      <c r="L744" s="1"/>
      <c r="M744" s="1"/>
    </row>
    <row r="745" spans="1:14" x14ac:dyDescent="0.2">
      <c r="A745">
        <v>109</v>
      </c>
      <c r="B745" t="s">
        <v>400</v>
      </c>
      <c r="C745" s="1">
        <v>34379</v>
      </c>
      <c r="D745" s="1">
        <v>43906</v>
      </c>
      <c r="E745" t="s">
        <v>921</v>
      </c>
    </row>
    <row r="746" spans="1:14" x14ac:dyDescent="0.2">
      <c r="A746">
        <v>104</v>
      </c>
      <c r="B746" t="s">
        <v>957</v>
      </c>
      <c r="C746" s="1">
        <v>22558</v>
      </c>
      <c r="D746" s="1">
        <v>43903</v>
      </c>
      <c r="E746" t="s">
        <v>956</v>
      </c>
      <c r="N746" s="1">
        <v>43853</v>
      </c>
    </row>
    <row r="747" spans="1:14" x14ac:dyDescent="0.2">
      <c r="A747">
        <v>105</v>
      </c>
      <c r="B747" t="s">
        <v>955</v>
      </c>
      <c r="C747" s="1">
        <v>30180</v>
      </c>
      <c r="D747" s="1">
        <v>43903</v>
      </c>
      <c r="E747" t="s">
        <v>35</v>
      </c>
    </row>
    <row r="748" spans="1:14" x14ac:dyDescent="0.2">
      <c r="A748">
        <v>106</v>
      </c>
      <c r="B748" t="s">
        <v>399</v>
      </c>
      <c r="C748" s="1">
        <v>29676</v>
      </c>
      <c r="D748" s="1">
        <v>43903</v>
      </c>
      <c r="E748" t="s">
        <v>35</v>
      </c>
    </row>
    <row r="749" spans="1:14" x14ac:dyDescent="0.2">
      <c r="A749">
        <v>101</v>
      </c>
      <c r="B749" t="s">
        <v>961</v>
      </c>
      <c r="C749" s="1">
        <v>21357</v>
      </c>
      <c r="D749" s="1">
        <v>43871</v>
      </c>
      <c r="E749" t="s">
        <v>959</v>
      </c>
      <c r="F749" s="1">
        <v>44029</v>
      </c>
      <c r="G749" s="1">
        <v>44974</v>
      </c>
      <c r="H749" s="1">
        <v>45936</v>
      </c>
      <c r="I749" s="1"/>
      <c r="J749" s="1"/>
      <c r="K749" s="1"/>
      <c r="L749" s="1"/>
      <c r="M749" s="1"/>
    </row>
    <row r="750" spans="1:14" x14ac:dyDescent="0.2">
      <c r="A750">
        <v>102</v>
      </c>
      <c r="B750" t="s">
        <v>960</v>
      </c>
      <c r="C750" s="1">
        <v>17901</v>
      </c>
      <c r="D750" s="1">
        <v>43871</v>
      </c>
      <c r="E750" t="s">
        <v>959</v>
      </c>
    </row>
    <row r="751" spans="1:14" x14ac:dyDescent="0.2">
      <c r="A751">
        <v>99</v>
      </c>
      <c r="B751" t="s">
        <v>396</v>
      </c>
      <c r="C751" s="1">
        <v>19112</v>
      </c>
      <c r="D751" s="1">
        <v>43857</v>
      </c>
      <c r="E751" t="s">
        <v>921</v>
      </c>
    </row>
    <row r="752" spans="1:14" x14ac:dyDescent="0.2">
      <c r="A752">
        <v>100</v>
      </c>
      <c r="B752" t="s">
        <v>397</v>
      </c>
      <c r="C752" s="1">
        <v>32258</v>
      </c>
      <c r="D752" s="1">
        <v>43857</v>
      </c>
      <c r="E752" t="s">
        <v>387</v>
      </c>
    </row>
    <row r="753" spans="1:16" x14ac:dyDescent="0.2">
      <c r="A753">
        <v>97</v>
      </c>
      <c r="B753" s="15" t="s">
        <v>394</v>
      </c>
      <c r="C753" s="1">
        <v>28212</v>
      </c>
      <c r="D753" s="1">
        <v>43854</v>
      </c>
      <c r="E753" t="s">
        <v>387</v>
      </c>
      <c r="F753" s="1">
        <v>44050</v>
      </c>
      <c r="G753" s="1"/>
      <c r="H753" s="1"/>
      <c r="I753" s="1"/>
      <c r="J753" s="1"/>
      <c r="K753" s="1"/>
      <c r="L753" s="1"/>
      <c r="M753" s="1"/>
      <c r="P753" t="s">
        <v>962</v>
      </c>
    </row>
    <row r="754" spans="1:16" x14ac:dyDescent="0.2">
      <c r="A754">
        <v>98</v>
      </c>
      <c r="B754" t="s">
        <v>395</v>
      </c>
      <c r="C754" s="1">
        <v>24547</v>
      </c>
      <c r="D754" s="1">
        <v>43854</v>
      </c>
      <c r="E754" t="s">
        <v>35</v>
      </c>
    </row>
    <row r="755" spans="1:16" x14ac:dyDescent="0.2">
      <c r="A755">
        <v>95</v>
      </c>
      <c r="B755" t="s">
        <v>392</v>
      </c>
      <c r="C755" s="1">
        <v>32928</v>
      </c>
      <c r="D755" s="1">
        <v>43850</v>
      </c>
      <c r="E755" t="s">
        <v>387</v>
      </c>
    </row>
    <row r="756" spans="1:16" x14ac:dyDescent="0.2">
      <c r="A756">
        <v>96</v>
      </c>
      <c r="B756" s="15" t="s">
        <v>393</v>
      </c>
      <c r="C756" s="1">
        <v>22284</v>
      </c>
      <c r="D756" s="1">
        <v>43850</v>
      </c>
      <c r="E756" t="s">
        <v>387</v>
      </c>
      <c r="F756" s="1">
        <v>44074</v>
      </c>
      <c r="G756" s="1"/>
      <c r="H756" s="1"/>
      <c r="I756" s="1"/>
      <c r="J756" s="1"/>
      <c r="K756" s="1"/>
      <c r="L756" s="1"/>
      <c r="M756" s="1"/>
      <c r="P756" t="s">
        <v>963</v>
      </c>
    </row>
    <row r="757" spans="1:16" x14ac:dyDescent="0.2">
      <c r="A757">
        <v>94</v>
      </c>
      <c r="B757" t="s">
        <v>964</v>
      </c>
      <c r="C757" s="1">
        <v>20700</v>
      </c>
      <c r="D757" s="1">
        <v>43843</v>
      </c>
      <c r="E757" t="s">
        <v>42</v>
      </c>
      <c r="F757" s="1">
        <v>44526</v>
      </c>
    </row>
    <row r="758" spans="1:16" x14ac:dyDescent="0.2">
      <c r="A758">
        <v>91</v>
      </c>
      <c r="B758" t="s">
        <v>965</v>
      </c>
      <c r="C758" s="1">
        <v>27214</v>
      </c>
      <c r="D758" s="1">
        <v>43815</v>
      </c>
      <c r="E758" t="s">
        <v>882</v>
      </c>
    </row>
    <row r="759" spans="1:16" x14ac:dyDescent="0.2">
      <c r="A759">
        <v>92</v>
      </c>
      <c r="B759" s="18" t="s">
        <v>389</v>
      </c>
      <c r="C759" s="1">
        <v>25193</v>
      </c>
      <c r="D759" s="1">
        <v>43815</v>
      </c>
      <c r="E759" t="s">
        <v>391</v>
      </c>
    </row>
    <row r="760" spans="1:16" x14ac:dyDescent="0.2">
      <c r="A760">
        <v>93</v>
      </c>
      <c r="B760" t="s">
        <v>390</v>
      </c>
      <c r="C760" s="1">
        <v>23228</v>
      </c>
      <c r="D760" s="1">
        <v>43815</v>
      </c>
      <c r="E760" t="s">
        <v>387</v>
      </c>
    </row>
    <row r="761" spans="1:16" x14ac:dyDescent="0.2">
      <c r="A761">
        <v>89</v>
      </c>
      <c r="B761" t="s">
        <v>388</v>
      </c>
      <c r="C761" s="1">
        <v>30008</v>
      </c>
      <c r="D761" s="1">
        <v>43808</v>
      </c>
      <c r="E761" t="s">
        <v>387</v>
      </c>
    </row>
    <row r="762" spans="1:16" x14ac:dyDescent="0.2">
      <c r="A762">
        <v>90</v>
      </c>
      <c r="B762" t="s">
        <v>967</v>
      </c>
      <c r="C762" s="1">
        <v>30708</v>
      </c>
      <c r="D762" s="1">
        <v>43808</v>
      </c>
      <c r="E762" t="s">
        <v>966</v>
      </c>
    </row>
    <row r="763" spans="1:16" x14ac:dyDescent="0.2">
      <c r="A763">
        <v>86</v>
      </c>
      <c r="B763" t="s">
        <v>971</v>
      </c>
      <c r="C763" s="1">
        <v>24050</v>
      </c>
      <c r="D763" s="1">
        <v>43801</v>
      </c>
      <c r="E763" t="s">
        <v>970</v>
      </c>
    </row>
    <row r="764" spans="1:16" x14ac:dyDescent="0.2">
      <c r="A764">
        <v>87</v>
      </c>
      <c r="B764" s="15" t="s">
        <v>386</v>
      </c>
      <c r="C764" s="1">
        <v>30985</v>
      </c>
      <c r="D764" s="1">
        <v>43801</v>
      </c>
      <c r="E764" t="s">
        <v>387</v>
      </c>
      <c r="F764" s="1">
        <v>44064</v>
      </c>
      <c r="G764" s="1"/>
      <c r="H764" s="1"/>
      <c r="I764" s="1"/>
      <c r="J764" s="1"/>
      <c r="K764" s="1"/>
      <c r="L764" s="1"/>
      <c r="M764" s="1"/>
      <c r="P764" t="s">
        <v>969</v>
      </c>
    </row>
    <row r="765" spans="1:16" x14ac:dyDescent="0.2">
      <c r="A765">
        <v>88</v>
      </c>
      <c r="B765" t="s">
        <v>968</v>
      </c>
      <c r="C765" s="1">
        <v>35279</v>
      </c>
      <c r="D765" s="1">
        <v>43801</v>
      </c>
      <c r="E765" t="s">
        <v>882</v>
      </c>
    </row>
    <row r="766" spans="1:16" x14ac:dyDescent="0.2">
      <c r="A766">
        <v>84</v>
      </c>
      <c r="B766" t="s">
        <v>383</v>
      </c>
      <c r="C766" s="1">
        <v>23577</v>
      </c>
      <c r="D766" s="1">
        <v>43794</v>
      </c>
      <c r="E766" t="s">
        <v>35</v>
      </c>
    </row>
    <row r="767" spans="1:16" x14ac:dyDescent="0.2">
      <c r="A767">
        <v>85</v>
      </c>
      <c r="B767" t="s">
        <v>384</v>
      </c>
      <c r="C767" s="1">
        <v>21542</v>
      </c>
      <c r="D767" s="1">
        <v>43794</v>
      </c>
      <c r="E767" t="s">
        <v>35</v>
      </c>
      <c r="F767" s="1">
        <v>44183</v>
      </c>
      <c r="G767" s="1"/>
      <c r="H767" s="1"/>
      <c r="I767" s="1"/>
      <c r="J767" s="1"/>
      <c r="K767" s="1"/>
      <c r="L767" s="1"/>
      <c r="M767" s="1"/>
    </row>
    <row r="768" spans="1:16" x14ac:dyDescent="0.2">
      <c r="A768">
        <v>81</v>
      </c>
      <c r="B768" t="s">
        <v>381</v>
      </c>
      <c r="C768" s="1">
        <v>25971</v>
      </c>
      <c r="D768" s="1">
        <v>43787</v>
      </c>
      <c r="E768" t="s">
        <v>42</v>
      </c>
      <c r="F768" s="1">
        <v>46141</v>
      </c>
    </row>
    <row r="769" spans="1:16" x14ac:dyDescent="0.2">
      <c r="A769">
        <v>82</v>
      </c>
      <c r="B769" s="15" t="s">
        <v>382</v>
      </c>
      <c r="C769" s="1">
        <v>25089</v>
      </c>
      <c r="D769" s="1">
        <v>43787</v>
      </c>
      <c r="E769" t="s">
        <v>16</v>
      </c>
      <c r="F769" s="1">
        <v>44074</v>
      </c>
      <c r="G769" s="1"/>
      <c r="H769" s="1"/>
      <c r="I769" s="1"/>
      <c r="J769" s="1"/>
      <c r="K769" s="1"/>
      <c r="L769" s="1"/>
      <c r="M769" s="1"/>
      <c r="P769" t="s">
        <v>974</v>
      </c>
    </row>
    <row r="770" spans="1:16" x14ac:dyDescent="0.2">
      <c r="A770">
        <v>83</v>
      </c>
      <c r="B770" t="s">
        <v>973</v>
      </c>
      <c r="C770" s="1">
        <v>28898</v>
      </c>
      <c r="D770" s="1">
        <v>43787</v>
      </c>
      <c r="E770" t="s">
        <v>972</v>
      </c>
      <c r="F770" s="1">
        <v>44435</v>
      </c>
      <c r="G770" s="1">
        <v>44981</v>
      </c>
      <c r="H770" s="1">
        <v>45177</v>
      </c>
      <c r="I770" s="1">
        <v>45460</v>
      </c>
      <c r="J770" s="1">
        <v>45569</v>
      </c>
      <c r="K770" s="1"/>
      <c r="L770" s="1"/>
      <c r="M770" s="1"/>
    </row>
    <row r="771" spans="1:16" x14ac:dyDescent="0.2">
      <c r="A771">
        <v>79</v>
      </c>
      <c r="B771" t="s">
        <v>378</v>
      </c>
      <c r="C771" s="1">
        <v>24449</v>
      </c>
      <c r="D771" s="1">
        <v>43780</v>
      </c>
      <c r="E771" t="s">
        <v>379</v>
      </c>
      <c r="F771" s="1">
        <v>44372</v>
      </c>
      <c r="G771" s="1"/>
      <c r="H771" s="1"/>
      <c r="I771" s="1"/>
      <c r="J771" s="1"/>
      <c r="K771" s="1"/>
      <c r="L771" s="1"/>
      <c r="M771" s="1"/>
    </row>
    <row r="772" spans="1:16" x14ac:dyDescent="0.2">
      <c r="A772">
        <v>80</v>
      </c>
      <c r="B772" s="18" t="s">
        <v>380</v>
      </c>
      <c r="C772" s="1">
        <v>31246</v>
      </c>
      <c r="D772" s="1">
        <v>43780</v>
      </c>
      <c r="E772" t="s">
        <v>417</v>
      </c>
    </row>
    <row r="773" spans="1:16" x14ac:dyDescent="0.2">
      <c r="A773">
        <v>77</v>
      </c>
      <c r="B773" t="s">
        <v>375</v>
      </c>
      <c r="C773" s="1">
        <v>19898</v>
      </c>
      <c r="D773" s="1">
        <v>43766</v>
      </c>
      <c r="E773" t="s">
        <v>42</v>
      </c>
      <c r="F773" s="1">
        <v>45051</v>
      </c>
    </row>
    <row r="774" spans="1:16" x14ac:dyDescent="0.2">
      <c r="A774">
        <v>78</v>
      </c>
      <c r="B774" t="s">
        <v>376</v>
      </c>
      <c r="C774" s="1">
        <v>22530</v>
      </c>
      <c r="D774" s="1">
        <v>43766</v>
      </c>
      <c r="E774" t="s">
        <v>377</v>
      </c>
    </row>
    <row r="775" spans="1:16" x14ac:dyDescent="0.2">
      <c r="A775">
        <v>76</v>
      </c>
      <c r="B775" t="s">
        <v>976</v>
      </c>
      <c r="C775" s="1">
        <v>13921</v>
      </c>
      <c r="D775" s="1">
        <v>43759</v>
      </c>
      <c r="E775" t="s">
        <v>975</v>
      </c>
    </row>
    <row r="776" spans="1:16" x14ac:dyDescent="0.2">
      <c r="A776">
        <v>73</v>
      </c>
      <c r="B776" t="s">
        <v>311</v>
      </c>
      <c r="C776" s="1">
        <v>25148</v>
      </c>
      <c r="D776" s="1">
        <v>43752</v>
      </c>
      <c r="E776" t="s">
        <v>13</v>
      </c>
    </row>
    <row r="777" spans="1:16" x14ac:dyDescent="0.2">
      <c r="A777">
        <v>74</v>
      </c>
      <c r="B777" t="s">
        <v>312</v>
      </c>
      <c r="C777" s="1">
        <v>23291</v>
      </c>
      <c r="D777" s="1">
        <v>43752</v>
      </c>
      <c r="E777" t="s">
        <v>42</v>
      </c>
    </row>
    <row r="778" spans="1:16" x14ac:dyDescent="0.2">
      <c r="A778">
        <v>75</v>
      </c>
      <c r="B778" t="s">
        <v>313</v>
      </c>
      <c r="C778" s="1">
        <v>30190</v>
      </c>
      <c r="D778" s="1">
        <v>43752</v>
      </c>
      <c r="E778" t="s">
        <v>29</v>
      </c>
      <c r="F778" s="1">
        <v>44284</v>
      </c>
      <c r="G778" s="1">
        <v>44522</v>
      </c>
      <c r="H778" s="1"/>
      <c r="I778" s="1"/>
      <c r="J778" s="1"/>
      <c r="K778" s="1"/>
      <c r="L778" s="1"/>
      <c r="M778" s="1"/>
    </row>
    <row r="779" spans="1:16" x14ac:dyDescent="0.2">
      <c r="A779">
        <v>72</v>
      </c>
      <c r="B779" t="s">
        <v>208</v>
      </c>
      <c r="C779" s="1">
        <v>32078</v>
      </c>
      <c r="D779" s="1">
        <v>43745</v>
      </c>
      <c r="E779" t="s">
        <v>209</v>
      </c>
    </row>
    <row r="780" spans="1:16" x14ac:dyDescent="0.2">
      <c r="A780">
        <v>71</v>
      </c>
      <c r="B780" t="s">
        <v>94</v>
      </c>
      <c r="C780" s="1">
        <v>25657</v>
      </c>
      <c r="D780" s="1">
        <v>43738</v>
      </c>
      <c r="E780" t="s">
        <v>42</v>
      </c>
    </row>
    <row r="781" spans="1:16" x14ac:dyDescent="0.2">
      <c r="A781">
        <v>70</v>
      </c>
      <c r="B781" t="s">
        <v>92</v>
      </c>
      <c r="C781" s="1">
        <v>14829</v>
      </c>
      <c r="D781" s="1">
        <v>43717</v>
      </c>
      <c r="E781" t="s">
        <v>93</v>
      </c>
      <c r="F781" s="1">
        <v>44186</v>
      </c>
      <c r="G781" s="1">
        <v>44869</v>
      </c>
      <c r="H781" s="1"/>
      <c r="I781" s="1"/>
      <c r="J781" s="1"/>
      <c r="K781" s="1"/>
      <c r="L781" s="1"/>
      <c r="M781" s="1"/>
    </row>
    <row r="782" spans="1:16" x14ac:dyDescent="0.2">
      <c r="A782">
        <v>69</v>
      </c>
      <c r="B782" t="s">
        <v>91</v>
      </c>
      <c r="C782" s="1">
        <v>25314</v>
      </c>
      <c r="D782" s="1">
        <v>43710</v>
      </c>
      <c r="E782" t="s">
        <v>16</v>
      </c>
    </row>
    <row r="783" spans="1:16" x14ac:dyDescent="0.2">
      <c r="A783">
        <v>68</v>
      </c>
      <c r="B783" t="s">
        <v>90</v>
      </c>
      <c r="C783" s="1">
        <v>23451</v>
      </c>
      <c r="D783" s="1">
        <v>43703</v>
      </c>
      <c r="E783" t="s">
        <v>42</v>
      </c>
    </row>
    <row r="784" spans="1:16" x14ac:dyDescent="0.2">
      <c r="A784">
        <v>65</v>
      </c>
      <c r="B784" t="s">
        <v>88</v>
      </c>
      <c r="C784" s="1">
        <v>16505</v>
      </c>
      <c r="D784" s="1">
        <v>43696</v>
      </c>
      <c r="E784" t="s">
        <v>42</v>
      </c>
      <c r="F784" s="1">
        <v>43857</v>
      </c>
      <c r="G784" s="1"/>
      <c r="H784" s="1"/>
      <c r="I784" s="1"/>
      <c r="J784" s="1"/>
      <c r="K784" s="1"/>
      <c r="L784" s="1"/>
      <c r="M784" s="1"/>
    </row>
    <row r="785" spans="1:16" x14ac:dyDescent="0.2">
      <c r="A785">
        <v>66</v>
      </c>
      <c r="B785" t="s">
        <v>89</v>
      </c>
      <c r="C785" s="1">
        <v>18734</v>
      </c>
      <c r="D785" s="1">
        <v>43696</v>
      </c>
      <c r="E785" t="s">
        <v>23</v>
      </c>
      <c r="F785" s="1">
        <v>43780</v>
      </c>
      <c r="G785" s="1"/>
      <c r="H785" s="1"/>
      <c r="I785" s="1"/>
      <c r="J785" s="1"/>
      <c r="K785" s="1"/>
      <c r="L785" s="1"/>
      <c r="M785" s="1"/>
    </row>
    <row r="786" spans="1:16" x14ac:dyDescent="0.2">
      <c r="A786">
        <v>64</v>
      </c>
      <c r="B786" t="s">
        <v>85</v>
      </c>
      <c r="C786" s="1">
        <v>17236</v>
      </c>
      <c r="D786" s="1">
        <v>43689</v>
      </c>
      <c r="E786" t="s">
        <v>42</v>
      </c>
    </row>
    <row r="787" spans="1:16" x14ac:dyDescent="0.2">
      <c r="A787">
        <v>63</v>
      </c>
      <c r="B787" t="s">
        <v>83</v>
      </c>
      <c r="C787" s="1">
        <v>20056</v>
      </c>
      <c r="D787" s="1">
        <v>43682</v>
      </c>
      <c r="E787" t="s">
        <v>42</v>
      </c>
    </row>
    <row r="788" spans="1:16" x14ac:dyDescent="0.2">
      <c r="A788">
        <v>61</v>
      </c>
      <c r="B788" t="s">
        <v>81</v>
      </c>
      <c r="C788" s="1">
        <v>17637</v>
      </c>
      <c r="D788" s="1">
        <v>43675</v>
      </c>
      <c r="E788" t="s">
        <v>42</v>
      </c>
      <c r="F788" s="1">
        <v>43899</v>
      </c>
      <c r="G788" s="1">
        <v>45747</v>
      </c>
      <c r="H788" s="1"/>
      <c r="I788" s="1"/>
      <c r="J788" s="1"/>
      <c r="K788" s="1"/>
      <c r="L788" s="1"/>
      <c r="M788" s="1"/>
    </row>
    <row r="789" spans="1:16" x14ac:dyDescent="0.2">
      <c r="A789">
        <v>62</v>
      </c>
      <c r="B789" t="s">
        <v>82</v>
      </c>
      <c r="C789" s="1">
        <v>24558</v>
      </c>
      <c r="D789" s="1">
        <v>43675</v>
      </c>
      <c r="E789" t="s">
        <v>48</v>
      </c>
    </row>
    <row r="790" spans="1:16" x14ac:dyDescent="0.2">
      <c r="A790">
        <v>60</v>
      </c>
      <c r="B790" t="s">
        <v>80</v>
      </c>
      <c r="C790" s="1">
        <v>17945</v>
      </c>
      <c r="D790" s="1">
        <v>43654</v>
      </c>
      <c r="E790" t="s">
        <v>42</v>
      </c>
    </row>
    <row r="791" spans="1:16" x14ac:dyDescent="0.2">
      <c r="A791">
        <v>58</v>
      </c>
      <c r="B791" t="s">
        <v>78</v>
      </c>
      <c r="C791" s="1">
        <v>18859</v>
      </c>
      <c r="D791" s="1">
        <v>43647</v>
      </c>
      <c r="E791" t="s">
        <v>13</v>
      </c>
    </row>
    <row r="792" spans="1:16" x14ac:dyDescent="0.2">
      <c r="A792">
        <v>59</v>
      </c>
      <c r="B792" t="s">
        <v>79</v>
      </c>
      <c r="C792" s="1">
        <v>20420</v>
      </c>
      <c r="D792" s="1">
        <v>43647</v>
      </c>
      <c r="E792" t="s">
        <v>29</v>
      </c>
      <c r="F792" s="1">
        <v>43773</v>
      </c>
      <c r="G792" s="1"/>
      <c r="H792" s="1"/>
      <c r="I792" s="1"/>
      <c r="J792" s="1"/>
      <c r="K792" s="1"/>
      <c r="L792" s="1"/>
      <c r="M792" s="1"/>
      <c r="N792" s="1">
        <v>43648</v>
      </c>
    </row>
    <row r="793" spans="1:16" x14ac:dyDescent="0.2">
      <c r="A793">
        <v>56</v>
      </c>
      <c r="B793" t="s">
        <v>77</v>
      </c>
      <c r="C793" s="1">
        <v>23143</v>
      </c>
      <c r="D793" s="1">
        <v>43640</v>
      </c>
      <c r="E793" t="s">
        <v>42</v>
      </c>
    </row>
    <row r="794" spans="1:16" x14ac:dyDescent="0.2">
      <c r="A794">
        <v>57</v>
      </c>
      <c r="B794" t="s">
        <v>977</v>
      </c>
      <c r="C794" s="1">
        <v>20649</v>
      </c>
      <c r="D794" s="1">
        <v>43640</v>
      </c>
      <c r="E794" t="s">
        <v>972</v>
      </c>
    </row>
    <row r="795" spans="1:16" x14ac:dyDescent="0.2">
      <c r="A795">
        <v>54</v>
      </c>
      <c r="B795" t="s">
        <v>74</v>
      </c>
      <c r="C795" s="1">
        <v>20147</v>
      </c>
      <c r="D795" s="1">
        <v>43619</v>
      </c>
      <c r="E795" t="s">
        <v>35</v>
      </c>
      <c r="F795" s="1">
        <v>44071</v>
      </c>
      <c r="G795" s="1"/>
      <c r="H795" s="1"/>
      <c r="I795" s="1"/>
      <c r="J795" s="1"/>
      <c r="K795" s="1"/>
      <c r="L795" s="1"/>
      <c r="M795" s="1"/>
    </row>
    <row r="796" spans="1:16" x14ac:dyDescent="0.2">
      <c r="A796">
        <v>55</v>
      </c>
      <c r="B796" t="s">
        <v>75</v>
      </c>
      <c r="C796" s="1">
        <v>22411</v>
      </c>
      <c r="D796" s="1">
        <v>43619</v>
      </c>
      <c r="E796" t="s">
        <v>76</v>
      </c>
      <c r="F796" s="1">
        <v>44067</v>
      </c>
      <c r="G796" s="1"/>
      <c r="H796" s="1"/>
      <c r="I796" s="1"/>
      <c r="J796" s="1"/>
      <c r="K796" s="1"/>
      <c r="L796" s="1"/>
      <c r="M796" s="1"/>
    </row>
    <row r="797" spans="1:16" x14ac:dyDescent="0.2">
      <c r="A797">
        <v>52</v>
      </c>
      <c r="B797" t="s">
        <v>71</v>
      </c>
      <c r="C797" s="1">
        <v>24925</v>
      </c>
      <c r="D797" s="1">
        <v>43605</v>
      </c>
      <c r="E797" t="s">
        <v>29</v>
      </c>
      <c r="F797" s="1">
        <v>43766</v>
      </c>
      <c r="G797" s="1">
        <v>44424</v>
      </c>
      <c r="H797" s="1">
        <v>44907</v>
      </c>
      <c r="I797" s="1">
        <v>45264</v>
      </c>
      <c r="J797" s="1">
        <v>45537</v>
      </c>
      <c r="K797" s="1">
        <v>45705</v>
      </c>
      <c r="L797" s="1">
        <v>45863</v>
      </c>
      <c r="M797" s="1">
        <v>46153</v>
      </c>
      <c r="N797" s="1">
        <v>43606</v>
      </c>
    </row>
    <row r="798" spans="1:16" x14ac:dyDescent="0.2">
      <c r="A798">
        <v>53</v>
      </c>
      <c r="B798" s="15" t="s">
        <v>72</v>
      </c>
      <c r="C798" s="1">
        <v>26463</v>
      </c>
      <c r="D798" s="1">
        <v>43605</v>
      </c>
      <c r="E798" t="s">
        <v>35</v>
      </c>
      <c r="F798" s="1">
        <v>44081</v>
      </c>
      <c r="G798" s="1">
        <v>45488</v>
      </c>
      <c r="H798" s="1"/>
      <c r="I798" s="1"/>
      <c r="J798" s="1"/>
      <c r="K798" s="1"/>
      <c r="L798" s="1"/>
      <c r="M798" s="1"/>
      <c r="P798" t="s">
        <v>978</v>
      </c>
    </row>
    <row r="799" spans="1:16" x14ac:dyDescent="0.2">
      <c r="A799">
        <v>51</v>
      </c>
      <c r="B799" t="s">
        <v>69</v>
      </c>
      <c r="C799" s="1">
        <v>20154</v>
      </c>
      <c r="D799" s="1">
        <v>43591</v>
      </c>
      <c r="E799" t="s">
        <v>70</v>
      </c>
    </row>
    <row r="800" spans="1:16" x14ac:dyDescent="0.2">
      <c r="A800">
        <v>50</v>
      </c>
      <c r="B800" t="s">
        <v>68</v>
      </c>
      <c r="C800" s="1">
        <v>22647</v>
      </c>
      <c r="D800" s="1">
        <v>43570</v>
      </c>
      <c r="E800" t="s">
        <v>42</v>
      </c>
      <c r="F800" s="1">
        <v>45191</v>
      </c>
      <c r="G800" s="1">
        <v>45684</v>
      </c>
      <c r="H800" s="1">
        <v>44680</v>
      </c>
      <c r="I800" s="1">
        <v>46125</v>
      </c>
    </row>
    <row r="801" spans="1:16" x14ac:dyDescent="0.2">
      <c r="A801">
        <v>47</v>
      </c>
      <c r="B801" t="s">
        <v>66</v>
      </c>
      <c r="C801" s="1">
        <v>23354</v>
      </c>
      <c r="D801" s="1">
        <v>43563</v>
      </c>
      <c r="E801" t="s">
        <v>35</v>
      </c>
    </row>
    <row r="802" spans="1:16" x14ac:dyDescent="0.2">
      <c r="A802">
        <v>49</v>
      </c>
      <c r="B802" t="s">
        <v>67</v>
      </c>
      <c r="C802" s="1">
        <v>24759</v>
      </c>
      <c r="D802" s="1">
        <v>43563</v>
      </c>
      <c r="E802" t="s">
        <v>42</v>
      </c>
      <c r="F802" s="1">
        <v>43871</v>
      </c>
      <c r="G802" s="1">
        <v>44547</v>
      </c>
      <c r="H802" s="1">
        <v>45810</v>
      </c>
      <c r="I802" s="1"/>
      <c r="J802" s="1"/>
      <c r="K802" s="1"/>
      <c r="L802" s="1"/>
      <c r="M802" s="1"/>
    </row>
    <row r="803" spans="1:16" x14ac:dyDescent="0.2">
      <c r="A803">
        <v>45</v>
      </c>
      <c r="B803" t="s">
        <v>62</v>
      </c>
      <c r="C803" s="1">
        <v>27215</v>
      </c>
      <c r="D803" s="1">
        <v>43556</v>
      </c>
      <c r="E803" t="s">
        <v>63</v>
      </c>
    </row>
    <row r="804" spans="1:16" x14ac:dyDescent="0.2">
      <c r="A804">
        <v>46</v>
      </c>
      <c r="B804" t="s">
        <v>64</v>
      </c>
      <c r="C804" s="1">
        <v>20975</v>
      </c>
      <c r="D804" s="1">
        <v>43556</v>
      </c>
      <c r="E804" t="s">
        <v>65</v>
      </c>
    </row>
    <row r="805" spans="1:16" x14ac:dyDescent="0.2">
      <c r="A805">
        <v>43</v>
      </c>
      <c r="B805" t="s">
        <v>60</v>
      </c>
      <c r="C805" s="1">
        <v>22404</v>
      </c>
      <c r="D805" s="1">
        <v>43549</v>
      </c>
      <c r="E805" t="s">
        <v>35</v>
      </c>
    </row>
    <row r="806" spans="1:16" x14ac:dyDescent="0.2">
      <c r="A806">
        <v>44</v>
      </c>
      <c r="B806" t="s">
        <v>61</v>
      </c>
      <c r="C806" s="1">
        <v>32300</v>
      </c>
      <c r="D806" s="1">
        <v>43549</v>
      </c>
      <c r="E806" t="s">
        <v>35</v>
      </c>
    </row>
    <row r="807" spans="1:16" x14ac:dyDescent="0.2">
      <c r="A807">
        <v>41</v>
      </c>
      <c r="B807" t="s">
        <v>58</v>
      </c>
      <c r="C807" s="1">
        <v>21872</v>
      </c>
      <c r="D807" s="1">
        <v>43528</v>
      </c>
      <c r="E807" t="s">
        <v>53</v>
      </c>
      <c r="F807" s="1">
        <v>43759</v>
      </c>
      <c r="G807" s="1">
        <v>45131</v>
      </c>
      <c r="H807" s="1">
        <v>21872</v>
      </c>
      <c r="I807" s="1"/>
      <c r="J807" s="1"/>
      <c r="K807" s="1"/>
      <c r="L807" s="1"/>
      <c r="M807" s="1"/>
      <c r="N807" s="1">
        <v>43531</v>
      </c>
    </row>
    <row r="808" spans="1:16" x14ac:dyDescent="0.2">
      <c r="A808">
        <v>42</v>
      </c>
      <c r="B808" t="s">
        <v>59</v>
      </c>
      <c r="C808" s="1">
        <v>21814</v>
      </c>
      <c r="D808" s="1">
        <v>43528</v>
      </c>
      <c r="E808" t="s">
        <v>53</v>
      </c>
      <c r="N808" s="1">
        <v>43537</v>
      </c>
    </row>
    <row r="809" spans="1:16" x14ac:dyDescent="0.2">
      <c r="A809">
        <v>38</v>
      </c>
      <c r="B809" t="s">
        <v>56</v>
      </c>
      <c r="C809" s="1">
        <v>21725</v>
      </c>
      <c r="D809" s="1">
        <v>43521</v>
      </c>
      <c r="E809" t="s">
        <v>53</v>
      </c>
      <c r="F809" s="1">
        <v>43773</v>
      </c>
      <c r="G809" s="1">
        <v>44883</v>
      </c>
      <c r="H809" s="1"/>
      <c r="I809" s="1"/>
      <c r="J809" s="1"/>
      <c r="K809" s="1"/>
      <c r="L809" s="1"/>
      <c r="M809" s="1"/>
      <c r="N809" s="1">
        <v>43518</v>
      </c>
    </row>
    <row r="810" spans="1:16" x14ac:dyDescent="0.2">
      <c r="A810">
        <v>39</v>
      </c>
      <c r="B810" s="15" t="s">
        <v>54</v>
      </c>
      <c r="C810" s="1">
        <v>24436</v>
      </c>
      <c r="D810" s="1">
        <v>43521</v>
      </c>
      <c r="E810" t="s">
        <v>35</v>
      </c>
      <c r="F810" s="1">
        <v>44064</v>
      </c>
      <c r="G810" s="1" t="s">
        <v>1731</v>
      </c>
      <c r="H810" s="1"/>
      <c r="I810" s="1"/>
      <c r="J810" s="1"/>
      <c r="K810" s="1"/>
      <c r="L810" s="1"/>
      <c r="M810" s="1"/>
      <c r="P810" t="s">
        <v>979</v>
      </c>
    </row>
    <row r="811" spans="1:16" x14ac:dyDescent="0.2">
      <c r="A811">
        <v>40</v>
      </c>
      <c r="B811" t="s">
        <v>55</v>
      </c>
      <c r="C811" s="1">
        <v>21899</v>
      </c>
      <c r="D811" s="1">
        <v>43521</v>
      </c>
      <c r="E811" t="s">
        <v>16</v>
      </c>
    </row>
    <row r="812" spans="1:16" x14ac:dyDescent="0.2">
      <c r="A812">
        <v>36</v>
      </c>
      <c r="B812" t="s">
        <v>51</v>
      </c>
      <c r="C812" s="1">
        <v>23985</v>
      </c>
      <c r="D812" s="1">
        <v>43514</v>
      </c>
      <c r="E812" t="s">
        <v>57</v>
      </c>
    </row>
    <row r="813" spans="1:16" x14ac:dyDescent="0.2">
      <c r="A813">
        <v>37</v>
      </c>
      <c r="B813" t="s">
        <v>52</v>
      </c>
      <c r="C813" s="1">
        <v>33555</v>
      </c>
      <c r="D813" s="1">
        <v>43514</v>
      </c>
      <c r="E813" t="s">
        <v>29</v>
      </c>
    </row>
    <row r="814" spans="1:16" x14ac:dyDescent="0.2">
      <c r="A814">
        <v>33</v>
      </c>
      <c r="B814" t="s">
        <v>47</v>
      </c>
      <c r="C814" s="1">
        <v>29587</v>
      </c>
      <c r="D814" s="1">
        <v>43507</v>
      </c>
      <c r="E814" t="s">
        <v>48</v>
      </c>
      <c r="F814" s="1">
        <v>43703</v>
      </c>
      <c r="G814" s="1"/>
      <c r="H814" s="1"/>
      <c r="I814" s="1"/>
      <c r="J814" s="1"/>
      <c r="K814" s="1"/>
      <c r="L814" s="1"/>
      <c r="M814" s="1"/>
    </row>
    <row r="815" spans="1:16" x14ac:dyDescent="0.2">
      <c r="A815">
        <v>34</v>
      </c>
      <c r="B815" t="s">
        <v>49</v>
      </c>
      <c r="C815" s="1">
        <v>12290</v>
      </c>
      <c r="D815" s="1">
        <v>43507</v>
      </c>
      <c r="E815" t="s">
        <v>29</v>
      </c>
    </row>
    <row r="816" spans="1:16" x14ac:dyDescent="0.2">
      <c r="A816">
        <v>35</v>
      </c>
      <c r="B816" t="s">
        <v>50</v>
      </c>
      <c r="C816" s="1">
        <v>19725</v>
      </c>
      <c r="D816" s="1">
        <v>43507</v>
      </c>
      <c r="E816" t="s">
        <v>29</v>
      </c>
      <c r="F816" s="1">
        <v>43745</v>
      </c>
      <c r="G816" s="1"/>
      <c r="H816" s="1"/>
      <c r="I816" s="1"/>
      <c r="J816" s="1"/>
      <c r="K816" s="1"/>
      <c r="L816" s="1"/>
      <c r="M816" s="1"/>
      <c r="N816" s="1">
        <v>43501</v>
      </c>
      <c r="O816" s="1">
        <v>43746</v>
      </c>
      <c r="P816" s="1"/>
    </row>
    <row r="817" spans="1:16" x14ac:dyDescent="0.2">
      <c r="A817">
        <v>30</v>
      </c>
      <c r="B817" t="s">
        <v>41</v>
      </c>
      <c r="C817" s="1">
        <v>26532</v>
      </c>
      <c r="D817" s="1">
        <v>43500</v>
      </c>
      <c r="E817" t="s">
        <v>42</v>
      </c>
      <c r="F817" s="1">
        <v>43987</v>
      </c>
      <c r="G817" s="1"/>
      <c r="H817" s="1"/>
      <c r="I817" s="1"/>
      <c r="J817" s="1"/>
      <c r="K817" s="1"/>
      <c r="L817" s="1"/>
      <c r="M817" s="1"/>
    </row>
    <row r="818" spans="1:16" x14ac:dyDescent="0.2">
      <c r="A818">
        <v>31</v>
      </c>
      <c r="B818" t="s">
        <v>43</v>
      </c>
      <c r="C818" s="1">
        <v>21317</v>
      </c>
      <c r="D818" s="1">
        <v>43500</v>
      </c>
      <c r="E818" t="s">
        <v>46</v>
      </c>
      <c r="N818" s="1">
        <v>43495</v>
      </c>
    </row>
    <row r="819" spans="1:16" x14ac:dyDescent="0.2">
      <c r="A819">
        <v>32</v>
      </c>
      <c r="B819" t="s">
        <v>44</v>
      </c>
      <c r="C819" s="1">
        <v>27243</v>
      </c>
      <c r="D819" s="1">
        <v>43500</v>
      </c>
      <c r="E819" t="s">
        <v>45</v>
      </c>
      <c r="N819" s="1">
        <v>43503</v>
      </c>
    </row>
    <row r="820" spans="1:16" x14ac:dyDescent="0.2">
      <c r="A820">
        <v>27</v>
      </c>
      <c r="B820" t="s">
        <v>38</v>
      </c>
      <c r="C820" s="1">
        <v>26816</v>
      </c>
      <c r="D820" s="1">
        <v>43493</v>
      </c>
      <c r="E820" t="s">
        <v>29</v>
      </c>
      <c r="F820" s="1">
        <v>43689</v>
      </c>
      <c r="G820" s="1">
        <v>45523</v>
      </c>
      <c r="H820" s="1"/>
      <c r="I820" s="1"/>
      <c r="J820" s="1"/>
      <c r="K820" s="1"/>
      <c r="L820" s="1"/>
      <c r="M820" s="1"/>
      <c r="N820" s="1">
        <v>43490</v>
      </c>
      <c r="O820" s="1">
        <v>43690</v>
      </c>
      <c r="P820" s="1"/>
    </row>
    <row r="821" spans="1:16" x14ac:dyDescent="0.2">
      <c r="A821">
        <v>28</v>
      </c>
      <c r="B821" s="15" t="s">
        <v>39</v>
      </c>
      <c r="C821" s="1">
        <v>24023</v>
      </c>
      <c r="D821" s="1">
        <v>43493</v>
      </c>
      <c r="E821" t="s">
        <v>16</v>
      </c>
      <c r="F821" s="1">
        <v>44060</v>
      </c>
      <c r="G821" s="1">
        <v>45338</v>
      </c>
      <c r="H821" s="1"/>
      <c r="I821" s="1"/>
      <c r="J821" s="1"/>
      <c r="K821" s="1"/>
      <c r="L821" s="1"/>
      <c r="M821" s="1"/>
      <c r="P821" t="s">
        <v>981</v>
      </c>
    </row>
    <row r="822" spans="1:16" x14ac:dyDescent="0.2">
      <c r="A822">
        <v>29</v>
      </c>
      <c r="B822" s="15" t="s">
        <v>40</v>
      </c>
      <c r="C822" s="1">
        <v>33096</v>
      </c>
      <c r="D822" s="1">
        <v>43493</v>
      </c>
      <c r="E822" t="s">
        <v>16</v>
      </c>
      <c r="F822" s="1">
        <v>44060</v>
      </c>
      <c r="G822" s="1"/>
      <c r="H822" s="1"/>
      <c r="I822" s="1"/>
      <c r="J822" s="1"/>
      <c r="K822" s="1"/>
      <c r="L822" s="1"/>
      <c r="M822" s="1"/>
      <c r="P822" t="s">
        <v>980</v>
      </c>
    </row>
    <row r="823" spans="1:16" x14ac:dyDescent="0.2">
      <c r="A823">
        <v>25</v>
      </c>
      <c r="B823" t="s">
        <v>36</v>
      </c>
      <c r="C823" s="1">
        <v>21637</v>
      </c>
      <c r="D823" s="1">
        <v>43486</v>
      </c>
      <c r="E823" t="s">
        <v>13</v>
      </c>
    </row>
    <row r="824" spans="1:16" x14ac:dyDescent="0.2">
      <c r="A824">
        <v>26</v>
      </c>
      <c r="B824" t="s">
        <v>37</v>
      </c>
      <c r="C824" s="1">
        <v>24686</v>
      </c>
      <c r="D824" s="1">
        <v>43486</v>
      </c>
      <c r="E824" t="s">
        <v>42</v>
      </c>
      <c r="F824" s="1">
        <v>43843</v>
      </c>
      <c r="G824" s="1">
        <v>44417</v>
      </c>
      <c r="H824" s="1">
        <v>45923</v>
      </c>
      <c r="I824" s="28" t="s">
        <v>1966</v>
      </c>
      <c r="J824" s="1"/>
      <c r="K824" s="1"/>
      <c r="L824" s="1"/>
      <c r="M824" s="1"/>
    </row>
    <row r="825" spans="1:16" x14ac:dyDescent="0.2">
      <c r="A825">
        <v>23</v>
      </c>
      <c r="B825" t="s">
        <v>33</v>
      </c>
      <c r="C825" s="1">
        <v>22492</v>
      </c>
      <c r="D825" s="1">
        <v>43479</v>
      </c>
      <c r="E825" t="s">
        <v>29</v>
      </c>
      <c r="F825" s="1">
        <v>44106</v>
      </c>
      <c r="G825" s="1"/>
      <c r="H825" s="1"/>
      <c r="I825" s="1"/>
      <c r="J825" s="1"/>
      <c r="K825" s="1"/>
      <c r="L825" s="1"/>
      <c r="M825" s="1"/>
    </row>
    <row r="826" spans="1:16" x14ac:dyDescent="0.2">
      <c r="A826">
        <v>24</v>
      </c>
      <c r="B826" t="s">
        <v>34</v>
      </c>
      <c r="C826" s="1">
        <v>20776</v>
      </c>
      <c r="D826" s="1">
        <v>43479</v>
      </c>
      <c r="E826" t="s">
        <v>35</v>
      </c>
    </row>
    <row r="827" spans="1:16" x14ac:dyDescent="0.2">
      <c r="A827">
        <v>21</v>
      </c>
      <c r="B827" t="s">
        <v>30</v>
      </c>
      <c r="C827" s="1">
        <v>18099</v>
      </c>
      <c r="D827" s="1">
        <v>43472</v>
      </c>
      <c r="E827" t="s">
        <v>13</v>
      </c>
    </row>
    <row r="828" spans="1:16" x14ac:dyDescent="0.2">
      <c r="A828">
        <v>22</v>
      </c>
      <c r="B828" s="15" t="s">
        <v>31</v>
      </c>
      <c r="C828" s="1">
        <v>23467</v>
      </c>
      <c r="D828" s="1">
        <v>43472</v>
      </c>
      <c r="E828" t="s">
        <v>32</v>
      </c>
      <c r="F828" s="1">
        <v>43738</v>
      </c>
      <c r="G828" s="1"/>
      <c r="H828" s="1"/>
      <c r="I828" s="1"/>
      <c r="J828" s="1"/>
      <c r="K828" s="1"/>
      <c r="L828" s="1"/>
      <c r="M828" s="1"/>
    </row>
    <row r="829" spans="1:16" x14ac:dyDescent="0.2">
      <c r="A829">
        <v>19</v>
      </c>
      <c r="B829" t="s">
        <v>28</v>
      </c>
      <c r="C829" s="1">
        <v>31446</v>
      </c>
      <c r="D829" s="1">
        <v>43451</v>
      </c>
      <c r="E829" t="s">
        <v>29</v>
      </c>
      <c r="F829" s="1">
        <v>43717</v>
      </c>
      <c r="G829" s="1">
        <v>44791</v>
      </c>
      <c r="H829" s="1"/>
      <c r="I829" s="1"/>
      <c r="J829" s="1"/>
      <c r="K829" s="1"/>
      <c r="L829" s="1"/>
      <c r="M829" s="1"/>
      <c r="N829" s="1">
        <v>43551</v>
      </c>
      <c r="O829" s="1">
        <v>43718</v>
      </c>
      <c r="P829" s="1"/>
    </row>
    <row r="830" spans="1:16" x14ac:dyDescent="0.2">
      <c r="A830">
        <v>18</v>
      </c>
      <c r="B830" t="s">
        <v>26</v>
      </c>
      <c r="C830" s="1">
        <v>21589</v>
      </c>
      <c r="D830" s="1">
        <v>43444</v>
      </c>
      <c r="E830" t="s">
        <v>27</v>
      </c>
    </row>
    <row r="831" spans="1:16" x14ac:dyDescent="0.2">
      <c r="A831">
        <v>16</v>
      </c>
      <c r="B831" t="s">
        <v>24</v>
      </c>
      <c r="C831" s="1">
        <v>27806</v>
      </c>
      <c r="D831" s="1">
        <v>43437</v>
      </c>
      <c r="E831" t="s">
        <v>42</v>
      </c>
      <c r="F831" s="1">
        <v>45012</v>
      </c>
      <c r="G831" s="1">
        <v>45159</v>
      </c>
      <c r="H831" s="1">
        <v>45418</v>
      </c>
      <c r="I831" s="1">
        <v>45950</v>
      </c>
    </row>
    <row r="832" spans="1:16" x14ac:dyDescent="0.2">
      <c r="A832">
        <v>17</v>
      </c>
      <c r="B832" t="s">
        <v>25</v>
      </c>
      <c r="C832" s="1">
        <v>24171</v>
      </c>
      <c r="D832" s="1">
        <v>43437</v>
      </c>
      <c r="E832" t="s">
        <v>18</v>
      </c>
      <c r="F832" s="1">
        <v>44113</v>
      </c>
      <c r="G832" s="1"/>
      <c r="H832" s="1"/>
      <c r="I832" s="1"/>
      <c r="J832" s="1"/>
      <c r="K832" s="1"/>
      <c r="L832" s="1"/>
      <c r="M832" s="1"/>
    </row>
    <row r="833" spans="1:16" x14ac:dyDescent="0.2">
      <c r="A833">
        <v>14</v>
      </c>
      <c r="B833" s="15" t="s">
        <v>21</v>
      </c>
      <c r="C833" s="1">
        <v>24418</v>
      </c>
      <c r="D833" s="1">
        <v>43430</v>
      </c>
      <c r="E833" t="s">
        <v>16</v>
      </c>
      <c r="F833" s="1">
        <v>43654</v>
      </c>
      <c r="G833" s="1"/>
      <c r="H833" s="1"/>
      <c r="I833" s="1"/>
      <c r="J833" s="1"/>
      <c r="K833" s="1"/>
      <c r="L833" s="1"/>
      <c r="M833" s="1"/>
    </row>
    <row r="834" spans="1:16" x14ac:dyDescent="0.2">
      <c r="A834">
        <v>15</v>
      </c>
      <c r="B834" t="s">
        <v>22</v>
      </c>
      <c r="C834" s="1">
        <v>21712</v>
      </c>
      <c r="D834" s="1">
        <v>43430</v>
      </c>
      <c r="E834" t="s">
        <v>23</v>
      </c>
    </row>
    <row r="835" spans="1:16" x14ac:dyDescent="0.2">
      <c r="A835">
        <v>12</v>
      </c>
      <c r="B835" s="15" t="s">
        <v>19</v>
      </c>
      <c r="C835" s="1">
        <v>30062</v>
      </c>
      <c r="D835" s="1">
        <v>43423</v>
      </c>
      <c r="E835" t="s">
        <v>16</v>
      </c>
      <c r="F835" s="1">
        <v>43682</v>
      </c>
      <c r="G835" s="1"/>
      <c r="H835" s="1"/>
      <c r="I835" s="1"/>
      <c r="J835" s="1"/>
      <c r="K835" s="1"/>
      <c r="L835" s="1"/>
      <c r="M835" s="1"/>
      <c r="P835" t="s">
        <v>982</v>
      </c>
    </row>
    <row r="836" spans="1:16" x14ac:dyDescent="0.2">
      <c r="A836">
        <v>13</v>
      </c>
      <c r="B836" t="s">
        <v>20</v>
      </c>
      <c r="C836" s="1">
        <v>27932</v>
      </c>
      <c r="D836" s="1">
        <v>43423</v>
      </c>
      <c r="E836" t="s">
        <v>13</v>
      </c>
    </row>
    <row r="837" spans="1:16" x14ac:dyDescent="0.2">
      <c r="A837">
        <v>11</v>
      </c>
      <c r="B837" t="s">
        <v>17</v>
      </c>
      <c r="C837" s="1">
        <v>23328</v>
      </c>
      <c r="D837" s="1">
        <v>43416</v>
      </c>
      <c r="E837" t="s">
        <v>18</v>
      </c>
    </row>
    <row r="838" spans="1:16" x14ac:dyDescent="0.2">
      <c r="A838">
        <v>10</v>
      </c>
      <c r="B838" t="s">
        <v>983</v>
      </c>
      <c r="C838" s="1">
        <v>22606</v>
      </c>
      <c r="D838" s="1">
        <v>43395</v>
      </c>
      <c r="E838" t="s">
        <v>16</v>
      </c>
    </row>
    <row r="839" spans="1:16" x14ac:dyDescent="0.2">
      <c r="A839">
        <v>9</v>
      </c>
      <c r="B839" t="s">
        <v>15</v>
      </c>
      <c r="C839" s="1">
        <v>18225</v>
      </c>
      <c r="D839" s="1">
        <v>43381</v>
      </c>
      <c r="E839" t="s">
        <v>5</v>
      </c>
    </row>
    <row r="840" spans="1:16" x14ac:dyDescent="0.2">
      <c r="A840">
        <v>7</v>
      </c>
      <c r="B840" s="15" t="s">
        <v>12</v>
      </c>
      <c r="C840" s="1">
        <v>23438</v>
      </c>
      <c r="D840" s="1">
        <v>43374</v>
      </c>
      <c r="E840" t="s">
        <v>13</v>
      </c>
      <c r="F840" s="1">
        <v>44071</v>
      </c>
      <c r="G840" s="1"/>
      <c r="H840" s="1"/>
      <c r="I840" s="1"/>
      <c r="J840" s="1"/>
      <c r="K840" s="1"/>
      <c r="L840" s="1"/>
      <c r="M840" s="1"/>
      <c r="P840" t="s">
        <v>981</v>
      </c>
    </row>
    <row r="841" spans="1:16" x14ac:dyDescent="0.2">
      <c r="A841">
        <v>8</v>
      </c>
      <c r="B841" t="s">
        <v>14</v>
      </c>
      <c r="C841" s="1">
        <v>17935</v>
      </c>
      <c r="D841" s="1">
        <v>43374</v>
      </c>
      <c r="E841" t="s">
        <v>5</v>
      </c>
    </row>
    <row r="842" spans="1:16" x14ac:dyDescent="0.2">
      <c r="A842">
        <v>6</v>
      </c>
      <c r="B842" t="s">
        <v>11</v>
      </c>
      <c r="C842" s="1">
        <v>21564</v>
      </c>
      <c r="D842" s="1">
        <v>43367</v>
      </c>
      <c r="E842" t="s">
        <v>5</v>
      </c>
    </row>
    <row r="843" spans="1:16" x14ac:dyDescent="0.2">
      <c r="A843">
        <v>5</v>
      </c>
      <c r="B843" t="s">
        <v>10</v>
      </c>
      <c r="C843" s="1">
        <v>15788</v>
      </c>
      <c r="D843" s="1">
        <v>43361</v>
      </c>
      <c r="E843" t="s">
        <v>5</v>
      </c>
    </row>
    <row r="844" spans="1:16" x14ac:dyDescent="0.2">
      <c r="A844">
        <v>4</v>
      </c>
      <c r="B844" t="s">
        <v>8</v>
      </c>
      <c r="C844" s="1">
        <v>20515</v>
      </c>
      <c r="D844" s="1">
        <v>43360</v>
      </c>
      <c r="E844" t="s">
        <v>9</v>
      </c>
      <c r="F844" s="1">
        <v>43451</v>
      </c>
      <c r="G844" s="1"/>
      <c r="H844" s="1"/>
      <c r="I844" s="1"/>
      <c r="J844" s="1"/>
      <c r="K844" s="1"/>
      <c r="L844" s="1"/>
      <c r="M844" s="1"/>
    </row>
    <row r="845" spans="1:16" x14ac:dyDescent="0.2">
      <c r="A845">
        <v>3</v>
      </c>
      <c r="B845" t="s">
        <v>7</v>
      </c>
      <c r="C845" s="1">
        <v>26033</v>
      </c>
      <c r="D845" s="1">
        <v>43353</v>
      </c>
      <c r="E845" t="s">
        <v>42</v>
      </c>
      <c r="F845" s="1">
        <v>43899</v>
      </c>
      <c r="G845" s="1"/>
      <c r="H845" s="1"/>
      <c r="I845" s="1"/>
      <c r="J845" s="1"/>
      <c r="K845" s="1"/>
      <c r="L845" s="1"/>
      <c r="M845" s="1"/>
    </row>
    <row r="846" spans="1:16" x14ac:dyDescent="0.2">
      <c r="A846">
        <v>2</v>
      </c>
      <c r="B846" t="s">
        <v>6</v>
      </c>
      <c r="C846" s="1">
        <v>13656</v>
      </c>
      <c r="D846" s="1">
        <v>43346</v>
      </c>
      <c r="E846" t="s">
        <v>5</v>
      </c>
    </row>
    <row r="847" spans="1:16" x14ac:dyDescent="0.2">
      <c r="A847">
        <v>1</v>
      </c>
      <c r="B847" t="s">
        <v>4</v>
      </c>
      <c r="C847" s="1">
        <v>21050</v>
      </c>
      <c r="D847" s="1">
        <v>43335</v>
      </c>
      <c r="E847" t="s">
        <v>5</v>
      </c>
    </row>
  </sheetData>
  <pageMargins left="0.7" right="0.7" top="0.78740157499999996" bottom="0.78740157499999996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1DC260-C03B-46E4-9590-6AE5F9E82DBF}">
  <dimension ref="F11:F15"/>
  <sheetViews>
    <sheetView workbookViewId="0">
      <selection activeCell="A5" sqref="A5"/>
    </sheetView>
  </sheetViews>
  <sheetFormatPr baseColWidth="10" defaultRowHeight="15" x14ac:dyDescent="0.2"/>
  <cols>
    <col min="1" max="1" width="44.83203125" customWidth="1"/>
  </cols>
  <sheetData>
    <row r="11" spans="6:6" x14ac:dyDescent="0.2">
      <c r="F11" t="s">
        <v>1880</v>
      </c>
    </row>
    <row r="12" spans="6:6" x14ac:dyDescent="0.2">
      <c r="F12" t="s">
        <v>1880</v>
      </c>
    </row>
    <row r="13" spans="6:6" x14ac:dyDescent="0.2">
      <c r="F13" t="s">
        <v>1880</v>
      </c>
    </row>
    <row r="14" spans="6:6" x14ac:dyDescent="0.2">
      <c r="F14" t="s">
        <v>1880</v>
      </c>
    </row>
    <row r="15" spans="6:6" x14ac:dyDescent="0.2">
      <c r="F15" t="s">
        <v>1880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F006FF-D03D-4606-88C1-B602187C565E}">
  <dimension ref="A3:J14"/>
  <sheetViews>
    <sheetView workbookViewId="0">
      <selection activeCell="B5" sqref="B5:D5"/>
    </sheetView>
  </sheetViews>
  <sheetFormatPr baseColWidth="10" defaultRowHeight="15" x14ac:dyDescent="0.2"/>
  <cols>
    <col min="2" max="2" width="14" customWidth="1"/>
    <col min="3" max="3" width="17.1640625" customWidth="1"/>
  </cols>
  <sheetData>
    <row r="3" spans="1:10" x14ac:dyDescent="0.2">
      <c r="A3" t="s">
        <v>1974</v>
      </c>
      <c r="B3" t="s">
        <v>2017</v>
      </c>
      <c r="C3" t="s">
        <v>1975</v>
      </c>
      <c r="D3" t="s">
        <v>1976</v>
      </c>
      <c r="E3" t="s">
        <v>1976</v>
      </c>
      <c r="J3" t="s">
        <v>2084</v>
      </c>
    </row>
    <row r="5" spans="1:10" x14ac:dyDescent="0.2">
      <c r="A5">
        <v>1</v>
      </c>
      <c r="B5" t="s">
        <v>2018</v>
      </c>
      <c r="C5" s="1">
        <v>19176</v>
      </c>
      <c r="D5" s="1">
        <v>45947</v>
      </c>
      <c r="G5" t="s">
        <v>2027</v>
      </c>
    </row>
    <row r="6" spans="1:10" x14ac:dyDescent="0.2">
      <c r="A6">
        <v>2</v>
      </c>
      <c r="B6" t="s">
        <v>1987</v>
      </c>
      <c r="C6" s="1">
        <v>20959</v>
      </c>
      <c r="D6" s="1">
        <v>45968</v>
      </c>
      <c r="E6" t="s">
        <v>1988</v>
      </c>
      <c r="J6" s="1">
        <v>46064</v>
      </c>
    </row>
    <row r="7" spans="1:10" x14ac:dyDescent="0.2">
      <c r="A7">
        <v>4</v>
      </c>
      <c r="B7" t="s">
        <v>1996</v>
      </c>
      <c r="C7" s="1">
        <v>23397</v>
      </c>
      <c r="D7" s="1">
        <v>45978</v>
      </c>
      <c r="E7" t="s">
        <v>1224</v>
      </c>
      <c r="F7" t="s">
        <v>2026</v>
      </c>
      <c r="J7" s="1">
        <v>46064</v>
      </c>
    </row>
    <row r="8" spans="1:10" x14ac:dyDescent="0.2">
      <c r="A8">
        <v>5</v>
      </c>
      <c r="B8" t="s">
        <v>2024</v>
      </c>
      <c r="C8" s="1">
        <v>32242</v>
      </c>
      <c r="D8" s="1">
        <v>45996</v>
      </c>
      <c r="E8" t="s">
        <v>2025</v>
      </c>
    </row>
    <row r="9" spans="1:10" x14ac:dyDescent="0.2">
      <c r="A9">
        <v>7</v>
      </c>
      <c r="B9" t="s">
        <v>2094</v>
      </c>
      <c r="C9" s="1">
        <v>25961</v>
      </c>
      <c r="D9" s="1">
        <v>46071</v>
      </c>
      <c r="E9" t="s">
        <v>1224</v>
      </c>
    </row>
    <row r="10" spans="1:10" x14ac:dyDescent="0.2">
      <c r="A10">
        <v>8</v>
      </c>
      <c r="B10" t="s">
        <v>2104</v>
      </c>
      <c r="C10" s="1">
        <v>27712</v>
      </c>
      <c r="D10" s="1">
        <v>46078</v>
      </c>
      <c r="E10" t="s">
        <v>1224</v>
      </c>
    </row>
    <row r="11" spans="1:10" x14ac:dyDescent="0.2">
      <c r="A11">
        <v>9</v>
      </c>
      <c r="B11" t="s">
        <v>2131</v>
      </c>
      <c r="C11" s="1">
        <v>27275</v>
      </c>
      <c r="D11" s="1">
        <v>46106</v>
      </c>
      <c r="E11" t="s">
        <v>1224</v>
      </c>
    </row>
    <row r="12" spans="1:10" x14ac:dyDescent="0.2">
      <c r="A12">
        <v>10</v>
      </c>
      <c r="B12" t="s">
        <v>2137</v>
      </c>
      <c r="C12" s="1">
        <v>25689</v>
      </c>
      <c r="D12" s="1">
        <v>46112</v>
      </c>
      <c r="E12" t="s">
        <v>1988</v>
      </c>
      <c r="G12" t="s">
        <v>2138</v>
      </c>
    </row>
    <row r="13" spans="1:10" x14ac:dyDescent="0.2">
      <c r="A13">
        <v>11</v>
      </c>
      <c r="B13" t="s">
        <v>2139</v>
      </c>
      <c r="C13" s="1">
        <v>34183</v>
      </c>
      <c r="D13" s="1">
        <v>46112</v>
      </c>
      <c r="E13" t="s">
        <v>1988</v>
      </c>
      <c r="G13" t="s">
        <v>2140</v>
      </c>
    </row>
    <row r="14" spans="1:10" x14ac:dyDescent="0.2">
      <c r="A14">
        <v>12</v>
      </c>
      <c r="B14" t="s">
        <v>2146</v>
      </c>
      <c r="C14" s="1">
        <v>29267</v>
      </c>
      <c r="D14" s="1">
        <v>46122</v>
      </c>
      <c r="E14" t="s">
        <v>1988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BAA0BD-4188-41F5-8948-BCC1383908CD}">
  <dimension ref="A1:G11"/>
  <sheetViews>
    <sheetView workbookViewId="0">
      <selection activeCell="E3" sqref="E3"/>
    </sheetView>
  </sheetViews>
  <sheetFormatPr baseColWidth="10" defaultRowHeight="15" x14ac:dyDescent="0.2"/>
  <cols>
    <col min="2" max="2" width="33" customWidth="1"/>
    <col min="3" max="3" width="22.83203125" customWidth="1"/>
    <col min="6" max="6" width="30.1640625" customWidth="1"/>
    <col min="7" max="7" width="58" customWidth="1"/>
  </cols>
  <sheetData>
    <row r="1" spans="1:7" x14ac:dyDescent="0.2">
      <c r="A1" t="s">
        <v>2005</v>
      </c>
      <c r="B1" t="s">
        <v>0</v>
      </c>
      <c r="C1" t="s">
        <v>1975</v>
      </c>
      <c r="D1" t="s">
        <v>1976</v>
      </c>
      <c r="E1" t="s">
        <v>2006</v>
      </c>
    </row>
    <row r="3" spans="1:7" x14ac:dyDescent="0.2">
      <c r="A3">
        <v>1</v>
      </c>
      <c r="B3" t="s">
        <v>2007</v>
      </c>
      <c r="C3" s="1">
        <v>26044</v>
      </c>
      <c r="D3" s="1">
        <v>45959</v>
      </c>
      <c r="E3" t="s">
        <v>2008</v>
      </c>
      <c r="G3" t="s">
        <v>2014</v>
      </c>
    </row>
    <row r="4" spans="1:7" x14ac:dyDescent="0.2">
      <c r="A4">
        <v>2</v>
      </c>
      <c r="B4" t="s">
        <v>2009</v>
      </c>
      <c r="C4" s="1">
        <v>33966</v>
      </c>
      <c r="D4" s="1">
        <v>45959</v>
      </c>
      <c r="E4" t="s">
        <v>2010</v>
      </c>
      <c r="G4" t="s">
        <v>2011</v>
      </c>
    </row>
    <row r="5" spans="1:7" x14ac:dyDescent="0.2">
      <c r="A5">
        <v>3</v>
      </c>
      <c r="B5" t="s">
        <v>2012</v>
      </c>
      <c r="C5" s="1">
        <v>32538</v>
      </c>
      <c r="D5" s="1">
        <v>45966</v>
      </c>
      <c r="E5" t="s">
        <v>2013</v>
      </c>
      <c r="G5" t="s">
        <v>1673</v>
      </c>
    </row>
    <row r="6" spans="1:7" x14ac:dyDescent="0.2">
      <c r="A6">
        <v>4</v>
      </c>
      <c r="B6" t="s">
        <v>2015</v>
      </c>
      <c r="C6" s="1">
        <v>23733</v>
      </c>
      <c r="D6" s="1">
        <v>45966</v>
      </c>
      <c r="E6" t="s">
        <v>2016</v>
      </c>
      <c r="G6" t="s">
        <v>2014</v>
      </c>
    </row>
    <row r="7" spans="1:7" x14ac:dyDescent="0.2">
      <c r="A7">
        <v>5</v>
      </c>
      <c r="B7" t="s">
        <v>2019</v>
      </c>
      <c r="C7" s="1">
        <v>19790</v>
      </c>
      <c r="D7" s="1">
        <v>45994</v>
      </c>
      <c r="E7" t="s">
        <v>2016</v>
      </c>
      <c r="G7" t="s">
        <v>2020</v>
      </c>
    </row>
    <row r="8" spans="1:7" x14ac:dyDescent="0.2">
      <c r="A8">
        <v>6</v>
      </c>
      <c r="B8" t="s">
        <v>2021</v>
      </c>
      <c r="C8" s="1">
        <v>18726</v>
      </c>
      <c r="D8" s="1">
        <v>45994</v>
      </c>
      <c r="E8" t="s">
        <v>2022</v>
      </c>
      <c r="G8" t="s">
        <v>2023</v>
      </c>
    </row>
    <row r="9" spans="1:7" x14ac:dyDescent="0.2">
      <c r="A9">
        <v>7</v>
      </c>
      <c r="B9" t="s">
        <v>2066</v>
      </c>
      <c r="C9" s="1">
        <v>33476</v>
      </c>
      <c r="D9" s="1">
        <v>46050</v>
      </c>
      <c r="E9" t="s">
        <v>2067</v>
      </c>
      <c r="G9" t="s">
        <v>2071</v>
      </c>
    </row>
    <row r="10" spans="1:7" x14ac:dyDescent="0.2">
      <c r="A10">
        <v>8</v>
      </c>
      <c r="B10" t="s">
        <v>2068</v>
      </c>
      <c r="C10" s="1">
        <v>14035</v>
      </c>
      <c r="D10" s="1">
        <v>45952</v>
      </c>
      <c r="E10" t="s">
        <v>2069</v>
      </c>
      <c r="G10" t="s">
        <v>2070</v>
      </c>
    </row>
    <row r="11" spans="1:7" x14ac:dyDescent="0.2">
      <c r="A11">
        <v>9</v>
      </c>
      <c r="B11" t="s">
        <v>2085</v>
      </c>
      <c r="C11" s="1">
        <v>22148</v>
      </c>
      <c r="D11" s="1">
        <v>46066</v>
      </c>
      <c r="E11" t="s">
        <v>2086</v>
      </c>
      <c r="G11" t="s">
        <v>2087</v>
      </c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3A0CFD-7724-4854-A476-A8A5F459D94E}">
  <dimension ref="B3:K55"/>
  <sheetViews>
    <sheetView topLeftCell="A31" workbookViewId="0">
      <selection activeCell="B3" sqref="A1:XFD1048576"/>
    </sheetView>
  </sheetViews>
  <sheetFormatPr baseColWidth="10" defaultRowHeight="15" x14ac:dyDescent="0.2"/>
  <cols>
    <col min="2" max="2" width="19" customWidth="1"/>
    <col min="3" max="3" width="23.33203125" customWidth="1"/>
    <col min="4" max="4" width="30.33203125" customWidth="1"/>
    <col min="5" max="5" width="31.6640625" customWidth="1"/>
    <col min="6" max="6" width="35" customWidth="1"/>
    <col min="7" max="7" width="30.1640625" customWidth="1"/>
    <col min="8" max="9" width="24.5" customWidth="1"/>
    <col min="10" max="10" width="21" customWidth="1"/>
  </cols>
  <sheetData>
    <row r="3" spans="2:11" x14ac:dyDescent="0.2">
      <c r="B3" t="s">
        <v>0</v>
      </c>
      <c r="C3" t="s">
        <v>1</v>
      </c>
      <c r="D3" t="s">
        <v>2</v>
      </c>
      <c r="E3" t="s">
        <v>3</v>
      </c>
      <c r="F3" t="s">
        <v>84</v>
      </c>
      <c r="G3" t="s">
        <v>1153</v>
      </c>
      <c r="H3" t="s">
        <v>1394</v>
      </c>
      <c r="I3" t="s">
        <v>1548</v>
      </c>
      <c r="J3" t="s">
        <v>1705</v>
      </c>
      <c r="K3" t="s">
        <v>1153</v>
      </c>
    </row>
    <row r="6" spans="2:11" x14ac:dyDescent="0.2">
      <c r="B6" t="s">
        <v>1409</v>
      </c>
      <c r="C6" s="1">
        <v>23687</v>
      </c>
      <c r="D6" s="1">
        <v>44967</v>
      </c>
      <c r="E6" t="s">
        <v>970</v>
      </c>
    </row>
    <row r="7" spans="2:11" x14ac:dyDescent="0.2">
      <c r="B7" t="s">
        <v>1411</v>
      </c>
      <c r="C7" s="1">
        <v>28626</v>
      </c>
      <c r="D7" s="1">
        <v>44981</v>
      </c>
      <c r="E7" t="s">
        <v>970</v>
      </c>
    </row>
    <row r="8" spans="2:11" x14ac:dyDescent="0.2">
      <c r="B8" t="s">
        <v>1455</v>
      </c>
      <c r="C8" s="1">
        <v>23945</v>
      </c>
      <c r="D8" s="1">
        <v>45121</v>
      </c>
      <c r="E8" t="s">
        <v>970</v>
      </c>
    </row>
    <row r="9" spans="2:11" x14ac:dyDescent="0.2">
      <c r="B9" t="s">
        <v>1482</v>
      </c>
      <c r="C9" s="1">
        <v>23371</v>
      </c>
      <c r="D9" s="1">
        <v>45177</v>
      </c>
      <c r="E9" t="s">
        <v>970</v>
      </c>
    </row>
    <row r="10" spans="2:11" x14ac:dyDescent="0.2">
      <c r="B10" t="s">
        <v>1587</v>
      </c>
      <c r="C10" s="1">
        <v>21872</v>
      </c>
      <c r="D10" s="1">
        <v>45369</v>
      </c>
      <c r="E10" t="s">
        <v>970</v>
      </c>
    </row>
    <row r="11" spans="2:11" x14ac:dyDescent="0.2">
      <c r="B11" t="s">
        <v>1608</v>
      </c>
      <c r="C11" s="1">
        <v>22498</v>
      </c>
      <c r="D11" s="1">
        <v>45401</v>
      </c>
      <c r="E11" t="s">
        <v>1609</v>
      </c>
      <c r="F11" t="s">
        <v>1610</v>
      </c>
    </row>
    <row r="12" spans="2:11" x14ac:dyDescent="0.2">
      <c r="B12" t="s">
        <v>1645</v>
      </c>
      <c r="C12" s="1">
        <v>17341</v>
      </c>
      <c r="D12" s="1">
        <v>45453</v>
      </c>
      <c r="E12" t="s">
        <v>73</v>
      </c>
    </row>
    <row r="13" spans="2:11" x14ac:dyDescent="0.2">
      <c r="B13" t="s">
        <v>1655</v>
      </c>
      <c r="C13" s="1">
        <v>20930</v>
      </c>
      <c r="D13" s="1">
        <v>45471</v>
      </c>
      <c r="E13" t="s">
        <v>73</v>
      </c>
    </row>
    <row r="14" spans="2:11" x14ac:dyDescent="0.2">
      <c r="B14" t="s">
        <v>1676</v>
      </c>
      <c r="C14" s="1">
        <v>20804</v>
      </c>
      <c r="D14" s="1">
        <v>45499</v>
      </c>
      <c r="E14" t="s">
        <v>29</v>
      </c>
    </row>
    <row r="15" spans="2:11" x14ac:dyDescent="0.2">
      <c r="B15" t="s">
        <v>1706</v>
      </c>
      <c r="C15" s="1">
        <v>23360</v>
      </c>
      <c r="D15" s="1">
        <v>45537</v>
      </c>
      <c r="E15" t="s">
        <v>1707</v>
      </c>
    </row>
    <row r="16" spans="2:11" x14ac:dyDescent="0.2">
      <c r="B16" t="s">
        <v>1719</v>
      </c>
      <c r="C16" s="1">
        <v>21438</v>
      </c>
      <c r="D16" s="1">
        <v>45551</v>
      </c>
      <c r="E16" t="s">
        <v>1707</v>
      </c>
    </row>
    <row r="17" spans="2:7" x14ac:dyDescent="0.2">
      <c r="B17" t="s">
        <v>1727</v>
      </c>
      <c r="C17" s="1">
        <v>20293</v>
      </c>
      <c r="D17" s="1">
        <v>45565</v>
      </c>
      <c r="E17" t="s">
        <v>73</v>
      </c>
    </row>
    <row r="18" spans="2:7" x14ac:dyDescent="0.2">
      <c r="B18" t="s">
        <v>1751</v>
      </c>
      <c r="C18" s="1">
        <v>25672</v>
      </c>
      <c r="D18" s="1">
        <v>45590</v>
      </c>
      <c r="E18" t="s">
        <v>73</v>
      </c>
    </row>
    <row r="19" spans="2:7" x14ac:dyDescent="0.2">
      <c r="B19" t="s">
        <v>1773</v>
      </c>
      <c r="C19" s="1">
        <v>31026</v>
      </c>
      <c r="D19" s="1">
        <v>45618</v>
      </c>
      <c r="E19" t="s">
        <v>1609</v>
      </c>
    </row>
    <row r="23" spans="2:7" x14ac:dyDescent="0.2">
      <c r="B23" t="s">
        <v>1800</v>
      </c>
    </row>
    <row r="25" spans="2:7" x14ac:dyDescent="0.2">
      <c r="B25" t="s">
        <v>28</v>
      </c>
      <c r="C25" s="1">
        <v>31446</v>
      </c>
      <c r="D25" s="1">
        <v>43451</v>
      </c>
      <c r="E25" t="s">
        <v>29</v>
      </c>
      <c r="F25" s="1">
        <v>43717</v>
      </c>
      <c r="G25" s="1">
        <v>44791</v>
      </c>
    </row>
    <row r="26" spans="2:7" x14ac:dyDescent="0.2">
      <c r="B26" t="s">
        <v>38</v>
      </c>
      <c r="C26" s="1">
        <v>26816</v>
      </c>
      <c r="D26" s="1">
        <v>43493</v>
      </c>
      <c r="E26" t="s">
        <v>29</v>
      </c>
      <c r="F26" s="1">
        <v>43689</v>
      </c>
      <c r="G26" s="1">
        <v>45523</v>
      </c>
    </row>
    <row r="27" spans="2:7" x14ac:dyDescent="0.2">
      <c r="B27" t="s">
        <v>49</v>
      </c>
      <c r="C27" s="1">
        <v>12290</v>
      </c>
      <c r="D27" s="1">
        <v>43507</v>
      </c>
      <c r="E27" t="s">
        <v>29</v>
      </c>
    </row>
    <row r="28" spans="2:7" x14ac:dyDescent="0.2">
      <c r="B28" t="s">
        <v>50</v>
      </c>
      <c r="C28" s="1">
        <v>19725</v>
      </c>
      <c r="D28" s="1">
        <v>43507</v>
      </c>
      <c r="E28" t="s">
        <v>29</v>
      </c>
      <c r="F28" s="1">
        <v>43745</v>
      </c>
    </row>
    <row r="29" spans="2:7" x14ac:dyDescent="0.2">
      <c r="B29" t="s">
        <v>52</v>
      </c>
      <c r="C29" s="1">
        <v>33555</v>
      </c>
      <c r="D29" s="1">
        <v>43514</v>
      </c>
      <c r="E29" t="s">
        <v>29</v>
      </c>
    </row>
    <row r="30" spans="2:7" x14ac:dyDescent="0.2">
      <c r="B30" t="s">
        <v>56</v>
      </c>
      <c r="C30" s="1">
        <v>21725</v>
      </c>
      <c r="D30" s="1">
        <v>43521</v>
      </c>
      <c r="E30" t="s">
        <v>53</v>
      </c>
      <c r="F30" s="1">
        <v>43773</v>
      </c>
      <c r="G30" s="1">
        <v>44883</v>
      </c>
    </row>
    <row r="31" spans="2:7" x14ac:dyDescent="0.2">
      <c r="B31" t="s">
        <v>58</v>
      </c>
      <c r="C31" s="1">
        <v>21872</v>
      </c>
      <c r="D31" s="1">
        <v>43528</v>
      </c>
      <c r="E31" t="s">
        <v>53</v>
      </c>
      <c r="F31" s="1">
        <v>43759</v>
      </c>
      <c r="G31" s="1">
        <v>45131</v>
      </c>
    </row>
    <row r="32" spans="2:7" x14ac:dyDescent="0.2">
      <c r="B32" t="s">
        <v>59</v>
      </c>
      <c r="C32" s="1">
        <v>21814</v>
      </c>
      <c r="D32" s="1">
        <v>43528</v>
      </c>
      <c r="E32" t="s">
        <v>53</v>
      </c>
    </row>
    <row r="33" spans="2:10" x14ac:dyDescent="0.2">
      <c r="B33" t="s">
        <v>71</v>
      </c>
      <c r="C33" s="1">
        <v>24925</v>
      </c>
      <c r="D33" s="1">
        <v>43605</v>
      </c>
      <c r="E33" t="s">
        <v>29</v>
      </c>
      <c r="F33" s="1">
        <v>43766</v>
      </c>
      <c r="G33" s="1">
        <v>44424</v>
      </c>
      <c r="H33" s="1">
        <v>44907</v>
      </c>
      <c r="I33" s="1">
        <v>45264</v>
      </c>
      <c r="J33" s="1">
        <v>45537</v>
      </c>
    </row>
    <row r="34" spans="2:10" x14ac:dyDescent="0.2">
      <c r="B34" t="s">
        <v>79</v>
      </c>
      <c r="C34" s="1">
        <v>20420</v>
      </c>
      <c r="D34" s="1">
        <v>43647</v>
      </c>
      <c r="E34" t="s">
        <v>29</v>
      </c>
      <c r="F34" s="1">
        <v>43773</v>
      </c>
    </row>
    <row r="35" spans="2:10" x14ac:dyDescent="0.2">
      <c r="B35" t="s">
        <v>313</v>
      </c>
      <c r="C35" s="1">
        <v>30190</v>
      </c>
      <c r="D35" s="1">
        <v>43752</v>
      </c>
      <c r="E35" t="s">
        <v>29</v>
      </c>
      <c r="F35" s="1">
        <v>44284</v>
      </c>
      <c r="G35" s="1">
        <v>44522</v>
      </c>
    </row>
    <row r="36" spans="2:10" x14ac:dyDescent="0.2">
      <c r="B36" t="s">
        <v>971</v>
      </c>
      <c r="C36" s="1">
        <v>24050</v>
      </c>
      <c r="D36" s="1">
        <v>43801</v>
      </c>
      <c r="E36" t="s">
        <v>970</v>
      </c>
    </row>
    <row r="37" spans="2:10" x14ac:dyDescent="0.2">
      <c r="B37" t="s">
        <v>957</v>
      </c>
      <c r="C37" s="1">
        <v>22558</v>
      </c>
      <c r="D37" s="1">
        <v>43903</v>
      </c>
      <c r="E37" t="s">
        <v>956</v>
      </c>
    </row>
    <row r="38" spans="2:10" x14ac:dyDescent="0.2">
      <c r="B38" t="s">
        <v>925</v>
      </c>
      <c r="C38" s="1">
        <v>20474</v>
      </c>
      <c r="D38" s="1">
        <v>43976</v>
      </c>
      <c r="E38" t="s">
        <v>29</v>
      </c>
      <c r="F38" s="1">
        <v>44400</v>
      </c>
      <c r="G38" s="1">
        <v>44802</v>
      </c>
      <c r="H38" s="1">
        <v>45593</v>
      </c>
    </row>
    <row r="39" spans="2:10" x14ac:dyDescent="0.2">
      <c r="B39" t="s">
        <v>918</v>
      </c>
      <c r="C39" s="1">
        <v>20092</v>
      </c>
      <c r="D39" s="1">
        <v>44001</v>
      </c>
      <c r="E39" t="s">
        <v>29</v>
      </c>
    </row>
    <row r="40" spans="2:10" x14ac:dyDescent="0.2">
      <c r="B40" t="s">
        <v>890</v>
      </c>
      <c r="C40" s="1">
        <v>15713</v>
      </c>
      <c r="D40" s="1">
        <v>44050</v>
      </c>
      <c r="E40" t="s">
        <v>873</v>
      </c>
    </row>
    <row r="41" spans="2:10" x14ac:dyDescent="0.2">
      <c r="B41" t="s">
        <v>880</v>
      </c>
      <c r="C41" s="1">
        <v>31678</v>
      </c>
      <c r="D41" s="1">
        <v>44081</v>
      </c>
      <c r="E41" t="s">
        <v>873</v>
      </c>
    </row>
    <row r="42" spans="2:10" x14ac:dyDescent="0.2">
      <c r="B42" t="s">
        <v>876</v>
      </c>
      <c r="C42" s="1">
        <v>22660</v>
      </c>
      <c r="D42" s="1">
        <v>44099</v>
      </c>
      <c r="E42" t="s">
        <v>873</v>
      </c>
      <c r="F42" s="1">
        <v>44890</v>
      </c>
    </row>
    <row r="43" spans="2:10" x14ac:dyDescent="0.2">
      <c r="B43" t="s">
        <v>874</v>
      </c>
      <c r="C43" s="1">
        <v>15153</v>
      </c>
      <c r="D43" s="1">
        <v>44116</v>
      </c>
      <c r="E43" t="s">
        <v>873</v>
      </c>
    </row>
    <row r="44" spans="2:10" x14ac:dyDescent="0.2">
      <c r="B44" t="s">
        <v>1120</v>
      </c>
      <c r="C44" s="1">
        <v>23421</v>
      </c>
      <c r="D44" s="1">
        <v>44354</v>
      </c>
      <c r="E44" t="s">
        <v>873</v>
      </c>
    </row>
    <row r="45" spans="2:10" x14ac:dyDescent="0.2">
      <c r="B45" t="s">
        <v>1161</v>
      </c>
      <c r="C45" s="1">
        <v>25245</v>
      </c>
      <c r="D45" s="1">
        <v>44445</v>
      </c>
      <c r="E45" t="s">
        <v>873</v>
      </c>
    </row>
    <row r="46" spans="2:10" x14ac:dyDescent="0.2">
      <c r="B46" t="s">
        <v>1165</v>
      </c>
      <c r="C46" s="1">
        <v>15879</v>
      </c>
      <c r="D46" s="1">
        <v>44459</v>
      </c>
      <c r="E46" t="s">
        <v>873</v>
      </c>
      <c r="F46" s="1">
        <v>44540</v>
      </c>
      <c r="G46" s="1">
        <v>45131</v>
      </c>
      <c r="H46" s="1">
        <v>45411</v>
      </c>
    </row>
    <row r="47" spans="2:10" x14ac:dyDescent="0.2">
      <c r="B47" t="s">
        <v>1169</v>
      </c>
      <c r="C47" s="1">
        <v>20047</v>
      </c>
      <c r="D47" s="1">
        <v>44473</v>
      </c>
      <c r="E47" t="s">
        <v>873</v>
      </c>
    </row>
    <row r="48" spans="2:10" x14ac:dyDescent="0.2">
      <c r="B48" t="s">
        <v>1172</v>
      </c>
      <c r="C48" s="1">
        <v>20935</v>
      </c>
      <c r="D48" s="1">
        <v>44480</v>
      </c>
      <c r="E48" t="s">
        <v>873</v>
      </c>
    </row>
    <row r="49" spans="2:7" x14ac:dyDescent="0.2">
      <c r="B49" t="s">
        <v>1186</v>
      </c>
      <c r="C49" s="1">
        <v>24798</v>
      </c>
      <c r="D49" s="1">
        <v>44529</v>
      </c>
      <c r="E49" t="s">
        <v>873</v>
      </c>
    </row>
    <row r="50" spans="2:7" x14ac:dyDescent="0.2">
      <c r="B50" t="s">
        <v>1187</v>
      </c>
      <c r="C50" s="1">
        <v>39408</v>
      </c>
      <c r="D50" s="1">
        <v>44529</v>
      </c>
      <c r="E50" t="s">
        <v>873</v>
      </c>
      <c r="F50" s="1">
        <v>44760</v>
      </c>
      <c r="G50" s="1">
        <v>44935</v>
      </c>
    </row>
    <row r="51" spans="2:7" x14ac:dyDescent="0.2">
      <c r="B51" t="s">
        <v>1267</v>
      </c>
      <c r="C51" s="1">
        <v>15967</v>
      </c>
      <c r="D51" s="1">
        <v>44575</v>
      </c>
      <c r="E51" t="s">
        <v>873</v>
      </c>
    </row>
    <row r="52" spans="2:7" x14ac:dyDescent="0.2">
      <c r="B52" t="s">
        <v>1255</v>
      </c>
      <c r="C52" s="1">
        <v>15022</v>
      </c>
      <c r="D52" s="1">
        <v>44550</v>
      </c>
      <c r="E52" t="s">
        <v>873</v>
      </c>
    </row>
    <row r="53" spans="2:7" x14ac:dyDescent="0.2">
      <c r="B53" t="s">
        <v>1263</v>
      </c>
      <c r="C53" s="1">
        <v>21560</v>
      </c>
      <c r="D53" s="1">
        <v>44659</v>
      </c>
      <c r="E53" t="s">
        <v>873</v>
      </c>
    </row>
    <row r="54" spans="2:7" x14ac:dyDescent="0.2">
      <c r="B54" t="s">
        <v>1367</v>
      </c>
      <c r="C54" s="1">
        <v>22286</v>
      </c>
      <c r="D54" s="1">
        <v>44715</v>
      </c>
      <c r="E54" t="s">
        <v>970</v>
      </c>
    </row>
    <row r="55" spans="2:7" x14ac:dyDescent="0.2">
      <c r="B55" t="s">
        <v>1391</v>
      </c>
      <c r="C55" s="1">
        <v>22501</v>
      </c>
      <c r="D55" s="1">
        <v>44858</v>
      </c>
      <c r="E55" t="s">
        <v>970</v>
      </c>
    </row>
  </sheetData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K32"/>
  <sheetViews>
    <sheetView topLeftCell="A16" workbookViewId="0">
      <selection activeCell="C34" sqref="C34"/>
    </sheetView>
  </sheetViews>
  <sheetFormatPr baseColWidth="10" defaultRowHeight="15" x14ac:dyDescent="0.2"/>
  <cols>
    <col min="2" max="2" width="14.1640625" bestFit="1" customWidth="1"/>
    <col min="3" max="7" width="14.1640625" customWidth="1"/>
    <col min="8" max="8" width="17.5" bestFit="1" customWidth="1"/>
    <col min="9" max="9" width="46.6640625" bestFit="1" customWidth="1"/>
    <col min="10" max="10" width="14.33203125" bestFit="1" customWidth="1"/>
    <col min="16" max="16" width="14.6640625" bestFit="1" customWidth="1"/>
    <col min="28" max="28" width="14.6640625" bestFit="1" customWidth="1"/>
  </cols>
  <sheetData>
    <row r="1" spans="1:37" x14ac:dyDescent="0.2">
      <c r="C1" t="s">
        <v>1</v>
      </c>
      <c r="D1" t="s">
        <v>124</v>
      </c>
      <c r="E1" t="s">
        <v>125</v>
      </c>
      <c r="F1" t="s">
        <v>126</v>
      </c>
      <c r="G1" t="s">
        <v>127</v>
      </c>
      <c r="H1" s="6" t="s">
        <v>95</v>
      </c>
      <c r="I1" t="s">
        <v>96</v>
      </c>
      <c r="J1" t="s">
        <v>122</v>
      </c>
      <c r="K1" t="s">
        <v>102</v>
      </c>
      <c r="L1" t="s">
        <v>98</v>
      </c>
      <c r="M1" t="s">
        <v>361</v>
      </c>
      <c r="N1" t="s">
        <v>100</v>
      </c>
      <c r="P1" s="6" t="s">
        <v>120</v>
      </c>
      <c r="Q1" s="6" t="s">
        <v>102</v>
      </c>
      <c r="R1" s="6" t="s">
        <v>98</v>
      </c>
      <c r="S1" s="6" t="s">
        <v>361</v>
      </c>
      <c r="T1" s="6" t="s">
        <v>360</v>
      </c>
      <c r="V1" s="6" t="s">
        <v>123</v>
      </c>
      <c r="W1" s="6" t="s">
        <v>102</v>
      </c>
      <c r="X1" s="6" t="s">
        <v>98</v>
      </c>
      <c r="Y1" s="6" t="s">
        <v>361</v>
      </c>
      <c r="Z1" s="6" t="s">
        <v>100</v>
      </c>
      <c r="AB1" t="s">
        <v>310</v>
      </c>
      <c r="AC1" s="6" t="s">
        <v>102</v>
      </c>
      <c r="AD1" s="6" t="s">
        <v>98</v>
      </c>
      <c r="AE1" s="6" t="s">
        <v>361</v>
      </c>
      <c r="AF1" s="6" t="s">
        <v>360</v>
      </c>
      <c r="AI1" s="12" t="str">
        <f>'Auswertung IgG 4'!W1</f>
        <v>TBR FAPI</v>
      </c>
      <c r="AK1" s="4" t="s">
        <v>357</v>
      </c>
    </row>
    <row r="2" spans="1:37" x14ac:dyDescent="0.2">
      <c r="A2">
        <v>1</v>
      </c>
      <c r="B2" s="4" t="s">
        <v>28</v>
      </c>
      <c r="C2" s="1">
        <v>31446</v>
      </c>
      <c r="D2" s="1">
        <v>43451</v>
      </c>
      <c r="E2" s="1">
        <v>43717</v>
      </c>
      <c r="F2" s="1">
        <v>43551</v>
      </c>
      <c r="G2" s="1">
        <v>43718</v>
      </c>
      <c r="H2" s="6">
        <v>1</v>
      </c>
      <c r="I2" s="4" t="s">
        <v>129</v>
      </c>
      <c r="J2" s="6">
        <v>8.1</v>
      </c>
      <c r="K2" s="6">
        <v>5.7</v>
      </c>
      <c r="L2" s="6">
        <v>4.8</v>
      </c>
      <c r="M2" s="6">
        <v>4.2</v>
      </c>
      <c r="N2" s="6">
        <f>(L2*M2)</f>
        <v>20.16</v>
      </c>
      <c r="P2" s="6">
        <v>9.6999999999999993</v>
      </c>
      <c r="Q2" s="6">
        <v>6.6</v>
      </c>
      <c r="R2" s="6">
        <v>5.2</v>
      </c>
      <c r="S2" s="6">
        <v>7.4</v>
      </c>
      <c r="T2" s="6">
        <f>(R2*S2)</f>
        <v>38.480000000000004</v>
      </c>
      <c r="V2" s="6">
        <v>0</v>
      </c>
      <c r="W2" s="6">
        <v>0</v>
      </c>
      <c r="X2" s="6">
        <v>0</v>
      </c>
      <c r="Y2" s="6">
        <v>0</v>
      </c>
      <c r="Z2" s="6">
        <v>0</v>
      </c>
      <c r="AB2" s="6">
        <v>6.1</v>
      </c>
      <c r="AC2" s="6">
        <v>4.5999999999999996</v>
      </c>
      <c r="AD2" s="6">
        <v>3.5</v>
      </c>
      <c r="AE2" s="6">
        <v>8.6</v>
      </c>
      <c r="AF2" s="6">
        <f>(AD2*AE2)</f>
        <v>30.099999999999998</v>
      </c>
      <c r="AI2" s="6">
        <f>'Auswertung IgG 4'!W2</f>
        <v>10.777777777777777</v>
      </c>
      <c r="AK2">
        <v>4.7647058823529411</v>
      </c>
    </row>
    <row r="3" spans="1:37" x14ac:dyDescent="0.2">
      <c r="C3" s="1"/>
      <c r="D3" s="1"/>
      <c r="E3" s="1"/>
      <c r="F3" s="1"/>
      <c r="G3" s="1"/>
      <c r="H3" s="6"/>
      <c r="J3" s="6"/>
      <c r="K3" s="6"/>
      <c r="L3" s="6"/>
      <c r="M3" s="6"/>
      <c r="N3" s="6"/>
      <c r="P3" s="6"/>
      <c r="Q3" s="6"/>
      <c r="R3" s="6"/>
      <c r="S3" s="6"/>
      <c r="T3" s="6"/>
      <c r="V3" s="6"/>
      <c r="W3" s="6"/>
      <c r="X3" s="6"/>
      <c r="Y3" s="6"/>
      <c r="Z3" s="6"/>
      <c r="AB3" s="6"/>
      <c r="AC3" s="6"/>
      <c r="AD3" s="6"/>
      <c r="AE3" s="6"/>
      <c r="AF3" s="6"/>
      <c r="AI3" s="6">
        <f>'Auswertung IgG 4'!W3</f>
        <v>0</v>
      </c>
    </row>
    <row r="4" spans="1:37" x14ac:dyDescent="0.2">
      <c r="A4">
        <v>2</v>
      </c>
      <c r="B4" t="s">
        <v>50</v>
      </c>
      <c r="C4" s="1">
        <v>19725</v>
      </c>
      <c r="D4" s="1">
        <v>43507</v>
      </c>
      <c r="E4" s="1">
        <v>43745</v>
      </c>
      <c r="F4" s="1">
        <v>43501</v>
      </c>
      <c r="G4" s="1">
        <v>43746</v>
      </c>
      <c r="H4" s="6">
        <v>1</v>
      </c>
      <c r="I4" t="s">
        <v>131</v>
      </c>
      <c r="J4">
        <v>5</v>
      </c>
      <c r="K4">
        <v>4</v>
      </c>
      <c r="L4">
        <v>2.7</v>
      </c>
      <c r="M4">
        <v>37.6</v>
      </c>
      <c r="N4" s="6">
        <f>(L4*M4)</f>
        <v>101.52000000000001</v>
      </c>
      <c r="P4" s="6">
        <v>7.1</v>
      </c>
      <c r="Q4" s="6">
        <v>5.5</v>
      </c>
      <c r="R4" s="6">
        <v>3.7</v>
      </c>
      <c r="S4" s="6">
        <v>29.9</v>
      </c>
      <c r="T4" s="6">
        <f t="shared" ref="T4:T29" si="0">(R4*S4)</f>
        <v>110.63</v>
      </c>
      <c r="V4">
        <v>0</v>
      </c>
      <c r="W4">
        <v>0</v>
      </c>
      <c r="X4">
        <v>0</v>
      </c>
      <c r="Y4">
        <v>0</v>
      </c>
      <c r="Z4">
        <v>0</v>
      </c>
      <c r="AB4" s="6">
        <v>4.2</v>
      </c>
      <c r="AC4" s="6">
        <v>2.8</v>
      </c>
      <c r="AD4" s="6">
        <v>2.2000000000000002</v>
      </c>
      <c r="AE4" s="6">
        <v>14.8</v>
      </c>
      <c r="AF4" s="6">
        <f>(AD4*AE4)</f>
        <v>32.56</v>
      </c>
      <c r="AI4" s="6">
        <f>'Auswertung IgG 4'!W4</f>
        <v>8.8749999999999982</v>
      </c>
      <c r="AK4">
        <v>3.3333333333333335</v>
      </c>
    </row>
    <row r="5" spans="1:37" x14ac:dyDescent="0.2">
      <c r="C5" s="1"/>
      <c r="D5" s="1"/>
      <c r="E5" s="1"/>
      <c r="F5" s="1"/>
      <c r="G5" s="1"/>
      <c r="H5" s="6"/>
      <c r="N5" s="6"/>
      <c r="P5" s="6"/>
      <c r="Q5" s="6"/>
      <c r="R5" s="6"/>
      <c r="S5" s="6"/>
      <c r="T5" s="6"/>
      <c r="AB5" s="6"/>
      <c r="AC5" s="6"/>
      <c r="AD5" s="6"/>
      <c r="AE5" s="6"/>
      <c r="AF5" s="6"/>
      <c r="AI5" s="6">
        <f>'Auswertung IgG 4'!W5</f>
        <v>0</v>
      </c>
    </row>
    <row r="6" spans="1:37" x14ac:dyDescent="0.2">
      <c r="A6">
        <v>3</v>
      </c>
      <c r="B6" s="4" t="s">
        <v>71</v>
      </c>
      <c r="C6" s="1">
        <v>24925</v>
      </c>
      <c r="D6" s="1">
        <v>43605</v>
      </c>
      <c r="E6" s="1">
        <v>43766</v>
      </c>
      <c r="F6" s="1">
        <v>43606</v>
      </c>
      <c r="G6" s="1">
        <v>43767</v>
      </c>
      <c r="H6" s="6">
        <v>1</v>
      </c>
      <c r="I6" s="4" t="s">
        <v>132</v>
      </c>
      <c r="J6">
        <v>12.8</v>
      </c>
      <c r="K6">
        <v>10.199999999999999</v>
      </c>
      <c r="L6">
        <v>8.9</v>
      </c>
      <c r="M6">
        <v>3.5</v>
      </c>
      <c r="N6" s="6">
        <f>(L6*M6)</f>
        <v>31.150000000000002</v>
      </c>
      <c r="P6" s="6">
        <v>10.3</v>
      </c>
      <c r="Q6" s="6">
        <v>4.4000000000000004</v>
      </c>
      <c r="R6" s="6">
        <v>6.5</v>
      </c>
      <c r="S6" s="6">
        <v>1.8</v>
      </c>
      <c r="T6" s="6">
        <f t="shared" si="0"/>
        <v>11.700000000000001</v>
      </c>
      <c r="V6">
        <v>0</v>
      </c>
      <c r="W6">
        <v>0</v>
      </c>
      <c r="X6">
        <v>0</v>
      </c>
      <c r="Y6">
        <v>0</v>
      </c>
      <c r="Z6">
        <v>0</v>
      </c>
      <c r="AB6" s="6">
        <v>1.8</v>
      </c>
      <c r="AC6" s="6">
        <v>1.2</v>
      </c>
      <c r="AD6" s="6">
        <v>1.2</v>
      </c>
      <c r="AE6" s="6">
        <v>1.6</v>
      </c>
      <c r="AF6" s="6">
        <f t="shared" ref="AF6:AF19" si="1">(AD6*AE6)</f>
        <v>1.92</v>
      </c>
      <c r="AI6" s="6">
        <f>'Auswertung IgG 4'!W6</f>
        <v>9.8877551020408152</v>
      </c>
      <c r="AK6">
        <v>3.384615384615385</v>
      </c>
    </row>
    <row r="7" spans="1:37" x14ac:dyDescent="0.2">
      <c r="H7" s="6">
        <v>1</v>
      </c>
      <c r="I7" s="4" t="s">
        <v>133</v>
      </c>
      <c r="P7" s="6">
        <v>3.3</v>
      </c>
      <c r="Q7" s="6">
        <v>1.4</v>
      </c>
      <c r="R7" s="6">
        <v>2.1</v>
      </c>
      <c r="S7" s="6">
        <v>1.1000000000000001</v>
      </c>
      <c r="T7" s="6">
        <f t="shared" si="0"/>
        <v>2.3100000000000005</v>
      </c>
      <c r="V7" t="s">
        <v>141</v>
      </c>
      <c r="W7" t="s">
        <v>141</v>
      </c>
      <c r="X7" t="s">
        <v>141</v>
      </c>
      <c r="Y7" t="s">
        <v>141</v>
      </c>
      <c r="Z7" t="s">
        <v>141</v>
      </c>
      <c r="AB7" s="6">
        <v>1.1000000000000001</v>
      </c>
      <c r="AC7" s="6">
        <v>0.7</v>
      </c>
      <c r="AD7" s="6">
        <v>0.7</v>
      </c>
      <c r="AE7" s="6">
        <v>0.9</v>
      </c>
      <c r="AF7" s="6">
        <f t="shared" si="1"/>
        <v>0.63</v>
      </c>
      <c r="AI7" s="6">
        <f>'Auswertung IgG 4'!W7</f>
        <v>0</v>
      </c>
    </row>
    <row r="8" spans="1:37" x14ac:dyDescent="0.2">
      <c r="H8" s="6">
        <v>1</v>
      </c>
      <c r="I8" s="4" t="s">
        <v>134</v>
      </c>
      <c r="J8">
        <v>14.4</v>
      </c>
      <c r="K8">
        <v>10.3</v>
      </c>
      <c r="L8">
        <v>8</v>
      </c>
      <c r="M8">
        <v>8.3000000000000007</v>
      </c>
      <c r="N8" s="8">
        <f>(L8*M8)</f>
        <v>66.400000000000006</v>
      </c>
      <c r="P8" s="6">
        <v>11.9</v>
      </c>
      <c r="Q8" s="6">
        <v>7.7</v>
      </c>
      <c r="R8" s="6">
        <v>6.8</v>
      </c>
      <c r="S8" s="6">
        <v>5.9</v>
      </c>
      <c r="T8" s="6">
        <f t="shared" si="0"/>
        <v>40.120000000000005</v>
      </c>
      <c r="V8" s="8">
        <v>0</v>
      </c>
      <c r="W8" s="8">
        <v>0</v>
      </c>
      <c r="X8" s="8">
        <v>0</v>
      </c>
      <c r="Y8" s="8">
        <v>0</v>
      </c>
      <c r="Z8" s="8">
        <v>0</v>
      </c>
      <c r="AB8" s="6">
        <v>3.7</v>
      </c>
      <c r="AC8" s="6">
        <v>2.6</v>
      </c>
      <c r="AD8" s="6">
        <v>2.1</v>
      </c>
      <c r="AE8" s="6">
        <v>5.9</v>
      </c>
      <c r="AF8" s="6">
        <f t="shared" si="1"/>
        <v>12.39</v>
      </c>
      <c r="AI8" s="6">
        <f>'Auswertung IgG 4'!W8</f>
        <v>0</v>
      </c>
    </row>
    <row r="9" spans="1:37" x14ac:dyDescent="0.2">
      <c r="H9" s="6">
        <v>1</v>
      </c>
      <c r="I9" t="s">
        <v>135</v>
      </c>
      <c r="J9">
        <v>8.6</v>
      </c>
      <c r="K9">
        <v>5.9</v>
      </c>
      <c r="L9">
        <v>4.7</v>
      </c>
      <c r="M9">
        <v>21.5</v>
      </c>
      <c r="N9" s="8">
        <f t="shared" ref="N9:N19" si="2">(L9*M9)</f>
        <v>101.05</v>
      </c>
      <c r="P9" s="6">
        <v>11.3</v>
      </c>
      <c r="Q9" s="6">
        <v>7.7</v>
      </c>
      <c r="R9" s="6">
        <v>6.3</v>
      </c>
      <c r="S9" s="6">
        <v>23.6</v>
      </c>
      <c r="T9" s="6">
        <f t="shared" si="0"/>
        <v>148.68</v>
      </c>
      <c r="V9">
        <v>2.7</v>
      </c>
      <c r="W9">
        <v>2.2999999999999998</v>
      </c>
      <c r="X9">
        <v>1.8</v>
      </c>
      <c r="Y9">
        <v>4.5</v>
      </c>
      <c r="Z9" s="8">
        <f>(X9*Y9)</f>
        <v>8.1</v>
      </c>
      <c r="AB9" s="6">
        <v>4.2</v>
      </c>
      <c r="AC9" s="6">
        <v>3.1</v>
      </c>
      <c r="AD9" s="6">
        <v>2.2999999999999998</v>
      </c>
      <c r="AE9" s="6">
        <v>18</v>
      </c>
      <c r="AF9" s="6">
        <f t="shared" si="1"/>
        <v>41.4</v>
      </c>
      <c r="AI9" s="6">
        <f>'Auswertung IgG 4'!W9</f>
        <v>0</v>
      </c>
    </row>
    <row r="10" spans="1:37" x14ac:dyDescent="0.2">
      <c r="H10" s="6">
        <v>1</v>
      </c>
      <c r="I10" t="s">
        <v>136</v>
      </c>
      <c r="J10">
        <v>7.7</v>
      </c>
      <c r="K10">
        <v>4.8</v>
      </c>
      <c r="L10">
        <v>3.8</v>
      </c>
      <c r="M10">
        <v>26</v>
      </c>
      <c r="N10" s="8">
        <f t="shared" si="2"/>
        <v>98.8</v>
      </c>
      <c r="P10" s="6">
        <v>8.8000000000000007</v>
      </c>
      <c r="Q10" s="6">
        <v>6.4</v>
      </c>
      <c r="R10" s="6">
        <v>4.5999999999999996</v>
      </c>
      <c r="S10" s="6">
        <v>49.9</v>
      </c>
      <c r="T10" s="6">
        <f t="shared" si="0"/>
        <v>229.53999999999996</v>
      </c>
      <c r="V10">
        <v>0</v>
      </c>
      <c r="W10">
        <v>0</v>
      </c>
      <c r="X10">
        <v>0</v>
      </c>
      <c r="Y10">
        <v>0</v>
      </c>
      <c r="Z10">
        <v>0</v>
      </c>
      <c r="AB10" s="6">
        <v>4.0999999999999996</v>
      </c>
      <c r="AC10" s="6">
        <v>3</v>
      </c>
      <c r="AD10" s="6">
        <v>2.2000000000000002</v>
      </c>
      <c r="AE10" s="6">
        <v>19.100000000000001</v>
      </c>
      <c r="AF10" s="6">
        <f t="shared" si="1"/>
        <v>42.02</v>
      </c>
      <c r="AI10" s="6">
        <f>'Auswertung IgG 4'!W10</f>
        <v>0</v>
      </c>
    </row>
    <row r="11" spans="1:37" x14ac:dyDescent="0.2">
      <c r="H11" s="6">
        <v>1</v>
      </c>
      <c r="I11" t="s">
        <v>131</v>
      </c>
      <c r="J11">
        <v>4.3</v>
      </c>
      <c r="K11">
        <v>2.9</v>
      </c>
      <c r="L11">
        <v>2.2000000000000002</v>
      </c>
      <c r="M11">
        <v>31</v>
      </c>
      <c r="N11" s="8">
        <f t="shared" si="2"/>
        <v>68.2</v>
      </c>
      <c r="P11" s="6">
        <v>7.6</v>
      </c>
      <c r="Q11" s="6">
        <v>5</v>
      </c>
      <c r="R11" s="6">
        <v>3.9</v>
      </c>
      <c r="S11" s="6">
        <v>15.3</v>
      </c>
      <c r="T11" s="6">
        <f t="shared" si="0"/>
        <v>59.67</v>
      </c>
      <c r="V11">
        <v>0</v>
      </c>
      <c r="W11">
        <v>0</v>
      </c>
      <c r="X11">
        <v>0</v>
      </c>
      <c r="Y11">
        <v>0</v>
      </c>
      <c r="Z11">
        <v>0</v>
      </c>
      <c r="AB11" s="6">
        <v>3</v>
      </c>
      <c r="AC11" s="6">
        <v>2.4</v>
      </c>
      <c r="AD11" s="6">
        <v>1.6</v>
      </c>
      <c r="AE11" s="6">
        <v>11</v>
      </c>
      <c r="AF11" s="6">
        <f t="shared" si="1"/>
        <v>17.600000000000001</v>
      </c>
      <c r="AI11" s="6">
        <f>'Auswertung IgG 4'!W11</f>
        <v>0</v>
      </c>
    </row>
    <row r="12" spans="1:37" x14ac:dyDescent="0.2">
      <c r="H12" s="6">
        <v>1</v>
      </c>
      <c r="I12" t="s">
        <v>137</v>
      </c>
      <c r="J12">
        <v>2.9</v>
      </c>
      <c r="K12">
        <v>2.2999999999999998</v>
      </c>
      <c r="L12">
        <v>2.1</v>
      </c>
      <c r="M12">
        <v>2.4</v>
      </c>
      <c r="N12" s="8">
        <f t="shared" si="2"/>
        <v>5.04</v>
      </c>
      <c r="P12" s="6">
        <v>5.0999999999999996</v>
      </c>
      <c r="Q12" s="6">
        <v>3.2</v>
      </c>
      <c r="R12" s="6">
        <v>2.7</v>
      </c>
      <c r="S12" s="6">
        <v>4.7</v>
      </c>
      <c r="T12" s="6">
        <f t="shared" si="0"/>
        <v>12.690000000000001</v>
      </c>
      <c r="V12">
        <v>0</v>
      </c>
      <c r="W12">
        <v>0</v>
      </c>
      <c r="X12">
        <v>0</v>
      </c>
      <c r="Y12">
        <v>0</v>
      </c>
      <c r="Z12">
        <v>0</v>
      </c>
      <c r="AB12" s="6">
        <v>1.8</v>
      </c>
      <c r="AC12" s="6">
        <v>1.6</v>
      </c>
      <c r="AD12" s="6">
        <v>1.5</v>
      </c>
      <c r="AE12" s="6">
        <v>2.2000000000000002</v>
      </c>
      <c r="AF12" s="6">
        <f t="shared" si="1"/>
        <v>3.3000000000000003</v>
      </c>
      <c r="AI12" s="6">
        <f>'Auswertung IgG 4'!W12</f>
        <v>0</v>
      </c>
    </row>
    <row r="13" spans="1:37" x14ac:dyDescent="0.2">
      <c r="H13" s="6">
        <v>1</v>
      </c>
      <c r="I13" t="s">
        <v>138</v>
      </c>
      <c r="J13">
        <v>3.1</v>
      </c>
      <c r="K13">
        <v>2.7</v>
      </c>
      <c r="L13">
        <v>2.2000000000000002</v>
      </c>
      <c r="M13">
        <v>3.3</v>
      </c>
      <c r="N13" s="8">
        <f t="shared" si="2"/>
        <v>7.26</v>
      </c>
      <c r="P13" s="6">
        <v>6.8</v>
      </c>
      <c r="Q13" s="6">
        <v>4.5999999999999996</v>
      </c>
      <c r="R13" s="6">
        <v>3.9</v>
      </c>
      <c r="S13" s="6">
        <v>4.3</v>
      </c>
      <c r="T13" s="6">
        <f t="shared" si="0"/>
        <v>16.77</v>
      </c>
      <c r="V13">
        <v>0</v>
      </c>
      <c r="W13">
        <v>0</v>
      </c>
      <c r="X13">
        <v>0</v>
      </c>
      <c r="Y13">
        <v>0</v>
      </c>
      <c r="Z13">
        <v>0</v>
      </c>
      <c r="AB13" s="6">
        <v>2.5</v>
      </c>
      <c r="AC13" s="6">
        <v>2</v>
      </c>
      <c r="AD13" s="6">
        <v>1.4</v>
      </c>
      <c r="AE13" s="6">
        <v>2.1</v>
      </c>
      <c r="AF13" s="6">
        <f t="shared" si="1"/>
        <v>2.94</v>
      </c>
      <c r="AI13" s="6">
        <f>'Auswertung IgG 4'!W13</f>
        <v>0</v>
      </c>
    </row>
    <row r="14" spans="1:37" x14ac:dyDescent="0.2">
      <c r="H14" s="6">
        <v>1</v>
      </c>
      <c r="I14" t="s">
        <v>139</v>
      </c>
      <c r="J14">
        <v>2.9</v>
      </c>
      <c r="K14">
        <v>1.9</v>
      </c>
      <c r="L14">
        <v>2</v>
      </c>
      <c r="M14">
        <v>1</v>
      </c>
      <c r="N14" s="8">
        <f t="shared" si="2"/>
        <v>2</v>
      </c>
      <c r="P14" s="6">
        <v>2.6</v>
      </c>
      <c r="Q14" s="6">
        <v>2.1</v>
      </c>
      <c r="R14" s="6">
        <v>1.9</v>
      </c>
      <c r="S14" s="6">
        <v>1.9</v>
      </c>
      <c r="T14" s="6">
        <f t="shared" si="0"/>
        <v>3.61</v>
      </c>
      <c r="V14">
        <v>0</v>
      </c>
      <c r="W14">
        <v>0</v>
      </c>
      <c r="X14">
        <v>0</v>
      </c>
      <c r="Y14">
        <v>0</v>
      </c>
      <c r="Z14">
        <v>0</v>
      </c>
      <c r="AB14" s="6">
        <v>1.4</v>
      </c>
      <c r="AC14" s="6">
        <v>1.2</v>
      </c>
      <c r="AD14" s="6">
        <v>1.1000000000000001</v>
      </c>
      <c r="AE14" s="6">
        <v>1.2</v>
      </c>
      <c r="AF14" s="6">
        <f t="shared" si="1"/>
        <v>1.32</v>
      </c>
      <c r="AI14" s="6">
        <f>'Auswertung IgG 4'!W14</f>
        <v>0</v>
      </c>
    </row>
    <row r="15" spans="1:37" x14ac:dyDescent="0.2">
      <c r="H15" s="6">
        <v>1</v>
      </c>
      <c r="I15" t="s">
        <v>140</v>
      </c>
      <c r="J15">
        <v>2.5</v>
      </c>
      <c r="K15">
        <v>1.9</v>
      </c>
      <c r="L15">
        <v>2</v>
      </c>
      <c r="M15">
        <v>1.1000000000000001</v>
      </c>
      <c r="N15" s="8">
        <f t="shared" si="2"/>
        <v>2.2000000000000002</v>
      </c>
      <c r="P15" s="6">
        <v>3.6</v>
      </c>
      <c r="Q15" s="6">
        <v>2.4</v>
      </c>
      <c r="R15" s="6">
        <v>2.2000000000000002</v>
      </c>
      <c r="S15" s="6">
        <v>2.8</v>
      </c>
      <c r="T15" s="6">
        <f t="shared" si="0"/>
        <v>6.16</v>
      </c>
      <c r="V15">
        <v>0</v>
      </c>
      <c r="W15">
        <v>0</v>
      </c>
      <c r="X15">
        <v>0</v>
      </c>
      <c r="Y15">
        <v>0</v>
      </c>
      <c r="Z15">
        <v>0</v>
      </c>
      <c r="AB15" s="6">
        <v>2.1</v>
      </c>
      <c r="AC15" s="6">
        <v>2</v>
      </c>
      <c r="AD15" s="6">
        <v>1.9</v>
      </c>
      <c r="AE15" s="6">
        <v>2.1</v>
      </c>
      <c r="AF15" s="6">
        <f t="shared" si="1"/>
        <v>3.9899999999999998</v>
      </c>
      <c r="AI15" s="6">
        <f>'Auswertung IgG 4'!W15</f>
        <v>0</v>
      </c>
    </row>
    <row r="16" spans="1:37" x14ac:dyDescent="0.2">
      <c r="C16" s="1"/>
      <c r="D16" s="1"/>
      <c r="F16" s="1"/>
      <c r="H16" s="6">
        <v>1</v>
      </c>
      <c r="I16" t="s">
        <v>142</v>
      </c>
      <c r="J16">
        <v>3.6</v>
      </c>
      <c r="K16">
        <v>3.2</v>
      </c>
      <c r="L16">
        <v>2.5</v>
      </c>
      <c r="M16">
        <v>1.7</v>
      </c>
      <c r="N16" s="8">
        <f t="shared" si="2"/>
        <v>4.25</v>
      </c>
      <c r="P16" s="6">
        <v>3.2</v>
      </c>
      <c r="Q16" s="6">
        <v>2.2999999999999998</v>
      </c>
      <c r="R16" s="6">
        <v>2</v>
      </c>
      <c r="S16" s="6">
        <v>3</v>
      </c>
      <c r="T16" s="6">
        <f t="shared" si="0"/>
        <v>6</v>
      </c>
      <c r="V16">
        <v>0</v>
      </c>
      <c r="W16">
        <v>0</v>
      </c>
      <c r="X16">
        <v>0</v>
      </c>
      <c r="Y16">
        <v>0</v>
      </c>
      <c r="Z16">
        <v>0</v>
      </c>
      <c r="AB16" s="6">
        <v>2.4</v>
      </c>
      <c r="AC16" s="6">
        <v>2</v>
      </c>
      <c r="AD16" s="6">
        <v>1.8</v>
      </c>
      <c r="AE16" s="6">
        <v>2.8</v>
      </c>
      <c r="AF16" s="6">
        <f t="shared" si="1"/>
        <v>5.04</v>
      </c>
      <c r="AI16" s="6">
        <f>'Auswertung IgG 4'!W16</f>
        <v>0</v>
      </c>
    </row>
    <row r="17" spans="1:37" x14ac:dyDescent="0.2">
      <c r="C17" s="1"/>
      <c r="D17" s="1"/>
      <c r="F17" s="1"/>
      <c r="H17" s="6">
        <v>1</v>
      </c>
      <c r="I17" t="s">
        <v>144</v>
      </c>
      <c r="J17">
        <v>3.9</v>
      </c>
      <c r="K17">
        <v>3.2</v>
      </c>
      <c r="L17">
        <v>2.9</v>
      </c>
      <c r="M17">
        <v>1.4</v>
      </c>
      <c r="N17" s="8">
        <f t="shared" si="2"/>
        <v>4.0599999999999996</v>
      </c>
      <c r="P17" s="6">
        <v>5.0999999999999996</v>
      </c>
      <c r="Q17" s="6">
        <v>3.3</v>
      </c>
      <c r="R17" s="6">
        <v>3.1</v>
      </c>
      <c r="S17" s="6">
        <v>1.9</v>
      </c>
      <c r="T17" s="6">
        <f t="shared" si="0"/>
        <v>5.89</v>
      </c>
      <c r="V17">
        <v>0</v>
      </c>
      <c r="W17">
        <v>0</v>
      </c>
      <c r="X17">
        <v>0</v>
      </c>
      <c r="Y17">
        <v>0</v>
      </c>
      <c r="Z17">
        <v>0</v>
      </c>
      <c r="AB17" s="6">
        <v>2.2999999999999998</v>
      </c>
      <c r="AC17" s="6">
        <v>1.7</v>
      </c>
      <c r="AD17" s="6">
        <v>1.6</v>
      </c>
      <c r="AE17" s="6">
        <v>1</v>
      </c>
      <c r="AF17" s="6">
        <f t="shared" si="1"/>
        <v>1.6</v>
      </c>
      <c r="AI17" s="6">
        <f>'Auswertung IgG 4'!W17</f>
        <v>0</v>
      </c>
    </row>
    <row r="18" spans="1:37" x14ac:dyDescent="0.2">
      <c r="C18" s="1"/>
      <c r="D18" s="1"/>
      <c r="F18" s="1"/>
      <c r="H18" s="6">
        <v>1</v>
      </c>
      <c r="I18" t="s">
        <v>323</v>
      </c>
      <c r="J18">
        <v>6.2</v>
      </c>
      <c r="K18">
        <v>5</v>
      </c>
      <c r="L18">
        <v>4.2</v>
      </c>
      <c r="M18">
        <v>3.9</v>
      </c>
      <c r="N18" s="8">
        <f t="shared" si="2"/>
        <v>16.38</v>
      </c>
      <c r="P18" s="6">
        <v>6.9</v>
      </c>
      <c r="Q18" s="6">
        <v>6.6</v>
      </c>
      <c r="R18" s="6">
        <v>4.2</v>
      </c>
      <c r="S18" s="6">
        <v>22.8</v>
      </c>
      <c r="T18" s="6">
        <f t="shared" si="0"/>
        <v>95.76</v>
      </c>
      <c r="V18">
        <v>0</v>
      </c>
      <c r="W18">
        <v>0</v>
      </c>
      <c r="X18">
        <v>0</v>
      </c>
      <c r="Y18">
        <v>0</v>
      </c>
      <c r="Z18">
        <v>0</v>
      </c>
      <c r="AB18" s="6">
        <v>2.4</v>
      </c>
      <c r="AC18" s="6">
        <v>1.8</v>
      </c>
      <c r="AD18" s="6">
        <v>1.7</v>
      </c>
      <c r="AE18" s="6">
        <v>4.2</v>
      </c>
      <c r="AF18" s="6">
        <f t="shared" si="1"/>
        <v>7.14</v>
      </c>
      <c r="AI18" s="6">
        <f>'Auswertung IgG 4'!W18</f>
        <v>0</v>
      </c>
    </row>
    <row r="19" spans="1:37" x14ac:dyDescent="0.2">
      <c r="C19" s="1"/>
      <c r="D19" s="1"/>
      <c r="F19" s="1"/>
      <c r="H19" s="6">
        <v>1</v>
      </c>
      <c r="I19" t="s">
        <v>324</v>
      </c>
      <c r="J19">
        <v>6.3</v>
      </c>
      <c r="K19">
        <v>5.0999999999999996</v>
      </c>
      <c r="L19">
        <v>4.0999999999999996</v>
      </c>
      <c r="M19">
        <v>4.5999999999999996</v>
      </c>
      <c r="N19" s="8">
        <f t="shared" si="2"/>
        <v>18.859999999999996</v>
      </c>
      <c r="P19" s="6">
        <v>10.4</v>
      </c>
      <c r="Q19" s="6">
        <v>8.1</v>
      </c>
      <c r="R19" s="6">
        <v>6.4</v>
      </c>
      <c r="S19" s="6">
        <v>4.8</v>
      </c>
      <c r="T19" s="6">
        <f t="shared" si="0"/>
        <v>30.72</v>
      </c>
      <c r="V19">
        <v>0</v>
      </c>
      <c r="W19">
        <v>0</v>
      </c>
      <c r="X19">
        <v>0</v>
      </c>
      <c r="Y19">
        <v>0</v>
      </c>
      <c r="Z19">
        <v>0</v>
      </c>
      <c r="AB19" s="6">
        <v>2.5</v>
      </c>
      <c r="AC19" s="6">
        <v>1.9</v>
      </c>
      <c r="AD19" s="6">
        <v>1.8</v>
      </c>
      <c r="AE19" s="6">
        <v>2.8</v>
      </c>
      <c r="AF19" s="6">
        <f t="shared" si="1"/>
        <v>5.04</v>
      </c>
      <c r="AI19" s="6">
        <f>'Auswertung IgG 4'!W19</f>
        <v>0</v>
      </c>
    </row>
    <row r="20" spans="1:37" x14ac:dyDescent="0.2">
      <c r="C20" s="1"/>
      <c r="D20" s="1"/>
      <c r="F20" s="1"/>
      <c r="H20" s="6"/>
      <c r="N20" s="8"/>
      <c r="P20" s="6"/>
      <c r="Q20" s="6"/>
      <c r="R20" s="6"/>
      <c r="S20" s="6"/>
      <c r="T20" s="6"/>
      <c r="AI20" s="6">
        <f>'Auswertung IgG 4'!W20</f>
        <v>0</v>
      </c>
    </row>
    <row r="21" spans="1:37" x14ac:dyDescent="0.2">
      <c r="A21">
        <v>4</v>
      </c>
      <c r="B21" t="s">
        <v>58</v>
      </c>
      <c r="C21" s="1">
        <v>21872</v>
      </c>
      <c r="D21" s="1">
        <v>43528</v>
      </c>
      <c r="E21" s="1">
        <v>43759</v>
      </c>
      <c r="F21" s="1">
        <v>43531</v>
      </c>
      <c r="G21" s="1">
        <v>43760</v>
      </c>
      <c r="H21" s="6">
        <v>1</v>
      </c>
      <c r="I21" t="s">
        <v>318</v>
      </c>
      <c r="J21" s="6">
        <v>3.9</v>
      </c>
      <c r="K21" s="6">
        <v>3.2</v>
      </c>
      <c r="L21" s="6">
        <v>2.6</v>
      </c>
      <c r="M21" s="6">
        <v>3.6</v>
      </c>
      <c r="N21" s="8">
        <f>(L21*M21)</f>
        <v>9.3600000000000012</v>
      </c>
      <c r="P21" s="6">
        <v>8.9</v>
      </c>
      <c r="Q21" s="6">
        <v>5.6</v>
      </c>
      <c r="R21" s="6">
        <v>5.0999999999999996</v>
      </c>
      <c r="S21" s="6">
        <v>2.7</v>
      </c>
      <c r="T21" s="6">
        <f t="shared" si="0"/>
        <v>13.77</v>
      </c>
      <c r="V21" s="6">
        <v>0</v>
      </c>
      <c r="W21" s="6">
        <v>0</v>
      </c>
      <c r="X21" s="6">
        <v>0</v>
      </c>
      <c r="Y21" s="6">
        <v>0</v>
      </c>
      <c r="Z21" s="6">
        <v>0</v>
      </c>
      <c r="AB21" s="6">
        <v>0</v>
      </c>
      <c r="AC21" s="6">
        <v>0</v>
      </c>
      <c r="AD21" s="6">
        <v>0</v>
      </c>
      <c r="AE21" s="6">
        <v>0</v>
      </c>
      <c r="AF21" s="6">
        <v>0</v>
      </c>
      <c r="AI21" s="6">
        <f>'Auswertung IgG 4'!W21</f>
        <v>9.8888888888888893</v>
      </c>
      <c r="AK21">
        <v>2.6</v>
      </c>
    </row>
    <row r="22" spans="1:37" x14ac:dyDescent="0.2">
      <c r="H22" s="6"/>
      <c r="P22" s="6"/>
      <c r="Q22" s="6"/>
      <c r="R22" s="6"/>
      <c r="S22" s="6"/>
      <c r="T22" s="6"/>
      <c r="AI22" s="6">
        <f>'Auswertung IgG 4'!W22</f>
        <v>0</v>
      </c>
    </row>
    <row r="23" spans="1:37" x14ac:dyDescent="0.2">
      <c r="A23">
        <v>5</v>
      </c>
      <c r="B23" t="s">
        <v>79</v>
      </c>
      <c r="C23" s="1">
        <v>20420</v>
      </c>
      <c r="D23" s="1">
        <v>43647</v>
      </c>
      <c r="E23" s="1"/>
      <c r="F23" s="1">
        <v>43648</v>
      </c>
      <c r="G23" s="1"/>
      <c r="H23" s="6">
        <v>1</v>
      </c>
      <c r="I23" t="s">
        <v>142</v>
      </c>
      <c r="J23">
        <v>3.6</v>
      </c>
      <c r="K23">
        <v>3.2</v>
      </c>
      <c r="L23">
        <v>2.5</v>
      </c>
      <c r="M23">
        <v>1.7</v>
      </c>
      <c r="N23" s="8">
        <f t="shared" ref="N23:N28" si="3">(L23*M23)</f>
        <v>4.25</v>
      </c>
      <c r="P23" s="6">
        <v>3.2</v>
      </c>
      <c r="Q23" s="6">
        <v>2.2999999999999998</v>
      </c>
      <c r="R23" s="6">
        <v>2</v>
      </c>
      <c r="S23" s="6">
        <v>3</v>
      </c>
      <c r="T23" s="6">
        <f t="shared" si="0"/>
        <v>6</v>
      </c>
      <c r="V23">
        <v>0</v>
      </c>
      <c r="W23">
        <v>0</v>
      </c>
      <c r="X23">
        <v>0</v>
      </c>
      <c r="Y23">
        <v>0</v>
      </c>
      <c r="Z23">
        <v>0</v>
      </c>
      <c r="AB23" s="6">
        <v>1.6</v>
      </c>
      <c r="AC23" s="6">
        <v>1.4</v>
      </c>
      <c r="AD23" s="6">
        <v>1.2</v>
      </c>
      <c r="AE23" s="6">
        <v>2.4</v>
      </c>
      <c r="AF23" s="6">
        <f>(AD23*AE23)</f>
        <v>2.88</v>
      </c>
      <c r="AI23" s="6">
        <f>'Auswertung IgG 4'!W23</f>
        <v>4.9444444444444446</v>
      </c>
      <c r="AK23">
        <v>2</v>
      </c>
    </row>
    <row r="24" spans="1:37" x14ac:dyDescent="0.2">
      <c r="C24" s="1"/>
      <c r="D24" s="1"/>
      <c r="E24" s="1"/>
      <c r="F24" s="1"/>
      <c r="G24" s="1"/>
      <c r="H24" s="6">
        <v>1</v>
      </c>
      <c r="I24" s="4" t="s">
        <v>143</v>
      </c>
      <c r="J24">
        <v>3.6</v>
      </c>
      <c r="K24">
        <v>2.8</v>
      </c>
      <c r="L24">
        <v>2.6</v>
      </c>
      <c r="M24">
        <v>2</v>
      </c>
      <c r="N24" s="8">
        <f t="shared" si="3"/>
        <v>5.2</v>
      </c>
      <c r="P24" s="6">
        <v>5.7</v>
      </c>
      <c r="Q24" s="6">
        <v>3.6</v>
      </c>
      <c r="R24" s="6">
        <v>3.4</v>
      </c>
      <c r="S24" s="6">
        <v>1.7</v>
      </c>
      <c r="T24" s="6">
        <f t="shared" si="0"/>
        <v>5.7799999999999994</v>
      </c>
      <c r="V24">
        <v>0</v>
      </c>
      <c r="W24">
        <v>0</v>
      </c>
      <c r="X24">
        <v>0</v>
      </c>
      <c r="Y24">
        <v>0</v>
      </c>
      <c r="Z24">
        <v>0</v>
      </c>
      <c r="AB24">
        <v>2.9</v>
      </c>
      <c r="AC24">
        <v>2.2999999999999998</v>
      </c>
      <c r="AD24">
        <v>1.6</v>
      </c>
      <c r="AE24">
        <v>1.6</v>
      </c>
      <c r="AF24" s="6">
        <f>(AD24*AE24)</f>
        <v>2.5600000000000005</v>
      </c>
      <c r="AI24" s="6">
        <f>'Auswertung IgG 4'!W24</f>
        <v>0</v>
      </c>
    </row>
    <row r="25" spans="1:37" x14ac:dyDescent="0.2">
      <c r="H25" s="6"/>
      <c r="N25" s="8"/>
      <c r="P25" s="6"/>
      <c r="Q25" s="6"/>
      <c r="R25" s="6"/>
      <c r="S25" s="6"/>
      <c r="T25" s="6"/>
      <c r="AI25" s="6">
        <f>'Auswertung IgG 4'!W25</f>
        <v>0</v>
      </c>
    </row>
    <row r="26" spans="1:37" x14ac:dyDescent="0.2">
      <c r="A26">
        <v>6</v>
      </c>
      <c r="B26" s="4" t="s">
        <v>56</v>
      </c>
      <c r="C26" s="1">
        <v>21725</v>
      </c>
      <c r="D26" s="1">
        <v>43521</v>
      </c>
      <c r="E26" s="1">
        <v>43773</v>
      </c>
      <c r="F26" s="1">
        <v>43518</v>
      </c>
      <c r="G26" s="1">
        <v>43774</v>
      </c>
      <c r="H26" s="6">
        <v>1</v>
      </c>
      <c r="I26" t="s">
        <v>325</v>
      </c>
      <c r="J26">
        <v>10.8</v>
      </c>
      <c r="K26">
        <v>9.6999999999999993</v>
      </c>
      <c r="L26">
        <v>5.9</v>
      </c>
      <c r="M26">
        <v>6.9</v>
      </c>
      <c r="N26" s="8">
        <f t="shared" si="3"/>
        <v>40.710000000000008</v>
      </c>
      <c r="P26" s="6">
        <v>9.5</v>
      </c>
      <c r="Q26" s="6">
        <v>5.6</v>
      </c>
      <c r="R26" s="6">
        <v>4.9000000000000004</v>
      </c>
      <c r="S26" s="6">
        <v>4.4000000000000004</v>
      </c>
      <c r="T26" s="6">
        <f t="shared" si="0"/>
        <v>21.560000000000002</v>
      </c>
      <c r="V26">
        <v>12.7</v>
      </c>
      <c r="W26">
        <v>10.3</v>
      </c>
      <c r="X26">
        <v>7.4</v>
      </c>
      <c r="Y26">
        <v>6.2</v>
      </c>
      <c r="Z26" s="8">
        <f>(X26*Y26)</f>
        <v>45.88</v>
      </c>
      <c r="AB26" s="6">
        <v>7.3</v>
      </c>
      <c r="AC26" s="6">
        <v>4.7</v>
      </c>
      <c r="AD26" s="6">
        <v>4.3</v>
      </c>
      <c r="AE26" s="6">
        <v>6.4</v>
      </c>
      <c r="AF26" s="6">
        <f>(AD26*AE26)</f>
        <v>27.52</v>
      </c>
      <c r="AI26" s="6">
        <f>'Auswertung IgG 4'!W26</f>
        <v>6.4230769230769225</v>
      </c>
      <c r="AK26">
        <v>3.2745098039215685</v>
      </c>
    </row>
    <row r="27" spans="1:37" x14ac:dyDescent="0.2">
      <c r="H27" s="6">
        <v>1</v>
      </c>
      <c r="I27" t="s">
        <v>326</v>
      </c>
      <c r="J27">
        <v>3.2</v>
      </c>
      <c r="K27">
        <v>2.7</v>
      </c>
      <c r="L27">
        <v>2.2000000000000002</v>
      </c>
      <c r="M27">
        <v>3.6</v>
      </c>
      <c r="N27" s="8">
        <f t="shared" si="3"/>
        <v>7.9200000000000008</v>
      </c>
      <c r="P27" s="6">
        <v>9.4</v>
      </c>
      <c r="Q27" s="6">
        <v>7.4</v>
      </c>
      <c r="R27" s="6">
        <v>5.6</v>
      </c>
      <c r="S27" s="6">
        <v>9.3000000000000007</v>
      </c>
      <c r="T27" s="6">
        <f t="shared" si="0"/>
        <v>52.08</v>
      </c>
      <c r="V27">
        <v>0</v>
      </c>
      <c r="W27">
        <v>0</v>
      </c>
      <c r="X27">
        <v>0</v>
      </c>
      <c r="Y27">
        <v>0</v>
      </c>
      <c r="Z27">
        <v>0</v>
      </c>
      <c r="AB27">
        <v>3.1</v>
      </c>
      <c r="AC27">
        <v>2.6</v>
      </c>
      <c r="AD27">
        <v>1.9</v>
      </c>
      <c r="AE27">
        <v>4.2</v>
      </c>
      <c r="AF27" s="6">
        <f>(AD27*AE27)</f>
        <v>7.9799999999999995</v>
      </c>
      <c r="AH27" t="s">
        <v>339</v>
      </c>
      <c r="AI27" s="6">
        <f>'Auswertung IgG 4'!W27</f>
        <v>8.466157189371474</v>
      </c>
      <c r="AK27">
        <v>3.2261940673705376</v>
      </c>
    </row>
    <row r="28" spans="1:37" x14ac:dyDescent="0.2">
      <c r="H28" s="6">
        <v>1</v>
      </c>
      <c r="I28" t="s">
        <v>327</v>
      </c>
      <c r="J28">
        <v>2.7</v>
      </c>
      <c r="K28">
        <v>2.2999999999999998</v>
      </c>
      <c r="L28">
        <v>2.1</v>
      </c>
      <c r="M28">
        <v>3</v>
      </c>
      <c r="N28" s="8">
        <f t="shared" si="3"/>
        <v>6.3000000000000007</v>
      </c>
      <c r="P28" s="6">
        <v>9.1</v>
      </c>
      <c r="Q28" s="6">
        <v>7</v>
      </c>
      <c r="R28" s="6">
        <v>5.6</v>
      </c>
      <c r="S28" s="6">
        <v>8</v>
      </c>
      <c r="T28" s="6">
        <f t="shared" si="0"/>
        <v>44.8</v>
      </c>
      <c r="V28">
        <v>0</v>
      </c>
      <c r="W28">
        <v>0</v>
      </c>
      <c r="X28">
        <v>0</v>
      </c>
      <c r="Y28">
        <v>0</v>
      </c>
      <c r="Z28">
        <v>0</v>
      </c>
      <c r="AB28">
        <v>3.7</v>
      </c>
      <c r="AC28">
        <v>2.9</v>
      </c>
      <c r="AD28">
        <v>2.2000000000000002</v>
      </c>
      <c r="AE28">
        <v>5.4</v>
      </c>
      <c r="AF28" s="6">
        <f>(AD28*AE28)</f>
        <v>11.880000000000003</v>
      </c>
      <c r="AH28" t="s">
        <v>385</v>
      </c>
      <c r="AI28" s="6">
        <f>'Auswertung IgG 4'!W28</f>
        <v>2.2861533603399291</v>
      </c>
      <c r="AK28">
        <v>0.9275343715649923</v>
      </c>
    </row>
    <row r="29" spans="1:37" x14ac:dyDescent="0.2">
      <c r="H29" s="6">
        <v>1</v>
      </c>
      <c r="I29" s="4" t="s">
        <v>328</v>
      </c>
      <c r="J29" t="s">
        <v>141</v>
      </c>
      <c r="K29" t="s">
        <v>141</v>
      </c>
      <c r="L29" t="s">
        <v>141</v>
      </c>
      <c r="M29" t="s">
        <v>141</v>
      </c>
      <c r="N29" t="s">
        <v>141</v>
      </c>
      <c r="P29" s="6">
        <v>5.4</v>
      </c>
      <c r="Q29" s="6">
        <v>4</v>
      </c>
      <c r="R29" s="6">
        <v>2.8</v>
      </c>
      <c r="S29" s="6">
        <v>26.7</v>
      </c>
      <c r="T29" s="6">
        <f t="shared" si="0"/>
        <v>74.759999999999991</v>
      </c>
      <c r="V29" t="s">
        <v>141</v>
      </c>
      <c r="W29" t="s">
        <v>141</v>
      </c>
      <c r="X29" t="s">
        <v>141</v>
      </c>
      <c r="Y29" t="s">
        <v>141</v>
      </c>
      <c r="Z29" t="s">
        <v>141</v>
      </c>
      <c r="AB29">
        <v>2.4</v>
      </c>
      <c r="AC29">
        <v>1.5</v>
      </c>
      <c r="AD29">
        <v>1.2</v>
      </c>
      <c r="AE29">
        <v>14.4</v>
      </c>
      <c r="AF29" s="6">
        <f>(AD29*AE29)</f>
        <v>17.28</v>
      </c>
    </row>
    <row r="31" spans="1:37" x14ac:dyDescent="0.2">
      <c r="A31">
        <v>7</v>
      </c>
      <c r="B31" t="s">
        <v>38</v>
      </c>
      <c r="C31" s="1">
        <v>26816</v>
      </c>
      <c r="D31" s="1">
        <v>43493</v>
      </c>
      <c r="E31" s="1">
        <v>43689</v>
      </c>
      <c r="F31" s="1">
        <v>43490</v>
      </c>
      <c r="G31" s="1">
        <v>43690</v>
      </c>
      <c r="H31" s="6">
        <v>1</v>
      </c>
      <c r="I31" t="s">
        <v>359</v>
      </c>
      <c r="J31">
        <v>11.8</v>
      </c>
      <c r="K31">
        <v>7.6</v>
      </c>
      <c r="L31">
        <v>7.6</v>
      </c>
      <c r="M31">
        <v>0.8</v>
      </c>
      <c r="N31">
        <v>6.1</v>
      </c>
      <c r="P31" s="6">
        <v>0</v>
      </c>
      <c r="Q31" s="6">
        <v>0</v>
      </c>
      <c r="R31" s="6">
        <v>0</v>
      </c>
      <c r="S31" s="6">
        <v>0</v>
      </c>
      <c r="T31" s="6">
        <v>0</v>
      </c>
      <c r="V31">
        <v>8.5</v>
      </c>
      <c r="W31">
        <v>5.2</v>
      </c>
      <c r="X31">
        <v>4.8</v>
      </c>
      <c r="Y31">
        <v>2.2999999999999998</v>
      </c>
      <c r="Z31">
        <v>11.1</v>
      </c>
      <c r="AB31">
        <v>0</v>
      </c>
      <c r="AC31">
        <v>0</v>
      </c>
      <c r="AD31">
        <v>0</v>
      </c>
      <c r="AE31">
        <v>0</v>
      </c>
      <c r="AF31">
        <v>0</v>
      </c>
    </row>
    <row r="32" spans="1:37" x14ac:dyDescent="0.2">
      <c r="H32" s="6">
        <v>1</v>
      </c>
      <c r="I32" t="s">
        <v>359</v>
      </c>
      <c r="J32">
        <v>4.0999999999999996</v>
      </c>
      <c r="K32">
        <v>3.2</v>
      </c>
      <c r="L32">
        <v>2.6</v>
      </c>
      <c r="M32">
        <v>2.1</v>
      </c>
      <c r="N32">
        <v>5.5</v>
      </c>
      <c r="P32" s="6">
        <v>0</v>
      </c>
      <c r="Q32" s="6">
        <v>0</v>
      </c>
      <c r="R32" s="6">
        <v>0</v>
      </c>
      <c r="S32" s="6">
        <v>0</v>
      </c>
      <c r="T32">
        <v>0</v>
      </c>
      <c r="V32">
        <v>3.8</v>
      </c>
      <c r="W32">
        <v>2.9</v>
      </c>
      <c r="X32">
        <v>2.4</v>
      </c>
      <c r="Y32">
        <v>4.2</v>
      </c>
      <c r="Z32">
        <v>10.199999999999999</v>
      </c>
      <c r="AB32">
        <v>0</v>
      </c>
      <c r="AC32">
        <v>0</v>
      </c>
      <c r="AD32">
        <v>0</v>
      </c>
      <c r="AE32">
        <v>0</v>
      </c>
      <c r="AF32">
        <v>0</v>
      </c>
    </row>
  </sheetData>
  <pageMargins left="0.7" right="0.7" top="0.78740157499999996" bottom="0.78740157499999996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AE1C68-9A20-4867-88E9-6C9105F0674F}">
  <dimension ref="B3:F29"/>
  <sheetViews>
    <sheetView workbookViewId="0">
      <selection activeCell="B3" sqref="B3:F3"/>
    </sheetView>
  </sheetViews>
  <sheetFormatPr baseColWidth="10" defaultRowHeight="15" x14ac:dyDescent="0.2"/>
  <cols>
    <col min="2" max="2" width="26.5" customWidth="1"/>
    <col min="3" max="3" width="36.5" customWidth="1"/>
    <col min="4" max="4" width="43" customWidth="1"/>
    <col min="5" max="5" width="31.6640625" customWidth="1"/>
    <col min="6" max="6" width="27" customWidth="1"/>
  </cols>
  <sheetData>
    <row r="3" spans="2:6" x14ac:dyDescent="0.2">
      <c r="B3" t="s">
        <v>0</v>
      </c>
      <c r="C3" t="s">
        <v>1</v>
      </c>
      <c r="D3" t="s">
        <v>2</v>
      </c>
      <c r="E3" t="s">
        <v>3</v>
      </c>
      <c r="F3" t="s">
        <v>84</v>
      </c>
    </row>
    <row r="6" spans="2:6" x14ac:dyDescent="0.2">
      <c r="B6" t="s">
        <v>1401</v>
      </c>
      <c r="C6" s="1">
        <v>29594</v>
      </c>
      <c r="D6" s="1">
        <v>44946</v>
      </c>
      <c r="E6" t="s">
        <v>209</v>
      </c>
    </row>
    <row r="7" spans="2:6" x14ac:dyDescent="0.2">
      <c r="B7" t="s">
        <v>1416</v>
      </c>
      <c r="C7" s="1">
        <v>37403</v>
      </c>
      <c r="D7" s="1">
        <v>44988</v>
      </c>
      <c r="E7" t="s">
        <v>387</v>
      </c>
    </row>
    <row r="8" spans="2:6" x14ac:dyDescent="0.2">
      <c r="B8" t="s">
        <v>1418</v>
      </c>
      <c r="C8" s="1">
        <v>29824</v>
      </c>
      <c r="D8" s="1">
        <v>45005</v>
      </c>
      <c r="E8" t="s">
        <v>387</v>
      </c>
    </row>
    <row r="9" spans="2:6" x14ac:dyDescent="0.2">
      <c r="B9" t="s">
        <v>1421</v>
      </c>
      <c r="C9" s="1">
        <v>29869</v>
      </c>
      <c r="D9" s="1">
        <v>45009</v>
      </c>
      <c r="E9" t="s">
        <v>387</v>
      </c>
    </row>
    <row r="10" spans="2:6" x14ac:dyDescent="0.2">
      <c r="B10" t="s">
        <v>1434</v>
      </c>
      <c r="C10" s="1">
        <v>29430</v>
      </c>
      <c r="D10" s="1">
        <v>45079</v>
      </c>
      <c r="E10" t="s">
        <v>387</v>
      </c>
    </row>
    <row r="11" spans="2:6" x14ac:dyDescent="0.2">
      <c r="B11" t="s">
        <v>1460</v>
      </c>
      <c r="C11" s="1">
        <v>24666</v>
      </c>
      <c r="D11" s="1">
        <v>45138</v>
      </c>
      <c r="E11" t="s">
        <v>387</v>
      </c>
    </row>
    <row r="12" spans="2:6" x14ac:dyDescent="0.2">
      <c r="B12" t="s">
        <v>1468</v>
      </c>
      <c r="C12" s="1">
        <v>26106</v>
      </c>
      <c r="D12" s="1">
        <v>45152</v>
      </c>
      <c r="E12" t="s">
        <v>387</v>
      </c>
    </row>
    <row r="13" spans="2:6" x14ac:dyDescent="0.2">
      <c r="B13" t="s">
        <v>1473</v>
      </c>
      <c r="C13" s="1">
        <v>23330</v>
      </c>
      <c r="D13" s="1">
        <v>45161</v>
      </c>
      <c r="E13" t="s">
        <v>387</v>
      </c>
    </row>
    <row r="14" spans="2:6" x14ac:dyDescent="0.2">
      <c r="B14" t="s">
        <v>1475</v>
      </c>
      <c r="C14" s="1">
        <v>24055</v>
      </c>
      <c r="D14" s="1">
        <v>45163</v>
      </c>
      <c r="E14" t="s">
        <v>387</v>
      </c>
    </row>
    <row r="15" spans="2:6" x14ac:dyDescent="0.2">
      <c r="B15" t="s">
        <v>1487</v>
      </c>
      <c r="C15" s="1">
        <v>25671</v>
      </c>
      <c r="D15" s="1">
        <v>45187</v>
      </c>
      <c r="E15" t="s">
        <v>387</v>
      </c>
    </row>
    <row r="16" spans="2:6" x14ac:dyDescent="0.2">
      <c r="B16" t="s">
        <v>1499</v>
      </c>
      <c r="C16" s="1">
        <v>22092</v>
      </c>
      <c r="D16" s="1">
        <v>45201</v>
      </c>
      <c r="E16" t="s">
        <v>387</v>
      </c>
    </row>
    <row r="17" spans="2:5" x14ac:dyDescent="0.2">
      <c r="B17" t="s">
        <v>1503</v>
      </c>
      <c r="C17" s="1">
        <v>24279</v>
      </c>
      <c r="D17" s="1">
        <v>45205</v>
      </c>
      <c r="E17" t="s">
        <v>387</v>
      </c>
    </row>
    <row r="18" spans="2:5" x14ac:dyDescent="0.2">
      <c r="B18" t="s">
        <v>1515</v>
      </c>
      <c r="C18" s="1">
        <v>35598</v>
      </c>
      <c r="D18" s="1">
        <v>45222</v>
      </c>
      <c r="E18" t="s">
        <v>387</v>
      </c>
    </row>
    <row r="19" spans="2:5" x14ac:dyDescent="0.2">
      <c r="B19" t="s">
        <v>1519</v>
      </c>
      <c r="C19" s="1">
        <v>29661</v>
      </c>
      <c r="D19" s="1">
        <v>45592</v>
      </c>
      <c r="E19" t="s">
        <v>387</v>
      </c>
    </row>
    <row r="20" spans="2:5" x14ac:dyDescent="0.2">
      <c r="B20" t="s">
        <v>1525</v>
      </c>
      <c r="C20" s="1">
        <v>29710</v>
      </c>
      <c r="D20" s="1">
        <v>45236</v>
      </c>
      <c r="E20" t="s">
        <v>387</v>
      </c>
    </row>
    <row r="21" spans="2:5" x14ac:dyDescent="0.2">
      <c r="B21" t="s">
        <v>1571</v>
      </c>
      <c r="C21" s="1">
        <v>32824</v>
      </c>
      <c r="D21" s="1">
        <v>45334</v>
      </c>
      <c r="E21" t="s">
        <v>387</v>
      </c>
    </row>
    <row r="22" spans="2:5" x14ac:dyDescent="0.2">
      <c r="B22" t="s">
        <v>1572</v>
      </c>
      <c r="C22" s="1">
        <v>27875</v>
      </c>
      <c r="D22" s="1">
        <v>45338</v>
      </c>
      <c r="E22" t="s">
        <v>387</v>
      </c>
    </row>
    <row r="23" spans="2:5" x14ac:dyDescent="0.2">
      <c r="B23" t="s">
        <v>1575</v>
      </c>
      <c r="C23" s="1">
        <v>24405</v>
      </c>
      <c r="D23" s="1">
        <v>45341</v>
      </c>
      <c r="E23" t="s">
        <v>387</v>
      </c>
    </row>
    <row r="24" spans="2:5" x14ac:dyDescent="0.2">
      <c r="B24" t="s">
        <v>1635</v>
      </c>
      <c r="C24" s="1">
        <v>28633</v>
      </c>
      <c r="D24" s="1">
        <v>45433</v>
      </c>
      <c r="E24" t="s">
        <v>387</v>
      </c>
    </row>
    <row r="25" spans="2:5" x14ac:dyDescent="0.2">
      <c r="B25" t="s">
        <v>1666</v>
      </c>
      <c r="C25" s="1">
        <v>31197</v>
      </c>
      <c r="D25" s="1">
        <v>45481</v>
      </c>
      <c r="E25" t="s">
        <v>387</v>
      </c>
    </row>
    <row r="26" spans="2:5" x14ac:dyDescent="0.2">
      <c r="B26" t="s">
        <v>1674</v>
      </c>
      <c r="C26" s="1">
        <v>21133</v>
      </c>
      <c r="D26" s="1">
        <v>45495</v>
      </c>
      <c r="E26" t="s">
        <v>387</v>
      </c>
    </row>
    <row r="27" spans="2:5" x14ac:dyDescent="0.2">
      <c r="B27" t="s">
        <v>1758</v>
      </c>
      <c r="C27" s="1">
        <v>31198</v>
      </c>
      <c r="D27" s="1">
        <v>45604</v>
      </c>
      <c r="E27" t="s">
        <v>387</v>
      </c>
    </row>
    <row r="28" spans="2:5" x14ac:dyDescent="0.2">
      <c r="B28" t="s">
        <v>1777</v>
      </c>
      <c r="C28" s="1">
        <v>29909</v>
      </c>
      <c r="D28" s="1">
        <v>45621</v>
      </c>
      <c r="E28" t="s">
        <v>387</v>
      </c>
    </row>
    <row r="29" spans="2:5" x14ac:dyDescent="0.2">
      <c r="B29" t="s">
        <v>1781</v>
      </c>
      <c r="C29" s="1">
        <v>31477</v>
      </c>
      <c r="D29" s="1">
        <v>45625</v>
      </c>
      <c r="E29" t="s">
        <v>387</v>
      </c>
    </row>
  </sheetData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8F1D5-C8D1-4711-B611-1C8EDACCC6F9}">
  <dimension ref="B6:F55"/>
  <sheetViews>
    <sheetView topLeftCell="A31" workbookViewId="0">
      <selection activeCell="D18" sqref="D18"/>
    </sheetView>
  </sheetViews>
  <sheetFormatPr baseColWidth="10" defaultRowHeight="15" x14ac:dyDescent="0.2"/>
  <cols>
    <col min="2" max="2" width="21.33203125" customWidth="1"/>
    <col min="3" max="3" width="31.5" customWidth="1"/>
    <col min="4" max="4" width="25.1640625" customWidth="1"/>
    <col min="5" max="5" width="20.5" customWidth="1"/>
    <col min="6" max="6" width="26.6640625" customWidth="1"/>
  </cols>
  <sheetData>
    <row r="6" spans="2:6" x14ac:dyDescent="0.2">
      <c r="B6" t="s">
        <v>0</v>
      </c>
      <c r="C6" t="s">
        <v>1</v>
      </c>
      <c r="D6" t="s">
        <v>2</v>
      </c>
      <c r="E6" t="s">
        <v>3</v>
      </c>
      <c r="F6" t="s">
        <v>84</v>
      </c>
    </row>
    <row r="8" spans="2:6" x14ac:dyDescent="0.2">
      <c r="B8" t="s">
        <v>1393</v>
      </c>
      <c r="C8" s="1">
        <v>29513</v>
      </c>
      <c r="D8" s="1">
        <v>44907</v>
      </c>
      <c r="E8" t="s">
        <v>1224</v>
      </c>
    </row>
    <row r="9" spans="2:6" x14ac:dyDescent="0.2">
      <c r="B9" t="s">
        <v>1395</v>
      </c>
      <c r="C9" s="1">
        <v>22310</v>
      </c>
      <c r="D9" s="1">
        <v>44935</v>
      </c>
      <c r="E9" t="s">
        <v>1224</v>
      </c>
    </row>
    <row r="10" spans="2:6" x14ac:dyDescent="0.2">
      <c r="B10" t="s">
        <v>1398</v>
      </c>
      <c r="C10" s="1">
        <v>32326</v>
      </c>
      <c r="D10" s="1">
        <v>44939</v>
      </c>
      <c r="E10" t="s">
        <v>1224</v>
      </c>
    </row>
    <row r="11" spans="2:6" x14ac:dyDescent="0.2">
      <c r="B11" t="s">
        <v>1400</v>
      </c>
      <c r="C11" s="1">
        <v>22474</v>
      </c>
      <c r="D11" s="1">
        <v>44946</v>
      </c>
      <c r="E11" t="s">
        <v>1224</v>
      </c>
    </row>
    <row r="12" spans="2:6" x14ac:dyDescent="0.2">
      <c r="B12" t="s">
        <v>1404</v>
      </c>
      <c r="C12" s="1">
        <v>27316</v>
      </c>
      <c r="D12" s="1">
        <v>44953</v>
      </c>
      <c r="E12" t="s">
        <v>18</v>
      </c>
      <c r="F12" s="1">
        <v>45247</v>
      </c>
    </row>
    <row r="13" spans="2:6" x14ac:dyDescent="0.2">
      <c r="B13" t="s">
        <v>1406</v>
      </c>
      <c r="C13" s="1">
        <v>19835</v>
      </c>
      <c r="D13" s="1">
        <v>44956</v>
      </c>
      <c r="E13" t="s">
        <v>18</v>
      </c>
    </row>
    <row r="14" spans="2:6" x14ac:dyDescent="0.2">
      <c r="B14" t="s">
        <v>1408</v>
      </c>
      <c r="C14" s="1">
        <v>30475</v>
      </c>
      <c r="D14" s="1">
        <v>44960</v>
      </c>
      <c r="E14" t="s">
        <v>18</v>
      </c>
    </row>
    <row r="15" spans="2:6" x14ac:dyDescent="0.2">
      <c r="B15" t="s">
        <v>1419</v>
      </c>
      <c r="C15" s="1">
        <v>29400</v>
      </c>
      <c r="D15" s="1">
        <v>45005</v>
      </c>
      <c r="E15" t="s">
        <v>1224</v>
      </c>
    </row>
    <row r="16" spans="2:6" x14ac:dyDescent="0.2">
      <c r="B16" t="s">
        <v>1420</v>
      </c>
      <c r="C16" s="1">
        <v>35020</v>
      </c>
      <c r="D16" s="1">
        <v>45016</v>
      </c>
      <c r="E16" t="s">
        <v>1224</v>
      </c>
    </row>
    <row r="17" spans="2:5" x14ac:dyDescent="0.2">
      <c r="B17" t="s">
        <v>1423</v>
      </c>
      <c r="C17" s="1">
        <v>25234</v>
      </c>
      <c r="D17" s="1">
        <v>45016</v>
      </c>
      <c r="E17" t="s">
        <v>1224</v>
      </c>
    </row>
    <row r="18" spans="2:5" x14ac:dyDescent="0.2">
      <c r="B18" t="s">
        <v>1426</v>
      </c>
      <c r="C18" s="1">
        <v>29146</v>
      </c>
      <c r="D18" s="1">
        <v>45033</v>
      </c>
      <c r="E18" t="s">
        <v>1224</v>
      </c>
    </row>
    <row r="19" spans="2:5" x14ac:dyDescent="0.2">
      <c r="B19" t="s">
        <v>1428</v>
      </c>
      <c r="C19" s="1">
        <v>31202</v>
      </c>
      <c r="D19" s="1">
        <v>45051</v>
      </c>
      <c r="E19" t="s">
        <v>18</v>
      </c>
    </row>
    <row r="20" spans="2:5" x14ac:dyDescent="0.2">
      <c r="B20" t="s">
        <v>1441</v>
      </c>
      <c r="C20" s="1">
        <v>30319</v>
      </c>
      <c r="D20" s="1">
        <v>45089</v>
      </c>
      <c r="E20" t="s">
        <v>18</v>
      </c>
    </row>
    <row r="21" spans="2:5" x14ac:dyDescent="0.2">
      <c r="B21" t="s">
        <v>1442</v>
      </c>
      <c r="C21" s="1">
        <v>22753</v>
      </c>
      <c r="D21" s="1">
        <v>45089</v>
      </c>
      <c r="E21" t="s">
        <v>18</v>
      </c>
    </row>
    <row r="22" spans="2:5" x14ac:dyDescent="0.2">
      <c r="B22" t="s">
        <v>1446</v>
      </c>
      <c r="C22" s="1">
        <v>30430</v>
      </c>
      <c r="D22" s="1">
        <v>45105</v>
      </c>
      <c r="E22" t="s">
        <v>18</v>
      </c>
    </row>
    <row r="23" spans="2:5" x14ac:dyDescent="0.2">
      <c r="B23" t="s">
        <v>1450</v>
      </c>
      <c r="C23" s="1">
        <v>25904</v>
      </c>
      <c r="D23" s="1">
        <v>45110</v>
      </c>
      <c r="E23" t="s">
        <v>18</v>
      </c>
    </row>
    <row r="24" spans="2:5" x14ac:dyDescent="0.2">
      <c r="B24" t="s">
        <v>1451</v>
      </c>
      <c r="C24" s="1">
        <v>20413</v>
      </c>
      <c r="D24" s="1">
        <v>45117</v>
      </c>
      <c r="E24" t="s">
        <v>18</v>
      </c>
    </row>
    <row r="25" spans="2:5" x14ac:dyDescent="0.2">
      <c r="B25" t="s">
        <v>1459</v>
      </c>
      <c r="C25" s="1">
        <v>23404</v>
      </c>
      <c r="D25" s="1">
        <v>45128</v>
      </c>
      <c r="E25" t="s">
        <v>1224</v>
      </c>
    </row>
    <row r="26" spans="2:5" x14ac:dyDescent="0.2">
      <c r="B26" t="s">
        <v>1461</v>
      </c>
      <c r="C26" s="1">
        <v>29246</v>
      </c>
      <c r="D26" s="1">
        <v>45139</v>
      </c>
      <c r="E26" t="s">
        <v>1224</v>
      </c>
    </row>
    <row r="27" spans="2:5" x14ac:dyDescent="0.2">
      <c r="B27" t="s">
        <v>1462</v>
      </c>
      <c r="C27" s="1">
        <v>23899</v>
      </c>
      <c r="D27" s="1">
        <v>45139</v>
      </c>
      <c r="E27" t="s">
        <v>1224</v>
      </c>
    </row>
    <row r="28" spans="2:5" x14ac:dyDescent="0.2">
      <c r="B28" t="s">
        <v>1471</v>
      </c>
      <c r="C28" s="1">
        <v>28542</v>
      </c>
      <c r="D28" s="1">
        <v>45159</v>
      </c>
      <c r="E28" t="s">
        <v>1224</v>
      </c>
    </row>
    <row r="29" spans="2:5" x14ac:dyDescent="0.2">
      <c r="B29" t="s">
        <v>1474</v>
      </c>
      <c r="C29" s="1">
        <v>21681</v>
      </c>
      <c r="D29" s="1">
        <v>45163</v>
      </c>
      <c r="E29" t="s">
        <v>1224</v>
      </c>
    </row>
    <row r="30" spans="2:5" x14ac:dyDescent="0.2">
      <c r="B30" t="s">
        <v>1488</v>
      </c>
      <c r="C30" s="1">
        <v>29917</v>
      </c>
      <c r="D30" s="1">
        <v>45191</v>
      </c>
      <c r="E30" t="s">
        <v>1224</v>
      </c>
    </row>
    <row r="31" spans="2:5" x14ac:dyDescent="0.2">
      <c r="B31" t="s">
        <v>1490</v>
      </c>
      <c r="C31" s="1">
        <v>25595</v>
      </c>
      <c r="D31" s="1">
        <v>45191</v>
      </c>
      <c r="E31" t="s">
        <v>1491</v>
      </c>
    </row>
    <row r="32" spans="2:5" x14ac:dyDescent="0.2">
      <c r="B32" t="s">
        <v>1492</v>
      </c>
      <c r="C32" s="1">
        <v>30201</v>
      </c>
      <c r="D32" s="1">
        <v>45196</v>
      </c>
      <c r="E32" t="s">
        <v>1224</v>
      </c>
    </row>
    <row r="33" spans="2:5" x14ac:dyDescent="0.2">
      <c r="B33" t="s">
        <v>1510</v>
      </c>
      <c r="C33" s="1">
        <v>25128</v>
      </c>
      <c r="D33" s="1">
        <v>45212</v>
      </c>
      <c r="E33" t="s">
        <v>18</v>
      </c>
    </row>
    <row r="34" spans="2:5" x14ac:dyDescent="0.2">
      <c r="B34" t="s">
        <v>1512</v>
      </c>
      <c r="C34" s="1">
        <v>25836</v>
      </c>
      <c r="D34" s="1">
        <v>45219</v>
      </c>
      <c r="E34" t="s">
        <v>18</v>
      </c>
    </row>
    <row r="35" spans="2:5" x14ac:dyDescent="0.2">
      <c r="B35" t="s">
        <v>1513</v>
      </c>
      <c r="C35" s="1">
        <v>27666</v>
      </c>
      <c r="D35" s="1">
        <v>45219</v>
      </c>
      <c r="E35" t="s">
        <v>18</v>
      </c>
    </row>
    <row r="36" spans="2:5" x14ac:dyDescent="0.2">
      <c r="B36" t="s">
        <v>1518</v>
      </c>
      <c r="C36" s="1">
        <v>30744</v>
      </c>
      <c r="D36" s="1">
        <v>45223</v>
      </c>
      <c r="E36" t="s">
        <v>1224</v>
      </c>
    </row>
    <row r="37" spans="2:5" x14ac:dyDescent="0.2">
      <c r="B37" t="s">
        <v>1534</v>
      </c>
      <c r="C37" s="1">
        <v>28591</v>
      </c>
      <c r="D37" s="1">
        <v>45250</v>
      </c>
      <c r="E37" t="s">
        <v>18</v>
      </c>
    </row>
    <row r="38" spans="2:5" x14ac:dyDescent="0.2">
      <c r="B38" t="s">
        <v>1536</v>
      </c>
      <c r="C38" s="1">
        <v>29187</v>
      </c>
      <c r="D38" s="1">
        <v>45044</v>
      </c>
      <c r="E38" t="s">
        <v>1224</v>
      </c>
    </row>
    <row r="39" spans="2:5" x14ac:dyDescent="0.2">
      <c r="B39" t="s">
        <v>1537</v>
      </c>
      <c r="C39" s="1">
        <v>31462</v>
      </c>
      <c r="D39" s="1">
        <v>45044</v>
      </c>
      <c r="E39" t="s">
        <v>1224</v>
      </c>
    </row>
    <row r="40" spans="2:5" x14ac:dyDescent="0.2">
      <c r="B40" t="s">
        <v>1538</v>
      </c>
      <c r="C40" s="1">
        <v>33914</v>
      </c>
      <c r="D40" s="1">
        <v>45114</v>
      </c>
      <c r="E40" t="s">
        <v>1224</v>
      </c>
    </row>
    <row r="41" spans="2:5" x14ac:dyDescent="0.2">
      <c r="B41" t="s">
        <v>1539</v>
      </c>
      <c r="C41" s="1">
        <v>27561</v>
      </c>
      <c r="D41" s="1">
        <v>45142</v>
      </c>
      <c r="E41" t="s">
        <v>1224</v>
      </c>
    </row>
    <row r="42" spans="2:5" x14ac:dyDescent="0.2">
      <c r="B42" t="s">
        <v>1544</v>
      </c>
      <c r="C42" s="1">
        <v>25402</v>
      </c>
      <c r="D42" s="1">
        <v>45254</v>
      </c>
      <c r="E42" t="s">
        <v>1224</v>
      </c>
    </row>
    <row r="43" spans="2:5" x14ac:dyDescent="0.2">
      <c r="B43" t="s">
        <v>1546</v>
      </c>
      <c r="C43" s="1">
        <v>20800</v>
      </c>
      <c r="D43" s="1">
        <v>45261</v>
      </c>
      <c r="E43" t="s">
        <v>1224</v>
      </c>
    </row>
    <row r="44" spans="2:5" x14ac:dyDescent="0.2">
      <c r="B44" t="s">
        <v>1554</v>
      </c>
      <c r="C44" s="1">
        <v>28753</v>
      </c>
      <c r="D44" s="1">
        <v>45271</v>
      </c>
      <c r="E44" t="s">
        <v>1224</v>
      </c>
    </row>
    <row r="45" spans="2:5" x14ac:dyDescent="0.2">
      <c r="B45" t="s">
        <v>1557</v>
      </c>
      <c r="C45" s="1">
        <v>27200</v>
      </c>
      <c r="D45" s="1">
        <v>45306</v>
      </c>
      <c r="E45" t="s">
        <v>1224</v>
      </c>
    </row>
    <row r="46" spans="2:5" x14ac:dyDescent="0.2">
      <c r="B46" t="s">
        <v>1578</v>
      </c>
      <c r="C46" s="1">
        <v>25408</v>
      </c>
      <c r="D46" s="1">
        <v>45345</v>
      </c>
      <c r="E46" t="s">
        <v>1224</v>
      </c>
    </row>
    <row r="47" spans="2:5" x14ac:dyDescent="0.2">
      <c r="B47" t="s">
        <v>1642</v>
      </c>
      <c r="C47" s="1">
        <v>35926</v>
      </c>
      <c r="D47" s="1">
        <v>45439</v>
      </c>
      <c r="E47" t="s">
        <v>1224</v>
      </c>
    </row>
    <row r="48" spans="2:5" x14ac:dyDescent="0.2">
      <c r="B48" t="s">
        <v>1653</v>
      </c>
      <c r="C48" s="1">
        <v>32392</v>
      </c>
      <c r="D48" s="1">
        <v>45464</v>
      </c>
      <c r="E48" t="s">
        <v>1224</v>
      </c>
    </row>
    <row r="49" spans="2:5" x14ac:dyDescent="0.2">
      <c r="B49" t="s">
        <v>1686</v>
      </c>
      <c r="C49" t="s">
        <v>1687</v>
      </c>
      <c r="D49" s="1">
        <v>45506</v>
      </c>
      <c r="E49" t="s">
        <v>1224</v>
      </c>
    </row>
    <row r="50" spans="2:5" x14ac:dyDescent="0.2">
      <c r="B50" t="s">
        <v>1690</v>
      </c>
      <c r="C50" s="1">
        <v>29066</v>
      </c>
      <c r="D50" s="1">
        <v>45509</v>
      </c>
      <c r="E50" t="s">
        <v>1224</v>
      </c>
    </row>
    <row r="51" spans="2:5" x14ac:dyDescent="0.2">
      <c r="B51" t="s">
        <v>1697</v>
      </c>
      <c r="C51" s="1">
        <v>25391</v>
      </c>
      <c r="D51" s="1">
        <v>45520</v>
      </c>
      <c r="E51" t="s">
        <v>1224</v>
      </c>
    </row>
    <row r="52" spans="2:5" x14ac:dyDescent="0.2">
      <c r="B52" t="s">
        <v>1713</v>
      </c>
      <c r="C52" s="1">
        <v>23516</v>
      </c>
      <c r="D52" s="1">
        <v>45544</v>
      </c>
      <c r="E52" t="s">
        <v>1224</v>
      </c>
    </row>
    <row r="53" spans="2:5" x14ac:dyDescent="0.2">
      <c r="B53" t="s">
        <v>1744</v>
      </c>
      <c r="C53" s="1">
        <v>33772</v>
      </c>
      <c r="D53" s="1">
        <v>45583</v>
      </c>
      <c r="E53" t="s">
        <v>1224</v>
      </c>
    </row>
    <row r="54" spans="2:5" x14ac:dyDescent="0.2">
      <c r="B54" t="s">
        <v>1789</v>
      </c>
      <c r="C54" s="1">
        <v>23093</v>
      </c>
      <c r="D54" s="1">
        <v>45642</v>
      </c>
      <c r="E54" t="s">
        <v>1224</v>
      </c>
    </row>
    <row r="55" spans="2:5" x14ac:dyDescent="0.2">
      <c r="B55" t="s">
        <v>1798</v>
      </c>
      <c r="C55" s="1">
        <v>21804</v>
      </c>
      <c r="D55" s="1">
        <v>45674</v>
      </c>
      <c r="E55" t="s">
        <v>1224</v>
      </c>
    </row>
  </sheetData>
  <pageMargins left="0.7" right="0.7" top="0.78740157499999996" bottom="0.78740157499999996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84367F-0E3B-48C2-81B5-59154C009155}">
  <dimension ref="B1:H36"/>
  <sheetViews>
    <sheetView workbookViewId="0">
      <selection activeCell="B1" sqref="B1:F1"/>
    </sheetView>
  </sheetViews>
  <sheetFormatPr baseColWidth="10" defaultRowHeight="15" x14ac:dyDescent="0.2"/>
  <cols>
    <col min="2" max="2" width="19.5" customWidth="1"/>
    <col min="3" max="3" width="14.33203125" customWidth="1"/>
    <col min="4" max="4" width="16.6640625" customWidth="1"/>
    <col min="5" max="5" width="17.5" customWidth="1"/>
    <col min="6" max="6" width="22.83203125" customWidth="1"/>
    <col min="7" max="7" width="15" customWidth="1"/>
    <col min="8" max="8" width="17.33203125" customWidth="1"/>
  </cols>
  <sheetData>
    <row r="1" spans="2:8" x14ac:dyDescent="0.2">
      <c r="B1" t="s">
        <v>0</v>
      </c>
      <c r="C1" t="s">
        <v>1</v>
      </c>
      <c r="D1" t="s">
        <v>2</v>
      </c>
      <c r="E1" t="s">
        <v>3</v>
      </c>
      <c r="F1" t="s">
        <v>84</v>
      </c>
      <c r="G1" t="s">
        <v>1153</v>
      </c>
      <c r="H1" t="s">
        <v>1394</v>
      </c>
    </row>
    <row r="3" spans="2:8" x14ac:dyDescent="0.2">
      <c r="C3" s="1"/>
      <c r="D3" s="1"/>
      <c r="F3" s="1"/>
    </row>
    <row r="4" spans="2:8" x14ac:dyDescent="0.2">
      <c r="B4" t="s">
        <v>1402</v>
      </c>
      <c r="C4" s="1">
        <v>21824</v>
      </c>
      <c r="D4" s="1">
        <v>44949</v>
      </c>
      <c r="E4" t="s">
        <v>447</v>
      </c>
    </row>
    <row r="5" spans="2:8" x14ac:dyDescent="0.2">
      <c r="B5" t="s">
        <v>1425</v>
      </c>
      <c r="C5" s="1">
        <v>24835</v>
      </c>
      <c r="D5" s="1">
        <v>45033</v>
      </c>
      <c r="E5" t="s">
        <v>447</v>
      </c>
      <c r="F5" s="1">
        <v>45114</v>
      </c>
    </row>
    <row r="6" spans="2:8" x14ac:dyDescent="0.2">
      <c r="B6" t="s">
        <v>1439</v>
      </c>
      <c r="C6" s="1">
        <v>23862</v>
      </c>
      <c r="D6" s="1">
        <v>45082</v>
      </c>
      <c r="E6" t="s">
        <v>1440</v>
      </c>
    </row>
    <row r="7" spans="2:8" x14ac:dyDescent="0.2">
      <c r="B7" t="s">
        <v>1443</v>
      </c>
      <c r="C7" s="1">
        <v>26218</v>
      </c>
      <c r="D7" s="1">
        <v>45103</v>
      </c>
      <c r="E7" t="s">
        <v>447</v>
      </c>
    </row>
    <row r="8" spans="2:8" x14ac:dyDescent="0.2">
      <c r="B8" t="s">
        <v>1454</v>
      </c>
      <c r="C8" s="1">
        <v>33325</v>
      </c>
      <c r="D8" s="1">
        <v>45117</v>
      </c>
      <c r="E8" t="s">
        <v>447</v>
      </c>
    </row>
    <row r="9" spans="2:8" x14ac:dyDescent="0.2">
      <c r="B9" t="s">
        <v>1458</v>
      </c>
      <c r="C9" s="1">
        <v>23728</v>
      </c>
      <c r="D9" s="1">
        <v>45128</v>
      </c>
      <c r="E9" t="s">
        <v>447</v>
      </c>
    </row>
    <row r="10" spans="2:8" x14ac:dyDescent="0.2">
      <c r="B10" t="s">
        <v>1463</v>
      </c>
      <c r="C10" s="1">
        <v>25098</v>
      </c>
      <c r="D10" s="1">
        <v>45145</v>
      </c>
      <c r="E10" t="s">
        <v>1440</v>
      </c>
    </row>
    <row r="11" spans="2:8" x14ac:dyDescent="0.2">
      <c r="B11" t="s">
        <v>1464</v>
      </c>
      <c r="C11" s="1">
        <v>23681</v>
      </c>
      <c r="D11" s="1">
        <v>45145</v>
      </c>
      <c r="E11" t="s">
        <v>447</v>
      </c>
    </row>
    <row r="12" spans="2:8" x14ac:dyDescent="0.2">
      <c r="B12" t="s">
        <v>1466</v>
      </c>
      <c r="C12" s="1">
        <v>24133</v>
      </c>
      <c r="D12" s="1">
        <v>45149</v>
      </c>
      <c r="E12" t="s">
        <v>1467</v>
      </c>
      <c r="F12" s="1">
        <v>45457</v>
      </c>
    </row>
    <row r="13" spans="2:8" x14ac:dyDescent="0.2">
      <c r="B13" t="s">
        <v>1472</v>
      </c>
      <c r="C13" s="1">
        <v>22912</v>
      </c>
      <c r="D13" s="1">
        <v>45159</v>
      </c>
      <c r="E13" t="s">
        <v>447</v>
      </c>
    </row>
    <row r="14" spans="2:8" x14ac:dyDescent="0.2">
      <c r="B14" t="s">
        <v>1480</v>
      </c>
      <c r="C14" s="1">
        <v>24881</v>
      </c>
      <c r="D14" s="1">
        <v>45173</v>
      </c>
      <c r="E14" t="s">
        <v>447</v>
      </c>
      <c r="F14" s="1">
        <v>45341</v>
      </c>
    </row>
    <row r="15" spans="2:8" x14ac:dyDescent="0.2">
      <c r="B15" t="s">
        <v>1498</v>
      </c>
      <c r="C15" s="1">
        <v>27348</v>
      </c>
      <c r="D15" s="1">
        <v>45096</v>
      </c>
      <c r="E15" t="s">
        <v>447</v>
      </c>
      <c r="F15" s="1">
        <v>45201</v>
      </c>
    </row>
    <row r="16" spans="2:8" x14ac:dyDescent="0.2">
      <c r="B16" t="s">
        <v>1501</v>
      </c>
      <c r="C16" s="1">
        <v>24896</v>
      </c>
      <c r="D16" s="1">
        <v>45208</v>
      </c>
      <c r="E16" t="s">
        <v>1502</v>
      </c>
    </row>
    <row r="17" spans="2:6" x14ac:dyDescent="0.2">
      <c r="B17" t="s">
        <v>1508</v>
      </c>
      <c r="C17" s="1">
        <v>21480</v>
      </c>
      <c r="D17" s="1">
        <v>45215</v>
      </c>
      <c r="E17" t="s">
        <v>447</v>
      </c>
    </row>
    <row r="18" spans="2:6" x14ac:dyDescent="0.2">
      <c r="B18" t="s">
        <v>1511</v>
      </c>
      <c r="C18" s="1">
        <v>22586</v>
      </c>
      <c r="D18" s="1">
        <v>45212</v>
      </c>
      <c r="E18" t="s">
        <v>447</v>
      </c>
      <c r="F18" s="1">
        <v>45600</v>
      </c>
    </row>
    <row r="19" spans="2:6" x14ac:dyDescent="0.2">
      <c r="B19" t="s">
        <v>1514</v>
      </c>
      <c r="C19" s="1">
        <v>29291</v>
      </c>
      <c r="D19" s="1">
        <v>45222</v>
      </c>
      <c r="E19" t="s">
        <v>447</v>
      </c>
    </row>
    <row r="20" spans="2:6" x14ac:dyDescent="0.2">
      <c r="B20" t="s">
        <v>1516</v>
      </c>
      <c r="C20" s="1">
        <v>27033</v>
      </c>
      <c r="D20" s="1">
        <v>45223</v>
      </c>
      <c r="E20" t="s">
        <v>1517</v>
      </c>
    </row>
    <row r="21" spans="2:6" x14ac:dyDescent="0.2">
      <c r="B21" t="s">
        <v>1523</v>
      </c>
      <c r="C21" s="1">
        <v>23335</v>
      </c>
      <c r="D21" s="1">
        <v>45233</v>
      </c>
      <c r="E21" t="s">
        <v>447</v>
      </c>
    </row>
    <row r="22" spans="2:6" x14ac:dyDescent="0.2">
      <c r="B22" t="s">
        <v>1531</v>
      </c>
      <c r="C22" s="1">
        <v>20932</v>
      </c>
      <c r="D22" s="1">
        <v>45247</v>
      </c>
      <c r="E22" t="s">
        <v>1532</v>
      </c>
    </row>
    <row r="23" spans="2:6" x14ac:dyDescent="0.2">
      <c r="B23" t="s">
        <v>1540</v>
      </c>
      <c r="C23" s="1">
        <v>23035</v>
      </c>
      <c r="D23" s="1">
        <v>45142</v>
      </c>
      <c r="E23" t="s">
        <v>447</v>
      </c>
    </row>
    <row r="24" spans="2:6" x14ac:dyDescent="0.2">
      <c r="B24" t="s">
        <v>1560</v>
      </c>
      <c r="C24" s="1">
        <v>28286</v>
      </c>
      <c r="D24" s="1">
        <v>45313</v>
      </c>
      <c r="E24" t="s">
        <v>1561</v>
      </c>
      <c r="F24" s="1">
        <v>45429</v>
      </c>
    </row>
    <row r="25" spans="2:6" x14ac:dyDescent="0.2">
      <c r="B25" t="s">
        <v>1570</v>
      </c>
      <c r="C25" s="1">
        <v>23923</v>
      </c>
      <c r="D25" s="1">
        <v>45331</v>
      </c>
      <c r="E25" t="s">
        <v>1561</v>
      </c>
    </row>
    <row r="26" spans="2:6" x14ac:dyDescent="0.2">
      <c r="B26" t="s">
        <v>1592</v>
      </c>
      <c r="C26" s="1">
        <v>22664</v>
      </c>
      <c r="D26" s="1">
        <v>45373</v>
      </c>
      <c r="E26" t="s">
        <v>447</v>
      </c>
    </row>
    <row r="27" spans="2:6" x14ac:dyDescent="0.2">
      <c r="B27" t="s">
        <v>1622</v>
      </c>
      <c r="C27" s="1">
        <v>23920</v>
      </c>
      <c r="D27" s="1">
        <v>45418</v>
      </c>
      <c r="E27" t="s">
        <v>13</v>
      </c>
    </row>
    <row r="28" spans="2:6" x14ac:dyDescent="0.2">
      <c r="B28" t="s">
        <v>1651</v>
      </c>
      <c r="C28" s="1">
        <v>25155</v>
      </c>
      <c r="D28" s="1">
        <v>45460</v>
      </c>
      <c r="E28" t="s">
        <v>447</v>
      </c>
    </row>
    <row r="29" spans="2:6" x14ac:dyDescent="0.2">
      <c r="B29" t="s">
        <v>1657</v>
      </c>
      <c r="C29" s="1">
        <v>27517</v>
      </c>
      <c r="D29" s="1">
        <v>45471</v>
      </c>
      <c r="E29" t="s">
        <v>447</v>
      </c>
    </row>
    <row r="30" spans="2:6" x14ac:dyDescent="0.2">
      <c r="B30" t="s">
        <v>1667</v>
      </c>
      <c r="C30" s="1">
        <v>22049</v>
      </c>
      <c r="D30" s="1">
        <v>45481</v>
      </c>
      <c r="E30" t="s">
        <v>447</v>
      </c>
    </row>
    <row r="31" spans="2:6" x14ac:dyDescent="0.2">
      <c r="B31" t="s">
        <v>1678</v>
      </c>
      <c r="C31" s="1">
        <v>20256</v>
      </c>
      <c r="D31" s="1">
        <v>45499</v>
      </c>
      <c r="E31" t="s">
        <v>1679</v>
      </c>
    </row>
    <row r="32" spans="2:6" x14ac:dyDescent="0.2">
      <c r="B32" t="s">
        <v>1724</v>
      </c>
      <c r="C32" s="1">
        <v>22785</v>
      </c>
      <c r="D32" s="1">
        <v>45555</v>
      </c>
      <c r="E32" t="s">
        <v>447</v>
      </c>
    </row>
    <row r="33" spans="2:5" x14ac:dyDescent="0.2">
      <c r="B33" t="s">
        <v>1728</v>
      </c>
      <c r="C33" s="1">
        <v>24419</v>
      </c>
      <c r="D33" s="1">
        <v>45569</v>
      </c>
      <c r="E33" t="s">
        <v>1729</v>
      </c>
    </row>
    <row r="34" spans="2:5" x14ac:dyDescent="0.2">
      <c r="B34" t="s">
        <v>1740</v>
      </c>
      <c r="C34" s="1">
        <v>24545</v>
      </c>
      <c r="D34" s="1">
        <v>45583</v>
      </c>
      <c r="E34" t="s">
        <v>447</v>
      </c>
    </row>
    <row r="35" spans="2:5" x14ac:dyDescent="0.2">
      <c r="B35" t="s">
        <v>1761</v>
      </c>
      <c r="C35" s="1">
        <v>25773</v>
      </c>
      <c r="D35" s="1">
        <v>45607</v>
      </c>
      <c r="E35" t="s">
        <v>13</v>
      </c>
    </row>
    <row r="36" spans="2:5" x14ac:dyDescent="0.2">
      <c r="B36" t="s">
        <v>1791</v>
      </c>
      <c r="C36" s="1">
        <v>22224</v>
      </c>
      <c r="D36" s="1">
        <v>45642</v>
      </c>
      <c r="E36" t="s">
        <v>447</v>
      </c>
    </row>
  </sheetData>
  <pageMargins left="0.7" right="0.7" top="0.78740157499999996" bottom="0.78740157499999996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8"/>
  <sheetViews>
    <sheetView workbookViewId="0">
      <selection activeCell="H4" sqref="H4"/>
    </sheetView>
  </sheetViews>
  <sheetFormatPr baseColWidth="10" defaultRowHeight="15" x14ac:dyDescent="0.2"/>
  <sheetData>
    <row r="1" spans="1:8" x14ac:dyDescent="0.2">
      <c r="A1" t="s">
        <v>1417</v>
      </c>
    </row>
    <row r="5" spans="1:8" x14ac:dyDescent="0.2">
      <c r="B5" t="s">
        <v>0</v>
      </c>
      <c r="D5" t="s">
        <v>1</v>
      </c>
      <c r="F5" t="s">
        <v>2</v>
      </c>
      <c r="H5" t="s">
        <v>3</v>
      </c>
    </row>
    <row r="8" spans="1:8" x14ac:dyDescent="0.2">
      <c r="B8" t="s">
        <v>1416</v>
      </c>
      <c r="D8" s="1">
        <v>37403</v>
      </c>
      <c r="E8" s="1"/>
      <c r="F8" s="1">
        <v>44988</v>
      </c>
      <c r="G8" s="1"/>
      <c r="H8" t="s">
        <v>387</v>
      </c>
    </row>
  </sheetData>
  <pageMargins left="0.7" right="0.7" top="0.78740157499999996" bottom="0.78740157499999996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908"/>
  <sheetViews>
    <sheetView zoomScaleNormal="100" workbookViewId="0">
      <pane ySplit="1" topLeftCell="A142" activePane="bottomLeft" state="frozen"/>
      <selection pane="bottomLeft" activeCell="A159" sqref="A159"/>
    </sheetView>
  </sheetViews>
  <sheetFormatPr baseColWidth="10" defaultRowHeight="15" x14ac:dyDescent="0.2"/>
  <cols>
    <col min="5" max="5" width="19.5" bestFit="1" customWidth="1"/>
    <col min="12" max="12" width="20" bestFit="1" customWidth="1"/>
    <col min="17" max="17" width="54.33203125" bestFit="1" customWidth="1"/>
  </cols>
  <sheetData>
    <row r="1" spans="1:18" x14ac:dyDescent="0.2">
      <c r="B1" t="s">
        <v>0</v>
      </c>
      <c r="C1" t="s">
        <v>1</v>
      </c>
      <c r="D1" t="s">
        <v>2</v>
      </c>
      <c r="E1" t="s">
        <v>3</v>
      </c>
      <c r="F1" t="s">
        <v>419</v>
      </c>
      <c r="G1" t="s">
        <v>420</v>
      </c>
      <c r="H1" t="s">
        <v>421</v>
      </c>
      <c r="I1" t="s">
        <v>422</v>
      </c>
      <c r="J1" t="s">
        <v>423</v>
      </c>
      <c r="K1" t="s">
        <v>360</v>
      </c>
      <c r="L1" t="s">
        <v>424</v>
      </c>
      <c r="M1" t="s">
        <v>427</v>
      </c>
      <c r="N1" t="s">
        <v>428</v>
      </c>
      <c r="P1" t="s">
        <v>1081</v>
      </c>
      <c r="Q1" t="s">
        <v>1088</v>
      </c>
      <c r="R1" t="s">
        <v>1084</v>
      </c>
    </row>
    <row r="2" spans="1:18" x14ac:dyDescent="0.2">
      <c r="A2">
        <v>1</v>
      </c>
      <c r="B2" t="s">
        <v>17</v>
      </c>
      <c r="C2" s="1">
        <v>23328</v>
      </c>
      <c r="D2" s="1">
        <v>43416</v>
      </c>
      <c r="E2" t="s">
        <v>18</v>
      </c>
      <c r="F2">
        <v>1</v>
      </c>
      <c r="G2">
        <v>0</v>
      </c>
      <c r="H2">
        <v>3.3</v>
      </c>
      <c r="I2">
        <v>2.2000000000000002</v>
      </c>
      <c r="J2">
        <v>2.1</v>
      </c>
      <c r="K2">
        <f>(I2*J2)</f>
        <v>4.620000000000001</v>
      </c>
      <c r="L2" t="s">
        <v>116</v>
      </c>
      <c r="R2" s="1"/>
    </row>
    <row r="3" spans="1:18" x14ac:dyDescent="0.2">
      <c r="C3" s="1"/>
      <c r="D3" s="1"/>
    </row>
    <row r="4" spans="1:18" x14ac:dyDescent="0.2">
      <c r="F4">
        <v>0</v>
      </c>
      <c r="G4">
        <v>1</v>
      </c>
      <c r="H4">
        <v>1.1000000000000001</v>
      </c>
      <c r="I4">
        <v>0.6</v>
      </c>
      <c r="J4">
        <v>2.1</v>
      </c>
      <c r="K4">
        <f>(I4*J4)</f>
        <v>1.26</v>
      </c>
      <c r="L4" t="s">
        <v>425</v>
      </c>
    </row>
    <row r="5" spans="1:18" x14ac:dyDescent="0.2">
      <c r="F5">
        <v>0</v>
      </c>
      <c r="G5">
        <v>1</v>
      </c>
      <c r="H5">
        <v>2.1</v>
      </c>
      <c r="I5">
        <v>0.9</v>
      </c>
      <c r="J5">
        <v>1.8</v>
      </c>
      <c r="K5">
        <f>(I5*J5)</f>
        <v>1.62</v>
      </c>
      <c r="L5" t="s">
        <v>426</v>
      </c>
    </row>
    <row r="6" spans="1:18" x14ac:dyDescent="0.2">
      <c r="F6">
        <v>0</v>
      </c>
      <c r="G6">
        <v>1</v>
      </c>
      <c r="H6">
        <v>1.8</v>
      </c>
      <c r="I6">
        <v>1.1000000000000001</v>
      </c>
      <c r="J6">
        <v>1</v>
      </c>
      <c r="K6">
        <f>(I6*J6)</f>
        <v>1.1000000000000001</v>
      </c>
      <c r="L6" t="s">
        <v>272</v>
      </c>
    </row>
    <row r="7" spans="1:18" x14ac:dyDescent="0.2">
      <c r="F7">
        <v>0</v>
      </c>
      <c r="G7">
        <v>1</v>
      </c>
      <c r="H7">
        <v>1.7</v>
      </c>
      <c r="I7">
        <v>1</v>
      </c>
      <c r="J7">
        <v>1</v>
      </c>
      <c r="K7">
        <f>(I7*J7)</f>
        <v>1</v>
      </c>
      <c r="L7" t="s">
        <v>187</v>
      </c>
    </row>
    <row r="8" spans="1:18" x14ac:dyDescent="0.2">
      <c r="F8">
        <v>0</v>
      </c>
      <c r="G8">
        <v>1</v>
      </c>
      <c r="H8">
        <v>1.6</v>
      </c>
      <c r="I8">
        <v>1.4</v>
      </c>
      <c r="J8">
        <v>0.8</v>
      </c>
      <c r="K8">
        <f>(I8*J8)</f>
        <v>1.1199999999999999</v>
      </c>
      <c r="L8" t="s">
        <v>108</v>
      </c>
      <c r="M8">
        <v>1</v>
      </c>
      <c r="N8">
        <v>1</v>
      </c>
      <c r="P8">
        <v>1</v>
      </c>
      <c r="Q8">
        <v>3</v>
      </c>
      <c r="R8" s="1">
        <v>43294</v>
      </c>
    </row>
    <row r="10" spans="1:18" x14ac:dyDescent="0.2">
      <c r="A10">
        <v>2</v>
      </c>
      <c r="B10" t="s">
        <v>19</v>
      </c>
      <c r="C10" s="1">
        <v>30062</v>
      </c>
      <c r="D10" s="1">
        <v>43423</v>
      </c>
      <c r="E10" t="s">
        <v>429</v>
      </c>
      <c r="F10">
        <v>1</v>
      </c>
      <c r="G10">
        <v>0</v>
      </c>
      <c r="H10">
        <v>4.8</v>
      </c>
      <c r="I10">
        <v>2.8</v>
      </c>
      <c r="J10">
        <v>1.8</v>
      </c>
      <c r="K10">
        <f t="shared" ref="K10:K28" si="0">(I10*J10)</f>
        <v>5.04</v>
      </c>
      <c r="L10" t="s">
        <v>826</v>
      </c>
      <c r="R10" s="1"/>
    </row>
    <row r="11" spans="1:18" x14ac:dyDescent="0.2">
      <c r="F11">
        <v>1</v>
      </c>
      <c r="G11">
        <v>0</v>
      </c>
      <c r="H11">
        <v>4.5</v>
      </c>
      <c r="I11">
        <v>2.6</v>
      </c>
      <c r="J11">
        <v>3</v>
      </c>
      <c r="K11">
        <f t="shared" si="0"/>
        <v>7.8000000000000007</v>
      </c>
      <c r="L11" t="s">
        <v>430</v>
      </c>
    </row>
    <row r="12" spans="1:18" x14ac:dyDescent="0.2">
      <c r="F12">
        <v>1</v>
      </c>
      <c r="G12">
        <v>0</v>
      </c>
      <c r="H12">
        <v>3.7</v>
      </c>
      <c r="I12">
        <v>2.5</v>
      </c>
      <c r="J12">
        <v>1.7</v>
      </c>
      <c r="K12">
        <f t="shared" si="0"/>
        <v>4.25</v>
      </c>
      <c r="L12" t="s">
        <v>431</v>
      </c>
    </row>
    <row r="13" spans="1:18" x14ac:dyDescent="0.2">
      <c r="F13">
        <v>1</v>
      </c>
      <c r="G13">
        <v>0</v>
      </c>
      <c r="H13">
        <v>4.9000000000000004</v>
      </c>
      <c r="I13">
        <v>2.7</v>
      </c>
      <c r="J13">
        <v>1.5</v>
      </c>
      <c r="K13">
        <f t="shared" si="0"/>
        <v>4.0500000000000007</v>
      </c>
      <c r="L13" t="s">
        <v>432</v>
      </c>
    </row>
    <row r="14" spans="1:18" x14ac:dyDescent="0.2">
      <c r="F14">
        <v>1</v>
      </c>
      <c r="G14">
        <v>0</v>
      </c>
      <c r="H14">
        <v>4.9000000000000004</v>
      </c>
      <c r="I14">
        <v>3</v>
      </c>
      <c r="J14">
        <v>1.2</v>
      </c>
      <c r="K14">
        <f t="shared" si="0"/>
        <v>3.5999999999999996</v>
      </c>
      <c r="L14" t="s">
        <v>433</v>
      </c>
    </row>
    <row r="15" spans="1:18" x14ac:dyDescent="0.2">
      <c r="F15">
        <v>1</v>
      </c>
      <c r="G15">
        <v>0</v>
      </c>
      <c r="H15">
        <v>3.9</v>
      </c>
      <c r="I15">
        <v>2.5</v>
      </c>
      <c r="J15">
        <v>2.9</v>
      </c>
      <c r="K15">
        <f t="shared" si="0"/>
        <v>7.25</v>
      </c>
      <c r="L15" t="s">
        <v>434</v>
      </c>
    </row>
    <row r="16" spans="1:18" x14ac:dyDescent="0.2">
      <c r="F16">
        <v>1</v>
      </c>
      <c r="G16">
        <v>0</v>
      </c>
      <c r="H16">
        <v>4.5999999999999996</v>
      </c>
      <c r="I16">
        <v>2.1</v>
      </c>
      <c r="J16">
        <v>3.6</v>
      </c>
      <c r="K16">
        <f t="shared" si="0"/>
        <v>7.5600000000000005</v>
      </c>
      <c r="L16" t="s">
        <v>435</v>
      </c>
    </row>
    <row r="17" spans="6:12" x14ac:dyDescent="0.2">
      <c r="F17">
        <v>1</v>
      </c>
      <c r="G17">
        <v>0</v>
      </c>
      <c r="H17">
        <v>6.2</v>
      </c>
      <c r="I17">
        <v>3.7</v>
      </c>
      <c r="J17">
        <v>1.3</v>
      </c>
      <c r="K17">
        <f t="shared" si="0"/>
        <v>4.8100000000000005</v>
      </c>
      <c r="L17" t="s">
        <v>441</v>
      </c>
    </row>
    <row r="18" spans="6:12" x14ac:dyDescent="0.2">
      <c r="F18">
        <v>1</v>
      </c>
      <c r="G18">
        <v>0</v>
      </c>
      <c r="H18">
        <v>5.4</v>
      </c>
      <c r="I18">
        <v>3</v>
      </c>
      <c r="J18">
        <v>5.8</v>
      </c>
      <c r="K18">
        <f t="shared" si="0"/>
        <v>17.399999999999999</v>
      </c>
      <c r="L18" t="s">
        <v>436</v>
      </c>
    </row>
    <row r="19" spans="6:12" x14ac:dyDescent="0.2">
      <c r="F19">
        <v>1</v>
      </c>
      <c r="G19">
        <v>0</v>
      </c>
      <c r="H19">
        <v>5.0999999999999996</v>
      </c>
      <c r="I19">
        <v>3.1</v>
      </c>
      <c r="J19">
        <v>2.2000000000000002</v>
      </c>
      <c r="K19">
        <f t="shared" si="0"/>
        <v>6.8200000000000012</v>
      </c>
      <c r="L19" t="s">
        <v>436</v>
      </c>
    </row>
    <row r="20" spans="6:12" x14ac:dyDescent="0.2">
      <c r="F20">
        <v>1</v>
      </c>
      <c r="G20">
        <v>0</v>
      </c>
      <c r="H20">
        <v>5.2</v>
      </c>
      <c r="I20">
        <v>3.1</v>
      </c>
      <c r="J20">
        <v>1.6</v>
      </c>
      <c r="K20">
        <f t="shared" si="0"/>
        <v>4.9600000000000009</v>
      </c>
      <c r="L20" t="s">
        <v>436</v>
      </c>
    </row>
    <row r="21" spans="6:12" x14ac:dyDescent="0.2">
      <c r="F21">
        <v>1</v>
      </c>
      <c r="G21">
        <v>0</v>
      </c>
      <c r="H21">
        <v>4.0999999999999996</v>
      </c>
      <c r="I21">
        <v>2.2000000000000002</v>
      </c>
      <c r="J21">
        <v>2.1</v>
      </c>
      <c r="K21">
        <f t="shared" si="0"/>
        <v>4.620000000000001</v>
      </c>
      <c r="L21" t="s">
        <v>437</v>
      </c>
    </row>
    <row r="22" spans="6:12" x14ac:dyDescent="0.2">
      <c r="F22">
        <v>1</v>
      </c>
      <c r="G22">
        <v>0</v>
      </c>
      <c r="H22">
        <v>8.1999999999999993</v>
      </c>
      <c r="I22">
        <v>4.7</v>
      </c>
      <c r="J22">
        <v>1.4</v>
      </c>
      <c r="K22">
        <f t="shared" si="0"/>
        <v>6.58</v>
      </c>
      <c r="L22" t="s">
        <v>438</v>
      </c>
    </row>
    <row r="23" spans="6:12" x14ac:dyDescent="0.2">
      <c r="F23">
        <v>1</v>
      </c>
      <c r="G23">
        <v>0</v>
      </c>
      <c r="H23">
        <v>8.3000000000000007</v>
      </c>
      <c r="I23">
        <v>4.8</v>
      </c>
      <c r="J23">
        <v>1.2</v>
      </c>
      <c r="K23">
        <f t="shared" si="0"/>
        <v>5.76</v>
      </c>
      <c r="L23" t="s">
        <v>439</v>
      </c>
    </row>
    <row r="24" spans="6:12" x14ac:dyDescent="0.2">
      <c r="F24">
        <v>1</v>
      </c>
      <c r="G24">
        <v>0</v>
      </c>
      <c r="H24">
        <v>5.2</v>
      </c>
      <c r="I24">
        <v>3.1</v>
      </c>
      <c r="J24">
        <v>1.4</v>
      </c>
      <c r="K24">
        <f t="shared" si="0"/>
        <v>4.34</v>
      </c>
      <c r="L24" t="s">
        <v>438</v>
      </c>
    </row>
    <row r="25" spans="6:12" x14ac:dyDescent="0.2">
      <c r="F25">
        <v>1</v>
      </c>
      <c r="G25">
        <v>0</v>
      </c>
      <c r="H25">
        <v>4</v>
      </c>
      <c r="I25">
        <v>2.4</v>
      </c>
      <c r="J25">
        <v>1.6</v>
      </c>
      <c r="K25">
        <f t="shared" si="0"/>
        <v>3.84</v>
      </c>
      <c r="L25" t="s">
        <v>440</v>
      </c>
    </row>
    <row r="26" spans="6:12" x14ac:dyDescent="0.2">
      <c r="F26">
        <v>1</v>
      </c>
      <c r="G26">
        <v>0</v>
      </c>
      <c r="H26">
        <v>4.5</v>
      </c>
      <c r="I26">
        <v>2.6</v>
      </c>
      <c r="J26">
        <v>1.2</v>
      </c>
      <c r="K26">
        <f t="shared" si="0"/>
        <v>3.12</v>
      </c>
      <c r="L26" t="s">
        <v>443</v>
      </c>
    </row>
    <row r="27" spans="6:12" x14ac:dyDescent="0.2">
      <c r="F27">
        <v>1</v>
      </c>
      <c r="G27">
        <v>0</v>
      </c>
      <c r="H27">
        <v>6.2</v>
      </c>
      <c r="I27">
        <v>3.3</v>
      </c>
      <c r="J27">
        <v>3</v>
      </c>
      <c r="K27">
        <f t="shared" si="0"/>
        <v>9.8999999999999986</v>
      </c>
      <c r="L27" t="s">
        <v>444</v>
      </c>
    </row>
    <row r="28" spans="6:12" x14ac:dyDescent="0.2">
      <c r="F28">
        <v>1</v>
      </c>
      <c r="G28">
        <v>0</v>
      </c>
      <c r="H28">
        <v>4.5</v>
      </c>
      <c r="I28">
        <v>3.1</v>
      </c>
      <c r="J28">
        <v>1.8</v>
      </c>
      <c r="K28">
        <f t="shared" si="0"/>
        <v>5.58</v>
      </c>
      <c r="L28" t="s">
        <v>445</v>
      </c>
    </row>
    <row r="30" spans="6:12" x14ac:dyDescent="0.2">
      <c r="F30">
        <v>0</v>
      </c>
      <c r="G30">
        <v>1</v>
      </c>
      <c r="H30">
        <v>2.2000000000000002</v>
      </c>
      <c r="I30">
        <v>1.4</v>
      </c>
      <c r="J30">
        <v>1.2</v>
      </c>
      <c r="K30">
        <f t="shared" ref="K30:K35" si="1">(I30*J30)</f>
        <v>1.68</v>
      </c>
      <c r="L30" t="s">
        <v>272</v>
      </c>
    </row>
    <row r="31" spans="6:12" x14ac:dyDescent="0.2">
      <c r="F31">
        <v>0</v>
      </c>
      <c r="G31">
        <v>1</v>
      </c>
      <c r="H31">
        <v>2.1</v>
      </c>
      <c r="I31">
        <v>1.5</v>
      </c>
      <c r="J31">
        <v>1.1000000000000001</v>
      </c>
      <c r="K31">
        <f t="shared" si="1"/>
        <v>1.6500000000000001</v>
      </c>
      <c r="L31" t="s">
        <v>187</v>
      </c>
    </row>
    <row r="32" spans="6:12" x14ac:dyDescent="0.2">
      <c r="F32">
        <v>0</v>
      </c>
      <c r="G32">
        <v>1</v>
      </c>
      <c r="H32">
        <v>2.1</v>
      </c>
      <c r="I32">
        <v>1.8</v>
      </c>
      <c r="J32">
        <v>1.1000000000000001</v>
      </c>
      <c r="K32">
        <f t="shared" si="1"/>
        <v>1.9800000000000002</v>
      </c>
      <c r="L32" t="s">
        <v>107</v>
      </c>
    </row>
    <row r="33" spans="1:18" x14ac:dyDescent="0.2">
      <c r="F33">
        <v>0</v>
      </c>
      <c r="G33">
        <v>1</v>
      </c>
      <c r="H33">
        <v>1.3</v>
      </c>
      <c r="I33">
        <v>0.8</v>
      </c>
      <c r="J33">
        <v>1.2</v>
      </c>
      <c r="K33">
        <f t="shared" si="1"/>
        <v>0.96</v>
      </c>
      <c r="L33" t="s">
        <v>442</v>
      </c>
    </row>
    <row r="34" spans="1:18" x14ac:dyDescent="0.2">
      <c r="F34">
        <v>0</v>
      </c>
      <c r="G34">
        <v>1</v>
      </c>
      <c r="H34">
        <v>2.7</v>
      </c>
      <c r="I34">
        <v>2.1</v>
      </c>
      <c r="J34">
        <v>1.3</v>
      </c>
      <c r="K34">
        <f t="shared" si="1"/>
        <v>2.7300000000000004</v>
      </c>
      <c r="L34" t="s">
        <v>446</v>
      </c>
    </row>
    <row r="35" spans="1:18" x14ac:dyDescent="0.2">
      <c r="F35">
        <v>0</v>
      </c>
      <c r="G35">
        <v>1</v>
      </c>
      <c r="H35">
        <v>3.6</v>
      </c>
      <c r="I35">
        <v>2.1</v>
      </c>
      <c r="J35">
        <v>2.2999999999999998</v>
      </c>
      <c r="K35">
        <f t="shared" si="1"/>
        <v>4.83</v>
      </c>
      <c r="L35" t="s">
        <v>827</v>
      </c>
      <c r="M35">
        <v>1</v>
      </c>
      <c r="N35">
        <v>1</v>
      </c>
      <c r="P35">
        <v>1</v>
      </c>
      <c r="Q35" t="s">
        <v>1083</v>
      </c>
      <c r="R35" s="1">
        <v>43375</v>
      </c>
    </row>
    <row r="37" spans="1:18" x14ac:dyDescent="0.2">
      <c r="A37">
        <v>3</v>
      </c>
      <c r="B37" t="s">
        <v>20</v>
      </c>
      <c r="C37" s="1">
        <v>27932</v>
      </c>
      <c r="D37" s="1">
        <v>43423</v>
      </c>
      <c r="E37" t="s">
        <v>447</v>
      </c>
      <c r="F37">
        <v>1</v>
      </c>
      <c r="G37">
        <v>0</v>
      </c>
      <c r="H37">
        <v>6.5</v>
      </c>
      <c r="I37">
        <v>3.8</v>
      </c>
      <c r="J37">
        <v>1.6</v>
      </c>
      <c r="K37">
        <f t="shared" ref="K37:K42" si="2">(I37*J37)</f>
        <v>6.08</v>
      </c>
      <c r="L37" t="s">
        <v>109</v>
      </c>
      <c r="R37" s="1"/>
    </row>
    <row r="38" spans="1:18" x14ac:dyDescent="0.2">
      <c r="F38">
        <v>1</v>
      </c>
      <c r="G38">
        <v>0</v>
      </c>
      <c r="H38">
        <v>5.6</v>
      </c>
      <c r="I38">
        <v>3.2</v>
      </c>
      <c r="J38">
        <v>1.7</v>
      </c>
      <c r="K38">
        <f t="shared" si="2"/>
        <v>5.44</v>
      </c>
      <c r="L38" t="s">
        <v>448</v>
      </c>
    </row>
    <row r="39" spans="1:18" x14ac:dyDescent="0.2">
      <c r="F39">
        <v>1</v>
      </c>
      <c r="G39">
        <v>0</v>
      </c>
      <c r="H39">
        <v>12.9</v>
      </c>
      <c r="I39">
        <v>7.7</v>
      </c>
      <c r="J39">
        <v>2.6</v>
      </c>
      <c r="K39">
        <f t="shared" si="2"/>
        <v>20.02</v>
      </c>
      <c r="L39" t="s">
        <v>449</v>
      </c>
    </row>
    <row r="40" spans="1:18" x14ac:dyDescent="0.2">
      <c r="F40">
        <v>1</v>
      </c>
      <c r="G40">
        <v>0</v>
      </c>
      <c r="H40">
        <v>6.2</v>
      </c>
      <c r="I40">
        <v>3.6</v>
      </c>
      <c r="J40">
        <v>2.4</v>
      </c>
      <c r="K40">
        <f t="shared" si="2"/>
        <v>8.64</v>
      </c>
      <c r="L40" t="s">
        <v>450</v>
      </c>
    </row>
    <row r="41" spans="1:18" x14ac:dyDescent="0.2">
      <c r="F41">
        <v>1</v>
      </c>
      <c r="G41">
        <v>0</v>
      </c>
      <c r="H41">
        <v>11.7</v>
      </c>
      <c r="I41">
        <v>7.1</v>
      </c>
      <c r="J41">
        <v>1</v>
      </c>
      <c r="K41">
        <f t="shared" si="2"/>
        <v>7.1</v>
      </c>
      <c r="L41" t="s">
        <v>451</v>
      </c>
    </row>
    <row r="42" spans="1:18" x14ac:dyDescent="0.2">
      <c r="F42">
        <v>1</v>
      </c>
      <c r="G42">
        <v>0</v>
      </c>
      <c r="H42">
        <v>4.3</v>
      </c>
      <c r="I42">
        <v>3.5</v>
      </c>
      <c r="J42">
        <v>1.2</v>
      </c>
      <c r="K42">
        <f t="shared" si="2"/>
        <v>4.2</v>
      </c>
      <c r="L42" t="s">
        <v>452</v>
      </c>
    </row>
    <row r="44" spans="1:18" x14ac:dyDescent="0.2">
      <c r="F44">
        <v>0</v>
      </c>
      <c r="G44">
        <v>1</v>
      </c>
      <c r="H44">
        <v>2.7</v>
      </c>
      <c r="I44">
        <v>1.7</v>
      </c>
      <c r="J44">
        <v>1.1000000000000001</v>
      </c>
      <c r="K44">
        <f>(I44*J44)</f>
        <v>1.87</v>
      </c>
      <c r="L44" t="s">
        <v>187</v>
      </c>
    </row>
    <row r="45" spans="1:18" x14ac:dyDescent="0.2">
      <c r="F45">
        <v>0</v>
      </c>
      <c r="G45">
        <v>1</v>
      </c>
      <c r="H45">
        <v>2.6</v>
      </c>
      <c r="I45">
        <v>1.8</v>
      </c>
      <c r="J45">
        <v>1.3</v>
      </c>
      <c r="K45">
        <f>(I45*J45)</f>
        <v>2.3400000000000003</v>
      </c>
      <c r="L45" t="s">
        <v>272</v>
      </c>
      <c r="M45">
        <v>1</v>
      </c>
      <c r="N45">
        <v>1</v>
      </c>
      <c r="P45">
        <v>1</v>
      </c>
      <c r="Q45">
        <v>1</v>
      </c>
      <c r="R45" s="1">
        <v>43410</v>
      </c>
    </row>
    <row r="47" spans="1:18" x14ac:dyDescent="0.2">
      <c r="A47">
        <v>4</v>
      </c>
      <c r="B47" t="s">
        <v>21</v>
      </c>
      <c r="C47" s="1">
        <v>24418</v>
      </c>
      <c r="D47" s="1">
        <v>43430</v>
      </c>
      <c r="E47" t="s">
        <v>429</v>
      </c>
      <c r="F47">
        <v>1</v>
      </c>
      <c r="G47">
        <v>0</v>
      </c>
      <c r="H47">
        <v>5</v>
      </c>
      <c r="I47">
        <v>2.9</v>
      </c>
      <c r="J47">
        <v>4.9000000000000004</v>
      </c>
      <c r="K47">
        <f t="shared" ref="K47:K100" si="3">(I47*J47)</f>
        <v>14.21</v>
      </c>
      <c r="L47" t="s">
        <v>453</v>
      </c>
      <c r="R47" s="1"/>
    </row>
    <row r="48" spans="1:18" x14ac:dyDescent="0.2">
      <c r="F48">
        <v>1</v>
      </c>
      <c r="G48">
        <v>0</v>
      </c>
      <c r="H48">
        <v>5.3</v>
      </c>
      <c r="I48">
        <v>3.3</v>
      </c>
      <c r="J48">
        <v>1.8</v>
      </c>
      <c r="K48">
        <f t="shared" si="3"/>
        <v>5.9399999999999995</v>
      </c>
      <c r="L48" t="s">
        <v>454</v>
      </c>
    </row>
    <row r="49" spans="1:18" x14ac:dyDescent="0.2">
      <c r="F49">
        <v>1</v>
      </c>
      <c r="G49">
        <v>0</v>
      </c>
      <c r="H49">
        <v>3.6</v>
      </c>
      <c r="I49">
        <v>2.5</v>
      </c>
      <c r="J49">
        <v>1.3</v>
      </c>
      <c r="K49">
        <f t="shared" si="3"/>
        <v>3.25</v>
      </c>
      <c r="L49" t="s">
        <v>455</v>
      </c>
    </row>
    <row r="50" spans="1:18" x14ac:dyDescent="0.2">
      <c r="F50">
        <v>1</v>
      </c>
      <c r="G50">
        <v>0</v>
      </c>
      <c r="H50">
        <v>5.2</v>
      </c>
      <c r="I50">
        <v>2.9</v>
      </c>
      <c r="J50">
        <v>1.7</v>
      </c>
      <c r="K50">
        <f t="shared" si="3"/>
        <v>4.93</v>
      </c>
      <c r="L50" t="s">
        <v>456</v>
      </c>
    </row>
    <row r="51" spans="1:18" x14ac:dyDescent="0.2">
      <c r="F51">
        <v>1</v>
      </c>
      <c r="G51">
        <v>0</v>
      </c>
      <c r="H51">
        <v>4.5999999999999996</v>
      </c>
      <c r="I51">
        <v>2.9</v>
      </c>
      <c r="J51">
        <v>1.6</v>
      </c>
      <c r="K51">
        <f t="shared" si="3"/>
        <v>4.6399999999999997</v>
      </c>
      <c r="L51" t="s">
        <v>457</v>
      </c>
    </row>
    <row r="52" spans="1:18" x14ac:dyDescent="0.2">
      <c r="F52">
        <v>1</v>
      </c>
      <c r="G52">
        <v>0</v>
      </c>
      <c r="H52">
        <v>4.8</v>
      </c>
      <c r="I52">
        <v>3.9</v>
      </c>
      <c r="J52">
        <v>1</v>
      </c>
      <c r="K52">
        <f t="shared" si="3"/>
        <v>3.9</v>
      </c>
      <c r="L52" t="s">
        <v>458</v>
      </c>
    </row>
    <row r="53" spans="1:18" x14ac:dyDescent="0.2">
      <c r="F53">
        <v>1</v>
      </c>
      <c r="G53">
        <v>0</v>
      </c>
      <c r="H53">
        <v>3.9</v>
      </c>
      <c r="I53">
        <v>2.7</v>
      </c>
      <c r="J53">
        <v>1.5</v>
      </c>
      <c r="K53">
        <f t="shared" si="3"/>
        <v>4.0500000000000007</v>
      </c>
      <c r="L53" t="s">
        <v>459</v>
      </c>
    </row>
    <row r="54" spans="1:18" x14ac:dyDescent="0.2">
      <c r="F54">
        <v>1</v>
      </c>
      <c r="G54">
        <v>0</v>
      </c>
      <c r="H54">
        <v>3.8</v>
      </c>
      <c r="I54">
        <v>2.8</v>
      </c>
      <c r="J54">
        <v>1.4</v>
      </c>
      <c r="K54">
        <f t="shared" si="3"/>
        <v>3.9199999999999995</v>
      </c>
      <c r="L54" t="s">
        <v>460</v>
      </c>
    </row>
    <row r="55" spans="1:18" x14ac:dyDescent="0.2">
      <c r="F55">
        <v>1</v>
      </c>
      <c r="G55">
        <v>0</v>
      </c>
      <c r="H55">
        <v>3.2</v>
      </c>
      <c r="I55">
        <v>2.1</v>
      </c>
      <c r="J55">
        <v>1.4</v>
      </c>
      <c r="K55">
        <f>(I55*J55)</f>
        <v>2.94</v>
      </c>
      <c r="L55" t="s">
        <v>435</v>
      </c>
    </row>
    <row r="57" spans="1:18" x14ac:dyDescent="0.2">
      <c r="F57">
        <v>0</v>
      </c>
      <c r="G57">
        <v>1</v>
      </c>
      <c r="H57">
        <v>2.4</v>
      </c>
      <c r="I57">
        <v>2.4</v>
      </c>
      <c r="J57">
        <v>0.8</v>
      </c>
      <c r="K57">
        <f t="shared" si="3"/>
        <v>1.92</v>
      </c>
      <c r="L57" t="s">
        <v>426</v>
      </c>
      <c r="M57">
        <v>1</v>
      </c>
      <c r="N57">
        <v>1</v>
      </c>
      <c r="P57">
        <v>1</v>
      </c>
      <c r="Q57">
        <v>3</v>
      </c>
      <c r="R57" s="1">
        <v>43397</v>
      </c>
    </row>
    <row r="59" spans="1:18" x14ac:dyDescent="0.2">
      <c r="A59">
        <v>5</v>
      </c>
      <c r="B59" t="s">
        <v>25</v>
      </c>
      <c r="C59" s="1">
        <v>24171</v>
      </c>
      <c r="D59" s="1">
        <v>43437</v>
      </c>
      <c r="E59" t="s">
        <v>18</v>
      </c>
      <c r="F59">
        <v>1</v>
      </c>
      <c r="G59">
        <v>0</v>
      </c>
      <c r="H59">
        <v>4.0999999999999996</v>
      </c>
      <c r="I59">
        <v>3.3</v>
      </c>
      <c r="J59">
        <v>1.8</v>
      </c>
      <c r="K59">
        <f t="shared" si="3"/>
        <v>5.9399999999999995</v>
      </c>
      <c r="L59" t="s">
        <v>463</v>
      </c>
      <c r="R59" s="1"/>
    </row>
    <row r="60" spans="1:18" x14ac:dyDescent="0.2">
      <c r="C60" s="1"/>
      <c r="D60" s="1"/>
    </row>
    <row r="61" spans="1:18" x14ac:dyDescent="0.2">
      <c r="F61">
        <v>0</v>
      </c>
      <c r="G61">
        <v>1</v>
      </c>
      <c r="H61">
        <v>1.8</v>
      </c>
      <c r="I61">
        <v>1</v>
      </c>
      <c r="J61">
        <v>1</v>
      </c>
      <c r="K61">
        <f t="shared" si="3"/>
        <v>1</v>
      </c>
      <c r="L61" t="s">
        <v>272</v>
      </c>
    </row>
    <row r="62" spans="1:18" x14ac:dyDescent="0.2">
      <c r="F62">
        <v>0</v>
      </c>
      <c r="G62">
        <v>1</v>
      </c>
      <c r="H62">
        <v>1.9</v>
      </c>
      <c r="I62">
        <v>1.1000000000000001</v>
      </c>
      <c r="J62">
        <v>1.1000000000000001</v>
      </c>
      <c r="K62">
        <f t="shared" si="3"/>
        <v>1.2100000000000002</v>
      </c>
      <c r="L62" t="s">
        <v>187</v>
      </c>
    </row>
    <row r="63" spans="1:18" x14ac:dyDescent="0.2">
      <c r="F63">
        <v>0</v>
      </c>
      <c r="G63">
        <v>1</v>
      </c>
      <c r="H63">
        <v>1.9</v>
      </c>
      <c r="I63">
        <v>1</v>
      </c>
      <c r="J63">
        <v>1.2</v>
      </c>
      <c r="K63">
        <f t="shared" si="3"/>
        <v>1.2</v>
      </c>
      <c r="L63" t="s">
        <v>464</v>
      </c>
    </row>
    <row r="64" spans="1:18" x14ac:dyDescent="0.2">
      <c r="F64">
        <v>0</v>
      </c>
      <c r="G64">
        <v>1</v>
      </c>
      <c r="H64">
        <v>1.8</v>
      </c>
      <c r="I64">
        <v>1.1000000000000001</v>
      </c>
      <c r="J64">
        <v>1.3</v>
      </c>
      <c r="K64">
        <f t="shared" si="3"/>
        <v>1.4300000000000002</v>
      </c>
      <c r="L64" t="s">
        <v>426</v>
      </c>
      <c r="M64">
        <v>1</v>
      </c>
      <c r="N64">
        <v>1</v>
      </c>
      <c r="P64">
        <v>1</v>
      </c>
      <c r="Q64">
        <v>1</v>
      </c>
      <c r="R64" s="1">
        <v>43461</v>
      </c>
    </row>
    <row r="66" spans="1:18" x14ac:dyDescent="0.2">
      <c r="A66">
        <v>6</v>
      </c>
      <c r="B66" t="s">
        <v>26</v>
      </c>
      <c r="C66" s="1">
        <v>21589</v>
      </c>
      <c r="D66" s="1">
        <v>43444</v>
      </c>
      <c r="E66" t="s">
        <v>429</v>
      </c>
      <c r="F66">
        <v>1</v>
      </c>
      <c r="G66">
        <v>0</v>
      </c>
      <c r="H66">
        <v>7.7</v>
      </c>
      <c r="I66">
        <v>4.5</v>
      </c>
      <c r="J66">
        <v>4.2</v>
      </c>
      <c r="K66">
        <f t="shared" si="3"/>
        <v>18.900000000000002</v>
      </c>
      <c r="L66" t="s">
        <v>466</v>
      </c>
    </row>
    <row r="67" spans="1:18" x14ac:dyDescent="0.2">
      <c r="F67">
        <v>1</v>
      </c>
      <c r="G67">
        <v>0</v>
      </c>
      <c r="H67">
        <v>4.5</v>
      </c>
      <c r="I67">
        <v>2.7</v>
      </c>
      <c r="J67">
        <v>1.7</v>
      </c>
      <c r="K67">
        <f t="shared" si="3"/>
        <v>4.59</v>
      </c>
      <c r="L67" t="s">
        <v>465</v>
      </c>
    </row>
    <row r="68" spans="1:18" x14ac:dyDescent="0.2">
      <c r="F68">
        <v>1</v>
      </c>
      <c r="G68">
        <v>0</v>
      </c>
      <c r="H68">
        <v>5.0999999999999996</v>
      </c>
      <c r="I68">
        <v>4.0999999999999996</v>
      </c>
      <c r="J68">
        <v>1.2</v>
      </c>
      <c r="K68">
        <f t="shared" si="3"/>
        <v>4.919999999999999</v>
      </c>
      <c r="L68" t="s">
        <v>467</v>
      </c>
    </row>
    <row r="69" spans="1:18" x14ac:dyDescent="0.2">
      <c r="F69">
        <v>1</v>
      </c>
      <c r="G69">
        <v>0</v>
      </c>
      <c r="H69">
        <v>6</v>
      </c>
      <c r="I69">
        <v>3.7</v>
      </c>
      <c r="J69">
        <v>1.1000000000000001</v>
      </c>
      <c r="K69">
        <f t="shared" si="3"/>
        <v>4.07</v>
      </c>
      <c r="L69" t="s">
        <v>484</v>
      </c>
    </row>
    <row r="70" spans="1:18" x14ac:dyDescent="0.2">
      <c r="F70">
        <v>1</v>
      </c>
      <c r="G70">
        <v>0</v>
      </c>
      <c r="H70">
        <v>6</v>
      </c>
      <c r="I70">
        <v>3.7</v>
      </c>
      <c r="J70">
        <v>1.2</v>
      </c>
      <c r="K70">
        <f t="shared" si="3"/>
        <v>4.4400000000000004</v>
      </c>
      <c r="L70" t="s">
        <v>484</v>
      </c>
    </row>
    <row r="71" spans="1:18" x14ac:dyDescent="0.2">
      <c r="F71">
        <v>1</v>
      </c>
      <c r="G71">
        <v>0</v>
      </c>
      <c r="H71">
        <v>5.6</v>
      </c>
      <c r="I71">
        <v>3.2</v>
      </c>
      <c r="J71">
        <v>2.1</v>
      </c>
      <c r="K71">
        <f t="shared" si="3"/>
        <v>6.7200000000000006</v>
      </c>
      <c r="L71" t="s">
        <v>468</v>
      </c>
    </row>
    <row r="72" spans="1:18" x14ac:dyDescent="0.2">
      <c r="F72">
        <v>1</v>
      </c>
      <c r="G72">
        <v>0</v>
      </c>
      <c r="H72">
        <v>5.0999999999999996</v>
      </c>
      <c r="I72">
        <v>3.4</v>
      </c>
      <c r="J72">
        <v>1.6</v>
      </c>
      <c r="K72">
        <f t="shared" si="3"/>
        <v>5.44</v>
      </c>
      <c r="L72" t="s">
        <v>469</v>
      </c>
    </row>
    <row r="74" spans="1:18" x14ac:dyDescent="0.2">
      <c r="F74">
        <v>0</v>
      </c>
      <c r="G74">
        <v>1</v>
      </c>
      <c r="H74">
        <v>2.8</v>
      </c>
      <c r="I74">
        <v>1.6</v>
      </c>
      <c r="J74">
        <v>1.1000000000000001</v>
      </c>
      <c r="K74">
        <f t="shared" si="3"/>
        <v>1.7600000000000002</v>
      </c>
      <c r="L74" t="s">
        <v>187</v>
      </c>
    </row>
    <row r="75" spans="1:18" x14ac:dyDescent="0.2">
      <c r="F75">
        <v>0</v>
      </c>
      <c r="G75">
        <v>1</v>
      </c>
      <c r="H75">
        <v>2.7</v>
      </c>
      <c r="I75">
        <v>1.8</v>
      </c>
      <c r="J75">
        <v>1.3</v>
      </c>
      <c r="K75">
        <f t="shared" si="3"/>
        <v>2.3400000000000003</v>
      </c>
      <c r="L75" t="s">
        <v>272</v>
      </c>
    </row>
    <row r="76" spans="1:18" x14ac:dyDescent="0.2">
      <c r="F76">
        <v>0</v>
      </c>
      <c r="G76">
        <v>1</v>
      </c>
      <c r="H76">
        <v>2.6</v>
      </c>
      <c r="I76">
        <v>1.8</v>
      </c>
      <c r="J76">
        <v>1.4</v>
      </c>
      <c r="K76">
        <f t="shared" si="3"/>
        <v>2.52</v>
      </c>
      <c r="L76" t="s">
        <v>470</v>
      </c>
      <c r="M76">
        <v>1</v>
      </c>
      <c r="N76">
        <v>1</v>
      </c>
      <c r="P76">
        <v>1</v>
      </c>
      <c r="Q76">
        <v>3</v>
      </c>
      <c r="R76" s="1">
        <v>43424</v>
      </c>
    </row>
    <row r="78" spans="1:18" x14ac:dyDescent="0.2">
      <c r="A78">
        <v>7</v>
      </c>
      <c r="B78" s="15" t="s">
        <v>30</v>
      </c>
      <c r="C78" s="1">
        <v>18099</v>
      </c>
      <c r="D78" s="1">
        <v>43472</v>
      </c>
      <c r="E78" t="s">
        <v>447</v>
      </c>
      <c r="F78">
        <v>1</v>
      </c>
      <c r="G78">
        <v>0</v>
      </c>
      <c r="H78">
        <v>8.6999999999999993</v>
      </c>
      <c r="I78">
        <v>4.9000000000000004</v>
      </c>
      <c r="J78">
        <v>9.6</v>
      </c>
      <c r="K78">
        <f t="shared" si="3"/>
        <v>47.04</v>
      </c>
      <c r="L78" t="s">
        <v>471</v>
      </c>
      <c r="O78" t="s">
        <v>509</v>
      </c>
    </row>
    <row r="79" spans="1:18" x14ac:dyDescent="0.2">
      <c r="F79">
        <v>1</v>
      </c>
      <c r="G79">
        <v>0</v>
      </c>
      <c r="H79">
        <v>9.4</v>
      </c>
      <c r="I79">
        <v>5.5</v>
      </c>
      <c r="J79">
        <v>8.1999999999999993</v>
      </c>
      <c r="K79">
        <f t="shared" si="3"/>
        <v>45.099999999999994</v>
      </c>
      <c r="L79" t="s">
        <v>487</v>
      </c>
    </row>
    <row r="80" spans="1:18" x14ac:dyDescent="0.2">
      <c r="F80">
        <v>1</v>
      </c>
      <c r="G80">
        <v>0</v>
      </c>
      <c r="H80">
        <v>4</v>
      </c>
      <c r="I80">
        <v>2.5</v>
      </c>
      <c r="J80">
        <v>2</v>
      </c>
      <c r="K80">
        <f t="shared" si="3"/>
        <v>5</v>
      </c>
      <c r="L80" t="s">
        <v>472</v>
      </c>
    </row>
    <row r="81" spans="6:12" x14ac:dyDescent="0.2">
      <c r="F81">
        <v>1</v>
      </c>
      <c r="G81">
        <v>0</v>
      </c>
      <c r="H81">
        <v>4</v>
      </c>
      <c r="I81">
        <v>2.4</v>
      </c>
      <c r="J81">
        <v>1.5</v>
      </c>
      <c r="K81">
        <f t="shared" si="3"/>
        <v>3.5999999999999996</v>
      </c>
      <c r="L81" t="s">
        <v>473</v>
      </c>
    </row>
    <row r="82" spans="6:12" x14ac:dyDescent="0.2">
      <c r="F82">
        <v>1</v>
      </c>
      <c r="G82">
        <v>0</v>
      </c>
      <c r="H82">
        <v>4</v>
      </c>
      <c r="I82">
        <v>2.6</v>
      </c>
      <c r="J82">
        <v>1.7</v>
      </c>
      <c r="K82">
        <f t="shared" si="3"/>
        <v>4.42</v>
      </c>
      <c r="L82" t="s">
        <v>474</v>
      </c>
    </row>
    <row r="83" spans="6:12" x14ac:dyDescent="0.2">
      <c r="F83">
        <v>1</v>
      </c>
      <c r="G83">
        <v>0</v>
      </c>
      <c r="H83">
        <v>4.9000000000000004</v>
      </c>
      <c r="I83">
        <v>2.9</v>
      </c>
      <c r="J83">
        <v>1.2</v>
      </c>
      <c r="K83">
        <f t="shared" si="3"/>
        <v>3.48</v>
      </c>
      <c r="L83" t="s">
        <v>458</v>
      </c>
    </row>
    <row r="84" spans="6:12" x14ac:dyDescent="0.2">
      <c r="F84">
        <v>1</v>
      </c>
      <c r="G84">
        <v>0</v>
      </c>
      <c r="H84">
        <v>5.4</v>
      </c>
      <c r="I84">
        <v>3.2</v>
      </c>
      <c r="J84">
        <v>1.5</v>
      </c>
      <c r="K84">
        <f t="shared" si="3"/>
        <v>4.8000000000000007</v>
      </c>
      <c r="L84" t="s">
        <v>475</v>
      </c>
    </row>
    <row r="85" spans="6:12" x14ac:dyDescent="0.2">
      <c r="F85">
        <v>1</v>
      </c>
      <c r="G85">
        <v>0</v>
      </c>
      <c r="H85">
        <v>13.3</v>
      </c>
      <c r="I85">
        <v>7.2</v>
      </c>
      <c r="J85">
        <v>6.1</v>
      </c>
      <c r="K85">
        <f t="shared" si="3"/>
        <v>43.92</v>
      </c>
      <c r="L85" t="s">
        <v>476</v>
      </c>
    </row>
    <row r="86" spans="6:12" x14ac:dyDescent="0.2">
      <c r="F86">
        <v>1</v>
      </c>
      <c r="G86">
        <v>0</v>
      </c>
      <c r="H86">
        <v>6</v>
      </c>
      <c r="I86">
        <v>3.2</v>
      </c>
      <c r="J86">
        <v>15.8</v>
      </c>
      <c r="K86">
        <f t="shared" si="3"/>
        <v>50.56</v>
      </c>
      <c r="L86" t="s">
        <v>477</v>
      </c>
    </row>
    <row r="87" spans="6:12" x14ac:dyDescent="0.2">
      <c r="F87">
        <v>1</v>
      </c>
      <c r="G87">
        <v>0</v>
      </c>
      <c r="H87">
        <v>6.7</v>
      </c>
      <c r="I87">
        <v>4.2</v>
      </c>
      <c r="J87">
        <v>4.3</v>
      </c>
      <c r="K87">
        <f t="shared" si="3"/>
        <v>18.059999999999999</v>
      </c>
      <c r="L87" t="s">
        <v>478</v>
      </c>
    </row>
    <row r="88" spans="6:12" x14ac:dyDescent="0.2">
      <c r="F88">
        <v>1</v>
      </c>
      <c r="G88">
        <v>0</v>
      </c>
      <c r="H88">
        <v>4.5</v>
      </c>
      <c r="I88">
        <v>2.7</v>
      </c>
      <c r="J88">
        <v>3.9</v>
      </c>
      <c r="K88">
        <f t="shared" si="3"/>
        <v>10.530000000000001</v>
      </c>
      <c r="L88" t="s">
        <v>479</v>
      </c>
    </row>
    <row r="89" spans="6:12" x14ac:dyDescent="0.2">
      <c r="F89">
        <v>1</v>
      </c>
      <c r="G89">
        <v>0</v>
      </c>
      <c r="H89">
        <v>8.1</v>
      </c>
      <c r="I89">
        <v>4.3</v>
      </c>
      <c r="J89">
        <v>4.5</v>
      </c>
      <c r="K89">
        <f t="shared" si="3"/>
        <v>19.349999999999998</v>
      </c>
      <c r="L89" t="s">
        <v>481</v>
      </c>
    </row>
    <row r="90" spans="6:12" x14ac:dyDescent="0.2">
      <c r="F90">
        <v>1</v>
      </c>
      <c r="G90">
        <v>0</v>
      </c>
      <c r="H90">
        <v>8</v>
      </c>
      <c r="I90">
        <v>4.5</v>
      </c>
      <c r="J90">
        <v>3.6</v>
      </c>
      <c r="K90">
        <f t="shared" si="3"/>
        <v>16.2</v>
      </c>
      <c r="L90" t="s">
        <v>482</v>
      </c>
    </row>
    <row r="91" spans="6:12" x14ac:dyDescent="0.2">
      <c r="F91">
        <v>1</v>
      </c>
      <c r="G91">
        <v>0</v>
      </c>
      <c r="H91">
        <v>13.3</v>
      </c>
      <c r="I91">
        <v>6.8</v>
      </c>
      <c r="J91">
        <v>15.3</v>
      </c>
      <c r="K91">
        <f t="shared" si="3"/>
        <v>104.04</v>
      </c>
      <c r="L91" t="s">
        <v>169</v>
      </c>
    </row>
    <row r="92" spans="6:12" x14ac:dyDescent="0.2">
      <c r="F92">
        <v>1</v>
      </c>
      <c r="G92">
        <v>0</v>
      </c>
      <c r="H92">
        <v>6.3</v>
      </c>
      <c r="I92">
        <v>3.1</v>
      </c>
      <c r="J92">
        <v>27.8</v>
      </c>
      <c r="K92">
        <f t="shared" si="3"/>
        <v>86.18</v>
      </c>
      <c r="L92" t="s">
        <v>170</v>
      </c>
    </row>
    <row r="93" spans="6:12" x14ac:dyDescent="0.2">
      <c r="F93">
        <v>1</v>
      </c>
      <c r="G93">
        <v>0</v>
      </c>
      <c r="H93">
        <v>6.1</v>
      </c>
      <c r="I93">
        <v>4</v>
      </c>
      <c r="J93">
        <v>3.2</v>
      </c>
      <c r="K93">
        <f t="shared" si="3"/>
        <v>12.8</v>
      </c>
      <c r="L93" t="s">
        <v>483</v>
      </c>
    </row>
    <row r="94" spans="6:12" x14ac:dyDescent="0.2">
      <c r="F94">
        <v>1</v>
      </c>
      <c r="G94">
        <v>0</v>
      </c>
      <c r="H94">
        <v>6.3</v>
      </c>
      <c r="I94">
        <v>3.6</v>
      </c>
      <c r="J94">
        <v>4.2</v>
      </c>
      <c r="K94">
        <f t="shared" si="3"/>
        <v>15.120000000000001</v>
      </c>
      <c r="L94" t="s">
        <v>484</v>
      </c>
    </row>
    <row r="95" spans="6:12" x14ac:dyDescent="0.2">
      <c r="F95">
        <v>1</v>
      </c>
      <c r="G95">
        <v>0</v>
      </c>
      <c r="H95">
        <v>5.7</v>
      </c>
      <c r="I95">
        <v>3.8</v>
      </c>
      <c r="J95">
        <v>1.2</v>
      </c>
      <c r="K95">
        <f t="shared" si="3"/>
        <v>4.5599999999999996</v>
      </c>
      <c r="L95" t="s">
        <v>485</v>
      </c>
    </row>
    <row r="96" spans="6:12" x14ac:dyDescent="0.2">
      <c r="F96">
        <v>1</v>
      </c>
      <c r="G96">
        <v>0</v>
      </c>
      <c r="H96">
        <v>5.2</v>
      </c>
      <c r="I96">
        <v>2.9</v>
      </c>
      <c r="J96">
        <v>3</v>
      </c>
      <c r="K96">
        <f t="shared" si="3"/>
        <v>8.6999999999999993</v>
      </c>
      <c r="L96" t="s">
        <v>486</v>
      </c>
    </row>
    <row r="97" spans="1:18" x14ac:dyDescent="0.2">
      <c r="F97">
        <v>1</v>
      </c>
      <c r="G97">
        <v>0</v>
      </c>
      <c r="H97">
        <v>6.8</v>
      </c>
      <c r="I97">
        <v>4.5999999999999996</v>
      </c>
      <c r="J97">
        <v>1.3</v>
      </c>
      <c r="K97">
        <f t="shared" si="3"/>
        <v>5.9799999999999995</v>
      </c>
      <c r="L97" t="s">
        <v>492</v>
      </c>
    </row>
    <row r="98" spans="1:18" x14ac:dyDescent="0.2">
      <c r="F98">
        <v>1</v>
      </c>
      <c r="G98">
        <v>0</v>
      </c>
      <c r="H98">
        <v>8.9</v>
      </c>
      <c r="I98">
        <v>5.7</v>
      </c>
      <c r="J98">
        <v>1.1000000000000001</v>
      </c>
      <c r="K98">
        <f t="shared" si="3"/>
        <v>6.2700000000000005</v>
      </c>
      <c r="L98" t="s">
        <v>493</v>
      </c>
    </row>
    <row r="99" spans="1:18" x14ac:dyDescent="0.2">
      <c r="F99">
        <v>1</v>
      </c>
      <c r="G99">
        <v>0</v>
      </c>
      <c r="H99">
        <v>5.4</v>
      </c>
      <c r="I99">
        <v>4</v>
      </c>
      <c r="J99">
        <v>1.8</v>
      </c>
      <c r="K99">
        <f t="shared" si="3"/>
        <v>7.2</v>
      </c>
      <c r="L99" t="s">
        <v>494</v>
      </c>
    </row>
    <row r="100" spans="1:18" x14ac:dyDescent="0.2">
      <c r="F100">
        <v>1</v>
      </c>
      <c r="G100">
        <v>0</v>
      </c>
      <c r="H100">
        <v>6.5</v>
      </c>
      <c r="I100">
        <v>2.4</v>
      </c>
      <c r="J100">
        <v>3</v>
      </c>
      <c r="K100">
        <f t="shared" si="3"/>
        <v>7.1999999999999993</v>
      </c>
      <c r="L100" t="s">
        <v>494</v>
      </c>
    </row>
    <row r="102" spans="1:18" x14ac:dyDescent="0.2">
      <c r="F102">
        <v>0</v>
      </c>
      <c r="G102">
        <v>1</v>
      </c>
      <c r="H102">
        <v>2.1</v>
      </c>
      <c r="I102">
        <v>1.8</v>
      </c>
      <c r="J102">
        <v>0.9</v>
      </c>
      <c r="K102">
        <f t="shared" ref="K102:K124" si="4">(I102*J102)</f>
        <v>1.62</v>
      </c>
      <c r="L102" t="s">
        <v>480</v>
      </c>
    </row>
    <row r="103" spans="1:18" x14ac:dyDescent="0.2">
      <c r="F103">
        <v>0</v>
      </c>
      <c r="G103">
        <v>1</v>
      </c>
      <c r="H103">
        <v>2.1</v>
      </c>
      <c r="I103">
        <v>1.7</v>
      </c>
      <c r="J103">
        <v>0.9</v>
      </c>
      <c r="K103">
        <f t="shared" si="4"/>
        <v>1.53</v>
      </c>
      <c r="L103" t="s">
        <v>488</v>
      </c>
    </row>
    <row r="104" spans="1:18" x14ac:dyDescent="0.2">
      <c r="F104">
        <v>0</v>
      </c>
      <c r="G104">
        <v>1</v>
      </c>
      <c r="H104">
        <v>2</v>
      </c>
      <c r="I104">
        <v>1.6</v>
      </c>
      <c r="J104">
        <v>0.8</v>
      </c>
      <c r="K104">
        <f t="shared" si="4"/>
        <v>1.2800000000000002</v>
      </c>
      <c r="L104" t="s">
        <v>489</v>
      </c>
    </row>
    <row r="105" spans="1:18" x14ac:dyDescent="0.2">
      <c r="F105">
        <v>0</v>
      </c>
      <c r="G105">
        <v>1</v>
      </c>
      <c r="H105">
        <v>2.1</v>
      </c>
      <c r="I105">
        <v>1.6</v>
      </c>
      <c r="J105">
        <v>1.1000000000000001</v>
      </c>
      <c r="K105">
        <f t="shared" si="4"/>
        <v>1.7600000000000002</v>
      </c>
      <c r="L105" t="s">
        <v>490</v>
      </c>
    </row>
    <row r="106" spans="1:18" x14ac:dyDescent="0.2">
      <c r="F106">
        <v>0</v>
      </c>
      <c r="G106">
        <v>1</v>
      </c>
      <c r="H106">
        <v>2.2000000000000002</v>
      </c>
      <c r="I106">
        <v>1.7</v>
      </c>
      <c r="J106">
        <v>1</v>
      </c>
      <c r="K106">
        <f t="shared" si="4"/>
        <v>1.7</v>
      </c>
      <c r="L106" t="s">
        <v>491</v>
      </c>
      <c r="M106">
        <v>1</v>
      </c>
      <c r="N106">
        <v>1</v>
      </c>
      <c r="P106">
        <v>1</v>
      </c>
      <c r="Q106">
        <v>4</v>
      </c>
      <c r="R106" s="1">
        <v>43343</v>
      </c>
    </row>
    <row r="108" spans="1:18" x14ac:dyDescent="0.2">
      <c r="A108">
        <v>8</v>
      </c>
      <c r="B108" s="4" t="s">
        <v>31</v>
      </c>
      <c r="C108" s="1">
        <v>23467</v>
      </c>
      <c r="D108" s="1">
        <v>43472</v>
      </c>
      <c r="E108" t="s">
        <v>32</v>
      </c>
      <c r="F108">
        <v>1</v>
      </c>
      <c r="G108">
        <v>0</v>
      </c>
      <c r="H108">
        <v>9</v>
      </c>
      <c r="I108">
        <v>4.9000000000000004</v>
      </c>
      <c r="J108">
        <v>2.4</v>
      </c>
      <c r="K108">
        <f t="shared" si="4"/>
        <v>11.76</v>
      </c>
      <c r="L108" t="s">
        <v>495</v>
      </c>
      <c r="O108" t="s">
        <v>510</v>
      </c>
    </row>
    <row r="109" spans="1:18" x14ac:dyDescent="0.2">
      <c r="F109">
        <v>1</v>
      </c>
      <c r="G109">
        <v>0</v>
      </c>
      <c r="H109">
        <v>4.8</v>
      </c>
      <c r="I109">
        <v>3.6</v>
      </c>
      <c r="J109">
        <v>1.5</v>
      </c>
      <c r="K109">
        <f t="shared" si="4"/>
        <v>5.4</v>
      </c>
      <c r="L109" t="s">
        <v>496</v>
      </c>
    </row>
    <row r="110" spans="1:18" x14ac:dyDescent="0.2">
      <c r="F110">
        <v>1</v>
      </c>
      <c r="G110">
        <v>0</v>
      </c>
      <c r="H110">
        <v>4.8</v>
      </c>
      <c r="I110">
        <v>3</v>
      </c>
      <c r="J110">
        <v>2.2000000000000002</v>
      </c>
      <c r="K110">
        <f t="shared" si="4"/>
        <v>6.6000000000000005</v>
      </c>
      <c r="L110" t="s">
        <v>497</v>
      </c>
    </row>
    <row r="111" spans="1:18" x14ac:dyDescent="0.2">
      <c r="F111">
        <v>1</v>
      </c>
      <c r="G111">
        <v>0</v>
      </c>
      <c r="H111">
        <v>4.5</v>
      </c>
      <c r="I111">
        <v>2.6</v>
      </c>
      <c r="J111">
        <v>1.8</v>
      </c>
      <c r="K111">
        <f t="shared" si="4"/>
        <v>4.6800000000000006</v>
      </c>
      <c r="L111" t="s">
        <v>498</v>
      </c>
    </row>
    <row r="112" spans="1:18" x14ac:dyDescent="0.2">
      <c r="F112">
        <v>1</v>
      </c>
      <c r="G112">
        <v>0</v>
      </c>
      <c r="H112">
        <v>4.9000000000000004</v>
      </c>
      <c r="I112">
        <v>2.6</v>
      </c>
      <c r="J112">
        <v>1.9</v>
      </c>
      <c r="K112">
        <f t="shared" si="4"/>
        <v>4.9399999999999995</v>
      </c>
      <c r="L112" t="s">
        <v>499</v>
      </c>
    </row>
    <row r="113" spans="1:16" x14ac:dyDescent="0.2">
      <c r="F113">
        <v>1</v>
      </c>
      <c r="G113">
        <v>0</v>
      </c>
      <c r="H113">
        <v>6.1</v>
      </c>
      <c r="I113">
        <v>3.3</v>
      </c>
      <c r="J113">
        <v>1.4</v>
      </c>
      <c r="K113">
        <f t="shared" si="4"/>
        <v>4.6199999999999992</v>
      </c>
      <c r="L113" t="s">
        <v>169</v>
      </c>
    </row>
    <row r="114" spans="1:16" x14ac:dyDescent="0.2">
      <c r="F114">
        <v>1</v>
      </c>
      <c r="G114">
        <v>0</v>
      </c>
      <c r="H114">
        <v>3.4</v>
      </c>
      <c r="I114">
        <v>2.6</v>
      </c>
      <c r="J114">
        <v>1.5</v>
      </c>
      <c r="K114">
        <f t="shared" si="4"/>
        <v>3.9000000000000004</v>
      </c>
      <c r="L114" t="s">
        <v>500</v>
      </c>
    </row>
    <row r="115" spans="1:16" x14ac:dyDescent="0.2">
      <c r="F115">
        <v>1</v>
      </c>
      <c r="G115">
        <v>0</v>
      </c>
      <c r="H115">
        <v>3.9</v>
      </c>
      <c r="I115">
        <v>2.8</v>
      </c>
      <c r="J115">
        <v>1.2</v>
      </c>
      <c r="K115">
        <f t="shared" si="4"/>
        <v>3.36</v>
      </c>
      <c r="L115" t="s">
        <v>500</v>
      </c>
    </row>
    <row r="117" spans="1:16" x14ac:dyDescent="0.2">
      <c r="F117">
        <v>0</v>
      </c>
      <c r="G117">
        <v>1</v>
      </c>
      <c r="H117">
        <v>2</v>
      </c>
      <c r="I117">
        <v>1.5</v>
      </c>
      <c r="J117">
        <v>0.8</v>
      </c>
      <c r="K117">
        <f t="shared" si="4"/>
        <v>1.2000000000000002</v>
      </c>
      <c r="L117" t="s">
        <v>501</v>
      </c>
    </row>
    <row r="118" spans="1:16" x14ac:dyDescent="0.2">
      <c r="F118">
        <v>0</v>
      </c>
      <c r="G118">
        <v>1</v>
      </c>
      <c r="H118">
        <v>2</v>
      </c>
      <c r="I118">
        <v>1.6</v>
      </c>
      <c r="J118">
        <v>0.9</v>
      </c>
      <c r="K118">
        <f t="shared" si="4"/>
        <v>1.4400000000000002</v>
      </c>
      <c r="L118" t="s">
        <v>502</v>
      </c>
    </row>
    <row r="119" spans="1:16" x14ac:dyDescent="0.2">
      <c r="F119">
        <v>0</v>
      </c>
      <c r="G119">
        <v>1</v>
      </c>
      <c r="H119">
        <v>2.2000000000000002</v>
      </c>
      <c r="I119">
        <v>2.2000000000000002</v>
      </c>
      <c r="J119">
        <v>0.9</v>
      </c>
      <c r="K119">
        <f t="shared" si="4"/>
        <v>1.9800000000000002</v>
      </c>
      <c r="L119" t="s">
        <v>503</v>
      </c>
    </row>
    <row r="120" spans="1:16" x14ac:dyDescent="0.2">
      <c r="F120">
        <v>0</v>
      </c>
      <c r="G120">
        <v>1</v>
      </c>
      <c r="H120">
        <v>2.2999999999999998</v>
      </c>
      <c r="I120">
        <v>1.9</v>
      </c>
      <c r="J120">
        <v>1.1000000000000001</v>
      </c>
      <c r="K120">
        <f t="shared" si="4"/>
        <v>2.09</v>
      </c>
      <c r="L120" t="s">
        <v>504</v>
      </c>
    </row>
    <row r="121" spans="1:16" x14ac:dyDescent="0.2">
      <c r="F121">
        <v>0</v>
      </c>
      <c r="G121">
        <v>1</v>
      </c>
      <c r="H121">
        <v>2.1</v>
      </c>
      <c r="I121">
        <v>1.8</v>
      </c>
      <c r="J121">
        <v>1.3</v>
      </c>
      <c r="K121">
        <f t="shared" si="4"/>
        <v>2.3400000000000003</v>
      </c>
      <c r="L121" t="s">
        <v>505</v>
      </c>
    </row>
    <row r="122" spans="1:16" x14ac:dyDescent="0.2">
      <c r="F122">
        <v>0</v>
      </c>
      <c r="G122">
        <v>1</v>
      </c>
      <c r="H122">
        <v>2.4</v>
      </c>
      <c r="I122">
        <v>1.5</v>
      </c>
      <c r="J122">
        <v>1.3</v>
      </c>
      <c r="K122">
        <f t="shared" si="4"/>
        <v>1.9500000000000002</v>
      </c>
      <c r="L122" t="s">
        <v>506</v>
      </c>
    </row>
    <row r="123" spans="1:16" x14ac:dyDescent="0.2">
      <c r="F123">
        <v>0</v>
      </c>
      <c r="G123">
        <v>1</v>
      </c>
      <c r="H123">
        <v>3.4</v>
      </c>
      <c r="I123">
        <v>2</v>
      </c>
      <c r="J123">
        <v>1.4</v>
      </c>
      <c r="K123">
        <f t="shared" si="4"/>
        <v>2.8</v>
      </c>
      <c r="L123" t="s">
        <v>507</v>
      </c>
    </row>
    <row r="124" spans="1:16" x14ac:dyDescent="0.2">
      <c r="F124">
        <v>0</v>
      </c>
      <c r="G124">
        <v>1</v>
      </c>
      <c r="H124">
        <v>1.9</v>
      </c>
      <c r="I124">
        <v>1.2</v>
      </c>
      <c r="J124">
        <v>1.8</v>
      </c>
      <c r="K124">
        <f t="shared" si="4"/>
        <v>2.16</v>
      </c>
      <c r="L124" t="s">
        <v>508</v>
      </c>
      <c r="M124">
        <v>1</v>
      </c>
      <c r="N124">
        <v>1</v>
      </c>
      <c r="P124">
        <v>0</v>
      </c>
    </row>
    <row r="126" spans="1:16" x14ac:dyDescent="0.2">
      <c r="A126">
        <v>9</v>
      </c>
      <c r="B126" t="s">
        <v>34</v>
      </c>
      <c r="C126" s="1">
        <v>20776</v>
      </c>
      <c r="D126" s="1">
        <v>43479</v>
      </c>
      <c r="E126" t="s">
        <v>35</v>
      </c>
      <c r="F126">
        <v>1</v>
      </c>
      <c r="G126">
        <v>0</v>
      </c>
      <c r="H126">
        <v>7.2</v>
      </c>
      <c r="I126">
        <v>4.2</v>
      </c>
      <c r="J126">
        <v>3.9</v>
      </c>
      <c r="K126">
        <f t="shared" ref="K126:K131" si="5">(I126*J126)</f>
        <v>16.38</v>
      </c>
      <c r="L126" t="s">
        <v>517</v>
      </c>
    </row>
    <row r="127" spans="1:16" x14ac:dyDescent="0.2">
      <c r="F127">
        <v>1</v>
      </c>
      <c r="G127">
        <v>0</v>
      </c>
      <c r="H127">
        <v>4</v>
      </c>
      <c r="I127">
        <v>2.9</v>
      </c>
      <c r="J127">
        <v>1.2</v>
      </c>
      <c r="K127">
        <f t="shared" si="5"/>
        <v>3.48</v>
      </c>
      <c r="L127" t="s">
        <v>518</v>
      </c>
    </row>
    <row r="128" spans="1:16" x14ac:dyDescent="0.2">
      <c r="F128">
        <v>1</v>
      </c>
      <c r="G128">
        <v>0</v>
      </c>
      <c r="H128">
        <v>6</v>
      </c>
      <c r="I128">
        <v>3.8</v>
      </c>
      <c r="J128">
        <v>3.4</v>
      </c>
      <c r="K128">
        <f t="shared" si="5"/>
        <v>12.92</v>
      </c>
      <c r="L128" t="s">
        <v>520</v>
      </c>
    </row>
    <row r="129" spans="1:18" x14ac:dyDescent="0.2">
      <c r="F129">
        <v>1</v>
      </c>
      <c r="G129">
        <v>0</v>
      </c>
      <c r="H129">
        <v>7.4</v>
      </c>
      <c r="I129">
        <v>4.7</v>
      </c>
      <c r="J129">
        <v>1.2</v>
      </c>
      <c r="K129">
        <f t="shared" si="5"/>
        <v>5.64</v>
      </c>
      <c r="L129" t="s">
        <v>519</v>
      </c>
    </row>
    <row r="130" spans="1:18" x14ac:dyDescent="0.2">
      <c r="F130">
        <v>1</v>
      </c>
      <c r="G130">
        <v>0</v>
      </c>
      <c r="H130">
        <v>5.7</v>
      </c>
      <c r="I130">
        <v>3.5</v>
      </c>
      <c r="J130">
        <v>1.4</v>
      </c>
      <c r="K130">
        <f t="shared" si="5"/>
        <v>4.8999999999999995</v>
      </c>
      <c r="L130" t="s">
        <v>521</v>
      </c>
    </row>
    <row r="131" spans="1:18" x14ac:dyDescent="0.2">
      <c r="F131">
        <v>1</v>
      </c>
      <c r="G131">
        <v>0</v>
      </c>
      <c r="H131">
        <v>4.7</v>
      </c>
      <c r="I131">
        <v>2.9</v>
      </c>
      <c r="J131">
        <v>1.9</v>
      </c>
      <c r="K131">
        <f t="shared" si="5"/>
        <v>5.51</v>
      </c>
      <c r="L131" t="s">
        <v>522</v>
      </c>
    </row>
    <row r="133" spans="1:18" x14ac:dyDescent="0.2">
      <c r="F133">
        <v>0</v>
      </c>
      <c r="G133">
        <v>1</v>
      </c>
      <c r="H133">
        <v>3.3</v>
      </c>
      <c r="I133">
        <v>2.7</v>
      </c>
      <c r="J133">
        <v>0.8</v>
      </c>
      <c r="K133">
        <f t="shared" ref="K133:K160" si="6">(I133*J133)</f>
        <v>2.16</v>
      </c>
      <c r="L133" t="s">
        <v>511</v>
      </c>
    </row>
    <row r="134" spans="1:18" x14ac:dyDescent="0.2">
      <c r="F134">
        <v>0</v>
      </c>
      <c r="G134">
        <v>1</v>
      </c>
      <c r="H134">
        <v>2.8</v>
      </c>
      <c r="I134">
        <v>2.2000000000000002</v>
      </c>
      <c r="J134">
        <v>1.1000000000000001</v>
      </c>
      <c r="K134">
        <f t="shared" si="6"/>
        <v>2.4200000000000004</v>
      </c>
      <c r="L134" t="s">
        <v>512</v>
      </c>
    </row>
    <row r="135" spans="1:18" x14ac:dyDescent="0.2">
      <c r="F135">
        <v>0</v>
      </c>
      <c r="G135">
        <v>1</v>
      </c>
      <c r="H135">
        <v>2.9</v>
      </c>
      <c r="I135">
        <v>2.4</v>
      </c>
      <c r="J135">
        <v>1.1000000000000001</v>
      </c>
      <c r="K135">
        <f t="shared" si="6"/>
        <v>2.64</v>
      </c>
      <c r="L135" t="s">
        <v>513</v>
      </c>
    </row>
    <row r="136" spans="1:18" x14ac:dyDescent="0.2">
      <c r="F136">
        <v>0</v>
      </c>
      <c r="G136">
        <v>1</v>
      </c>
      <c r="H136">
        <v>2.1</v>
      </c>
      <c r="I136">
        <v>1.6</v>
      </c>
      <c r="J136">
        <v>0.5</v>
      </c>
      <c r="K136">
        <f t="shared" si="6"/>
        <v>0.8</v>
      </c>
      <c r="L136" t="s">
        <v>104</v>
      </c>
      <c r="O136" t="s">
        <v>514</v>
      </c>
    </row>
    <row r="137" spans="1:18" x14ac:dyDescent="0.2">
      <c r="F137">
        <v>0</v>
      </c>
      <c r="G137">
        <v>1</v>
      </c>
      <c r="H137">
        <v>3.2</v>
      </c>
      <c r="I137">
        <v>2.1</v>
      </c>
      <c r="J137">
        <v>1.2</v>
      </c>
      <c r="K137">
        <f t="shared" si="6"/>
        <v>2.52</v>
      </c>
      <c r="L137" t="s">
        <v>458</v>
      </c>
      <c r="O137" t="s">
        <v>515</v>
      </c>
    </row>
    <row r="138" spans="1:18" x14ac:dyDescent="0.2">
      <c r="F138">
        <v>0</v>
      </c>
      <c r="G138">
        <v>1</v>
      </c>
      <c r="H138">
        <v>2.9</v>
      </c>
      <c r="I138">
        <v>1.9</v>
      </c>
      <c r="J138">
        <v>1.9</v>
      </c>
      <c r="K138">
        <f t="shared" si="6"/>
        <v>3.61</v>
      </c>
      <c r="L138" t="s">
        <v>489</v>
      </c>
    </row>
    <row r="139" spans="1:18" x14ac:dyDescent="0.2">
      <c r="F139">
        <v>0</v>
      </c>
      <c r="G139">
        <v>1</v>
      </c>
      <c r="H139">
        <v>2.2000000000000002</v>
      </c>
      <c r="I139">
        <v>1.7</v>
      </c>
      <c r="J139">
        <v>1.1000000000000001</v>
      </c>
      <c r="K139">
        <f t="shared" si="6"/>
        <v>1.87</v>
      </c>
      <c r="L139" t="s">
        <v>516</v>
      </c>
      <c r="M139">
        <v>1</v>
      </c>
      <c r="N139">
        <v>1</v>
      </c>
      <c r="P139">
        <v>1</v>
      </c>
      <c r="Q139">
        <v>2</v>
      </c>
      <c r="R139" s="1">
        <v>43417</v>
      </c>
    </row>
    <row r="141" spans="1:18" x14ac:dyDescent="0.2">
      <c r="A141">
        <v>10</v>
      </c>
      <c r="B141" t="s">
        <v>36</v>
      </c>
      <c r="C141" s="1">
        <v>21637</v>
      </c>
      <c r="D141" s="1">
        <v>43486</v>
      </c>
      <c r="E141" t="s">
        <v>13</v>
      </c>
      <c r="F141">
        <v>1</v>
      </c>
      <c r="G141">
        <v>0</v>
      </c>
      <c r="H141">
        <v>6.3</v>
      </c>
      <c r="I141">
        <v>3.8</v>
      </c>
      <c r="J141">
        <v>2.1</v>
      </c>
      <c r="K141">
        <f t="shared" si="6"/>
        <v>7.9799999999999995</v>
      </c>
      <c r="L141" t="s">
        <v>523</v>
      </c>
    </row>
    <row r="142" spans="1:18" x14ac:dyDescent="0.2">
      <c r="F142">
        <v>1</v>
      </c>
      <c r="G142">
        <v>0</v>
      </c>
      <c r="H142">
        <v>6.9</v>
      </c>
      <c r="I142">
        <v>4.0999999999999996</v>
      </c>
      <c r="J142">
        <v>1.2</v>
      </c>
      <c r="K142">
        <f t="shared" si="6"/>
        <v>4.919999999999999</v>
      </c>
      <c r="L142" t="s">
        <v>524</v>
      </c>
    </row>
    <row r="143" spans="1:18" x14ac:dyDescent="0.2">
      <c r="F143">
        <v>1</v>
      </c>
      <c r="G143">
        <v>0</v>
      </c>
      <c r="H143">
        <v>10</v>
      </c>
      <c r="I143">
        <v>5.8</v>
      </c>
      <c r="J143">
        <v>1.2</v>
      </c>
      <c r="K143">
        <f t="shared" si="6"/>
        <v>6.96</v>
      </c>
      <c r="L143" t="s">
        <v>525</v>
      </c>
    </row>
    <row r="144" spans="1:18" x14ac:dyDescent="0.2">
      <c r="F144">
        <v>1</v>
      </c>
      <c r="G144">
        <v>0</v>
      </c>
      <c r="H144">
        <v>12.9</v>
      </c>
      <c r="I144">
        <v>7.1</v>
      </c>
      <c r="J144">
        <v>1.8</v>
      </c>
      <c r="K144">
        <f t="shared" si="6"/>
        <v>12.78</v>
      </c>
      <c r="L144" t="s">
        <v>526</v>
      </c>
    </row>
    <row r="145" spans="1:16" x14ac:dyDescent="0.2">
      <c r="F145">
        <v>1</v>
      </c>
      <c r="G145">
        <v>0</v>
      </c>
      <c r="H145">
        <v>6.9</v>
      </c>
      <c r="I145">
        <v>4.5999999999999996</v>
      </c>
      <c r="J145">
        <v>1.1000000000000001</v>
      </c>
      <c r="K145">
        <f t="shared" si="6"/>
        <v>5.0599999999999996</v>
      </c>
      <c r="L145" t="s">
        <v>475</v>
      </c>
    </row>
    <row r="146" spans="1:16" x14ac:dyDescent="0.2">
      <c r="F146">
        <v>1</v>
      </c>
      <c r="G146">
        <v>0</v>
      </c>
      <c r="H146">
        <v>12.6</v>
      </c>
      <c r="I146">
        <v>8.9</v>
      </c>
      <c r="J146">
        <v>4.3</v>
      </c>
      <c r="K146">
        <f t="shared" si="6"/>
        <v>38.270000000000003</v>
      </c>
      <c r="L146" t="s">
        <v>527</v>
      </c>
    </row>
    <row r="147" spans="1:16" x14ac:dyDescent="0.2">
      <c r="F147">
        <v>1</v>
      </c>
      <c r="G147">
        <v>0</v>
      </c>
      <c r="H147">
        <v>6.1</v>
      </c>
      <c r="I147">
        <v>3.6</v>
      </c>
      <c r="J147">
        <v>1.8</v>
      </c>
      <c r="K147">
        <f t="shared" si="6"/>
        <v>6.48</v>
      </c>
      <c r="L147" t="s">
        <v>528</v>
      </c>
    </row>
    <row r="148" spans="1:16" x14ac:dyDescent="0.2">
      <c r="F148">
        <v>1</v>
      </c>
      <c r="G148">
        <v>0</v>
      </c>
      <c r="H148">
        <v>4.3</v>
      </c>
      <c r="I148">
        <v>2.6</v>
      </c>
      <c r="J148">
        <v>1.3</v>
      </c>
      <c r="K148">
        <f t="shared" si="6"/>
        <v>3.3800000000000003</v>
      </c>
      <c r="L148" t="s">
        <v>517</v>
      </c>
    </row>
    <row r="149" spans="1:16" x14ac:dyDescent="0.2">
      <c r="F149">
        <v>1</v>
      </c>
      <c r="G149">
        <v>0</v>
      </c>
      <c r="H149">
        <v>4.5</v>
      </c>
      <c r="I149">
        <v>2.6</v>
      </c>
      <c r="J149">
        <v>2</v>
      </c>
      <c r="K149">
        <f t="shared" si="6"/>
        <v>5.2</v>
      </c>
      <c r="L149" t="s">
        <v>529</v>
      </c>
    </row>
    <row r="150" spans="1:16" x14ac:dyDescent="0.2">
      <c r="F150">
        <v>1</v>
      </c>
      <c r="G150">
        <v>0</v>
      </c>
      <c r="H150">
        <v>4.0999999999999996</v>
      </c>
      <c r="I150">
        <v>2.5</v>
      </c>
      <c r="J150">
        <v>1.9</v>
      </c>
      <c r="K150">
        <f t="shared" si="6"/>
        <v>4.75</v>
      </c>
      <c r="L150" t="s">
        <v>531</v>
      </c>
    </row>
    <row r="151" spans="1:16" x14ac:dyDescent="0.2">
      <c r="F151">
        <v>1</v>
      </c>
      <c r="G151">
        <v>0</v>
      </c>
      <c r="H151">
        <v>6.9</v>
      </c>
      <c r="I151">
        <v>3.7</v>
      </c>
      <c r="J151">
        <v>1.5</v>
      </c>
      <c r="K151">
        <f t="shared" si="6"/>
        <v>5.5500000000000007</v>
      </c>
      <c r="L151" t="s">
        <v>532</v>
      </c>
    </row>
    <row r="153" spans="1:16" x14ac:dyDescent="0.2">
      <c r="F153">
        <v>0</v>
      </c>
      <c r="G153">
        <v>1</v>
      </c>
      <c r="H153">
        <v>1.9</v>
      </c>
      <c r="I153">
        <v>1.1000000000000001</v>
      </c>
      <c r="J153">
        <v>0.7</v>
      </c>
      <c r="K153">
        <f t="shared" si="6"/>
        <v>0.77</v>
      </c>
      <c r="L153" t="s">
        <v>530</v>
      </c>
    </row>
    <row r="154" spans="1:16" x14ac:dyDescent="0.2">
      <c r="F154">
        <v>0</v>
      </c>
      <c r="G154">
        <v>1</v>
      </c>
      <c r="H154">
        <v>2.9</v>
      </c>
      <c r="I154">
        <v>1.8</v>
      </c>
      <c r="J154">
        <v>0.9</v>
      </c>
      <c r="K154">
        <f t="shared" si="6"/>
        <v>1.62</v>
      </c>
      <c r="L154" t="s">
        <v>426</v>
      </c>
    </row>
    <row r="155" spans="1:16" x14ac:dyDescent="0.2">
      <c r="F155">
        <v>0</v>
      </c>
      <c r="G155">
        <v>1</v>
      </c>
      <c r="H155">
        <v>2.9</v>
      </c>
      <c r="I155">
        <v>2</v>
      </c>
      <c r="J155">
        <v>1.3</v>
      </c>
      <c r="K155">
        <f t="shared" si="6"/>
        <v>2.6</v>
      </c>
      <c r="L155" t="s">
        <v>533</v>
      </c>
    </row>
    <row r="156" spans="1:16" x14ac:dyDescent="0.2">
      <c r="F156">
        <v>0</v>
      </c>
      <c r="G156">
        <v>1</v>
      </c>
      <c r="H156">
        <v>2.2999999999999998</v>
      </c>
      <c r="I156">
        <v>1.6</v>
      </c>
      <c r="J156">
        <v>1.1000000000000001</v>
      </c>
      <c r="K156">
        <f t="shared" si="6"/>
        <v>1.7600000000000002</v>
      </c>
      <c r="L156" t="s">
        <v>534</v>
      </c>
    </row>
    <row r="157" spans="1:16" x14ac:dyDescent="0.2">
      <c r="F157">
        <v>0</v>
      </c>
      <c r="G157">
        <v>1</v>
      </c>
      <c r="H157">
        <v>2.5</v>
      </c>
      <c r="I157">
        <v>1.6</v>
      </c>
      <c r="J157">
        <v>0.9</v>
      </c>
      <c r="K157">
        <f t="shared" si="6"/>
        <v>1.4400000000000002</v>
      </c>
      <c r="L157" t="s">
        <v>535</v>
      </c>
      <c r="M157">
        <v>1</v>
      </c>
      <c r="N157">
        <v>1</v>
      </c>
      <c r="P157">
        <v>0</v>
      </c>
    </row>
    <row r="159" spans="1:16" x14ac:dyDescent="0.2">
      <c r="A159">
        <v>11</v>
      </c>
      <c r="B159" t="s">
        <v>39</v>
      </c>
      <c r="C159" s="1">
        <v>24023</v>
      </c>
      <c r="D159" s="1">
        <v>43493</v>
      </c>
      <c r="E159" t="s">
        <v>16</v>
      </c>
      <c r="F159">
        <v>1</v>
      </c>
      <c r="G159">
        <v>0</v>
      </c>
      <c r="H159">
        <v>13.1</v>
      </c>
      <c r="I159">
        <v>7.2</v>
      </c>
      <c r="J159">
        <v>11.7</v>
      </c>
      <c r="K159">
        <f t="shared" si="6"/>
        <v>84.24</v>
      </c>
      <c r="L159" t="s">
        <v>536</v>
      </c>
    </row>
    <row r="160" spans="1:16" x14ac:dyDescent="0.2">
      <c r="F160">
        <v>1</v>
      </c>
      <c r="G160">
        <v>0</v>
      </c>
      <c r="H160">
        <v>4.0999999999999996</v>
      </c>
      <c r="I160">
        <v>3.2</v>
      </c>
      <c r="J160">
        <v>1.7</v>
      </c>
      <c r="K160">
        <f t="shared" si="6"/>
        <v>5.44</v>
      </c>
      <c r="L160" t="s">
        <v>537</v>
      </c>
    </row>
    <row r="162" spans="1:18" x14ac:dyDescent="0.2">
      <c r="F162">
        <v>0</v>
      </c>
      <c r="G162">
        <v>1</v>
      </c>
      <c r="H162">
        <v>2.2999999999999998</v>
      </c>
      <c r="I162">
        <v>1.3</v>
      </c>
      <c r="J162">
        <v>1.2</v>
      </c>
      <c r="K162">
        <f t="shared" ref="K162:K179" si="7">(I162*J162)</f>
        <v>1.56</v>
      </c>
      <c r="L162" t="s">
        <v>491</v>
      </c>
    </row>
    <row r="163" spans="1:18" x14ac:dyDescent="0.2">
      <c r="F163">
        <v>0</v>
      </c>
      <c r="G163">
        <v>1</v>
      </c>
      <c r="H163">
        <v>2.2000000000000002</v>
      </c>
      <c r="I163">
        <v>1.3</v>
      </c>
      <c r="J163">
        <v>1.3</v>
      </c>
      <c r="K163">
        <f t="shared" si="7"/>
        <v>1.6900000000000002</v>
      </c>
      <c r="L163" t="s">
        <v>490</v>
      </c>
    </row>
    <row r="164" spans="1:18" x14ac:dyDescent="0.2">
      <c r="F164">
        <v>0</v>
      </c>
      <c r="G164">
        <v>1</v>
      </c>
      <c r="H164">
        <v>2.4</v>
      </c>
      <c r="I164">
        <v>1.7</v>
      </c>
      <c r="J164">
        <v>0.7</v>
      </c>
      <c r="K164">
        <f t="shared" si="7"/>
        <v>1.19</v>
      </c>
      <c r="L164" t="s">
        <v>538</v>
      </c>
    </row>
    <row r="165" spans="1:18" x14ac:dyDescent="0.2">
      <c r="F165">
        <v>0</v>
      </c>
      <c r="G165">
        <v>1</v>
      </c>
      <c r="H165">
        <v>2.7</v>
      </c>
      <c r="I165">
        <v>1.8</v>
      </c>
      <c r="J165">
        <v>0.9</v>
      </c>
      <c r="K165">
        <f t="shared" si="7"/>
        <v>1.62</v>
      </c>
      <c r="L165" t="s">
        <v>539</v>
      </c>
    </row>
    <row r="166" spans="1:18" x14ac:dyDescent="0.2">
      <c r="F166">
        <v>0</v>
      </c>
      <c r="G166">
        <v>1</v>
      </c>
      <c r="H166">
        <v>2.1</v>
      </c>
      <c r="I166">
        <v>1.6</v>
      </c>
      <c r="J166">
        <v>0.8</v>
      </c>
      <c r="K166">
        <f t="shared" si="7"/>
        <v>1.2800000000000002</v>
      </c>
      <c r="L166" t="s">
        <v>540</v>
      </c>
      <c r="M166">
        <v>1</v>
      </c>
      <c r="N166">
        <v>1</v>
      </c>
      <c r="P166">
        <v>1</v>
      </c>
      <c r="Q166">
        <v>2</v>
      </c>
      <c r="R166" s="1">
        <v>43479</v>
      </c>
    </row>
    <row r="168" spans="1:18" x14ac:dyDescent="0.2">
      <c r="A168">
        <v>12</v>
      </c>
      <c r="B168" t="s">
        <v>40</v>
      </c>
      <c r="C168" s="1">
        <v>33096</v>
      </c>
      <c r="D168" s="1">
        <v>43493</v>
      </c>
      <c r="E168" t="s">
        <v>16</v>
      </c>
      <c r="F168">
        <v>1</v>
      </c>
      <c r="G168">
        <v>0</v>
      </c>
      <c r="H168">
        <v>4.5999999999999996</v>
      </c>
      <c r="I168">
        <v>2.9</v>
      </c>
      <c r="J168">
        <v>2.6</v>
      </c>
      <c r="K168">
        <f t="shared" si="7"/>
        <v>7.54</v>
      </c>
      <c r="L168" t="s">
        <v>541</v>
      </c>
    </row>
    <row r="169" spans="1:18" x14ac:dyDescent="0.2">
      <c r="F169">
        <v>1</v>
      </c>
      <c r="G169">
        <v>0</v>
      </c>
      <c r="H169">
        <v>4.0999999999999996</v>
      </c>
      <c r="I169">
        <v>2.2000000000000002</v>
      </c>
      <c r="J169">
        <v>3.1</v>
      </c>
      <c r="K169">
        <f t="shared" si="7"/>
        <v>6.8200000000000012</v>
      </c>
      <c r="L169" t="s">
        <v>191</v>
      </c>
    </row>
    <row r="170" spans="1:18" x14ac:dyDescent="0.2">
      <c r="F170">
        <v>1</v>
      </c>
      <c r="G170">
        <v>0</v>
      </c>
      <c r="H170">
        <v>4.9000000000000004</v>
      </c>
      <c r="I170">
        <v>3.1</v>
      </c>
      <c r="J170">
        <v>3</v>
      </c>
      <c r="K170">
        <f t="shared" si="7"/>
        <v>9.3000000000000007</v>
      </c>
      <c r="L170" t="s">
        <v>542</v>
      </c>
    </row>
    <row r="172" spans="1:18" x14ac:dyDescent="0.2">
      <c r="F172">
        <v>0</v>
      </c>
      <c r="G172">
        <v>1</v>
      </c>
      <c r="H172">
        <v>2.1</v>
      </c>
      <c r="I172">
        <v>1.3</v>
      </c>
      <c r="J172">
        <v>1.2</v>
      </c>
      <c r="K172">
        <f t="shared" si="7"/>
        <v>1.56</v>
      </c>
      <c r="L172" t="s">
        <v>502</v>
      </c>
    </row>
    <row r="173" spans="1:18" x14ac:dyDescent="0.2">
      <c r="F173">
        <v>0</v>
      </c>
      <c r="G173">
        <v>1</v>
      </c>
      <c r="H173">
        <v>2</v>
      </c>
      <c r="I173">
        <v>1.4</v>
      </c>
      <c r="J173">
        <v>1.3</v>
      </c>
      <c r="K173">
        <f t="shared" si="7"/>
        <v>1.8199999999999998</v>
      </c>
      <c r="L173" t="s">
        <v>501</v>
      </c>
      <c r="M173">
        <v>1</v>
      </c>
      <c r="N173">
        <v>1</v>
      </c>
      <c r="P173">
        <v>0</v>
      </c>
    </row>
    <row r="175" spans="1:18" x14ac:dyDescent="0.2">
      <c r="A175">
        <v>13</v>
      </c>
      <c r="B175" t="s">
        <v>51</v>
      </c>
      <c r="C175" s="1">
        <v>23985</v>
      </c>
      <c r="D175" s="1">
        <v>43514</v>
      </c>
      <c r="E175" t="s">
        <v>57</v>
      </c>
      <c r="F175">
        <v>1</v>
      </c>
      <c r="G175">
        <v>0</v>
      </c>
      <c r="H175">
        <v>4.0999999999999996</v>
      </c>
      <c r="I175">
        <v>1.9</v>
      </c>
      <c r="J175">
        <v>2.7</v>
      </c>
      <c r="K175">
        <f t="shared" si="7"/>
        <v>5.13</v>
      </c>
      <c r="L175" t="s">
        <v>545</v>
      </c>
    </row>
    <row r="176" spans="1:18" x14ac:dyDescent="0.2">
      <c r="F176">
        <v>1</v>
      </c>
      <c r="G176">
        <v>0</v>
      </c>
      <c r="H176">
        <v>4.5999999999999996</v>
      </c>
      <c r="I176">
        <v>2.7</v>
      </c>
      <c r="J176">
        <v>1.1000000000000001</v>
      </c>
      <c r="K176">
        <f t="shared" si="7"/>
        <v>2.9700000000000006</v>
      </c>
      <c r="L176" t="s">
        <v>546</v>
      </c>
    </row>
    <row r="178" spans="1:18" x14ac:dyDescent="0.2">
      <c r="F178">
        <v>0</v>
      </c>
      <c r="G178">
        <v>1</v>
      </c>
      <c r="H178">
        <v>2.6</v>
      </c>
      <c r="I178">
        <v>1.8</v>
      </c>
      <c r="J178">
        <v>0.8</v>
      </c>
      <c r="K178">
        <f t="shared" si="7"/>
        <v>1.4400000000000002</v>
      </c>
      <c r="L178" t="s">
        <v>547</v>
      </c>
    </row>
    <row r="179" spans="1:18" x14ac:dyDescent="0.2">
      <c r="F179">
        <v>0</v>
      </c>
      <c r="G179">
        <v>1</v>
      </c>
      <c r="H179">
        <v>3.2</v>
      </c>
      <c r="I179">
        <v>2.1</v>
      </c>
      <c r="J179">
        <v>0.6</v>
      </c>
      <c r="K179">
        <f t="shared" si="7"/>
        <v>1.26</v>
      </c>
      <c r="L179" t="s">
        <v>516</v>
      </c>
      <c r="M179">
        <v>1</v>
      </c>
      <c r="N179">
        <v>1</v>
      </c>
      <c r="P179">
        <v>1</v>
      </c>
      <c r="Q179">
        <v>3.4</v>
      </c>
      <c r="R179" s="1">
        <v>43347</v>
      </c>
    </row>
    <row r="182" spans="1:18" x14ac:dyDescent="0.2">
      <c r="A182">
        <v>14</v>
      </c>
      <c r="B182" t="s">
        <v>54</v>
      </c>
      <c r="C182" s="1">
        <v>24436</v>
      </c>
      <c r="D182" s="1">
        <v>43521</v>
      </c>
      <c r="E182" t="s">
        <v>35</v>
      </c>
      <c r="F182">
        <v>1</v>
      </c>
      <c r="G182">
        <v>0</v>
      </c>
      <c r="H182">
        <v>3.8</v>
      </c>
      <c r="I182">
        <v>2.6</v>
      </c>
      <c r="J182">
        <v>1.4</v>
      </c>
      <c r="K182">
        <f t="shared" ref="K182:K226" si="8">(I182*J182)</f>
        <v>3.6399999999999997</v>
      </c>
      <c r="L182" t="s">
        <v>543</v>
      </c>
    </row>
    <row r="183" spans="1:18" x14ac:dyDescent="0.2">
      <c r="F183">
        <v>1</v>
      </c>
      <c r="G183">
        <v>0</v>
      </c>
      <c r="H183">
        <v>3.4</v>
      </c>
      <c r="I183">
        <v>1.5</v>
      </c>
      <c r="J183">
        <v>2.5</v>
      </c>
      <c r="K183">
        <f t="shared" si="8"/>
        <v>3.75</v>
      </c>
      <c r="L183" t="s">
        <v>505</v>
      </c>
    </row>
    <row r="184" spans="1:18" x14ac:dyDescent="0.2">
      <c r="F184">
        <v>1</v>
      </c>
      <c r="G184">
        <v>0</v>
      </c>
      <c r="H184">
        <v>4.8</v>
      </c>
      <c r="I184">
        <v>2.6</v>
      </c>
      <c r="J184">
        <v>43</v>
      </c>
      <c r="K184">
        <f t="shared" si="8"/>
        <v>111.8</v>
      </c>
      <c r="L184" t="s">
        <v>516</v>
      </c>
    </row>
    <row r="185" spans="1:18" x14ac:dyDescent="0.2">
      <c r="F185">
        <v>1</v>
      </c>
      <c r="G185">
        <v>0</v>
      </c>
      <c r="H185">
        <v>6</v>
      </c>
      <c r="I185">
        <v>3</v>
      </c>
      <c r="J185">
        <v>28.2</v>
      </c>
      <c r="K185">
        <f t="shared" si="8"/>
        <v>84.6</v>
      </c>
      <c r="L185" t="s">
        <v>544</v>
      </c>
    </row>
    <row r="187" spans="1:18" x14ac:dyDescent="0.2">
      <c r="F187">
        <v>0</v>
      </c>
      <c r="G187">
        <v>1</v>
      </c>
      <c r="H187">
        <v>2.8</v>
      </c>
      <c r="I187">
        <v>1.9</v>
      </c>
      <c r="J187">
        <v>1.1000000000000001</v>
      </c>
      <c r="K187">
        <f t="shared" si="8"/>
        <v>2.09</v>
      </c>
      <c r="L187" t="s">
        <v>501</v>
      </c>
    </row>
    <row r="188" spans="1:18" x14ac:dyDescent="0.2">
      <c r="F188">
        <v>0</v>
      </c>
      <c r="G188">
        <v>1</v>
      </c>
      <c r="H188">
        <v>2.6</v>
      </c>
      <c r="I188">
        <v>1.8</v>
      </c>
      <c r="J188">
        <v>1.5</v>
      </c>
      <c r="K188">
        <f t="shared" si="8"/>
        <v>2.7</v>
      </c>
      <c r="L188" t="s">
        <v>502</v>
      </c>
    </row>
    <row r="189" spans="1:18" x14ac:dyDescent="0.2">
      <c r="F189">
        <v>0</v>
      </c>
      <c r="G189">
        <v>1</v>
      </c>
      <c r="H189">
        <v>2.4</v>
      </c>
      <c r="I189">
        <v>1.6</v>
      </c>
      <c r="J189">
        <v>0.9</v>
      </c>
      <c r="K189">
        <f t="shared" si="8"/>
        <v>1.4400000000000002</v>
      </c>
      <c r="L189" t="s">
        <v>490</v>
      </c>
      <c r="M189">
        <v>1</v>
      </c>
      <c r="N189">
        <v>1</v>
      </c>
      <c r="P189">
        <v>1</v>
      </c>
      <c r="Q189">
        <v>3</v>
      </c>
      <c r="R189" s="1">
        <v>43467</v>
      </c>
    </row>
    <row r="191" spans="1:18" x14ac:dyDescent="0.2">
      <c r="A191">
        <v>15</v>
      </c>
      <c r="B191" t="s">
        <v>55</v>
      </c>
      <c r="C191" s="1">
        <v>21899</v>
      </c>
      <c r="D191" s="1">
        <v>43521</v>
      </c>
      <c r="E191" t="s">
        <v>16</v>
      </c>
      <c r="F191">
        <v>1</v>
      </c>
      <c r="G191">
        <v>0</v>
      </c>
      <c r="H191">
        <v>4.5999999999999996</v>
      </c>
      <c r="I191">
        <v>2.8</v>
      </c>
      <c r="J191">
        <v>3.3</v>
      </c>
      <c r="K191">
        <f t="shared" si="8"/>
        <v>9.2399999999999984</v>
      </c>
      <c r="L191" t="s">
        <v>547</v>
      </c>
    </row>
    <row r="192" spans="1:18" x14ac:dyDescent="0.2">
      <c r="F192">
        <v>1</v>
      </c>
      <c r="G192">
        <v>0</v>
      </c>
      <c r="H192">
        <v>4.9000000000000004</v>
      </c>
      <c r="I192">
        <v>2.9</v>
      </c>
      <c r="J192">
        <v>1.9</v>
      </c>
      <c r="K192">
        <f t="shared" si="8"/>
        <v>5.51</v>
      </c>
      <c r="L192" t="s">
        <v>491</v>
      </c>
    </row>
    <row r="193" spans="1:18" x14ac:dyDescent="0.2">
      <c r="F193">
        <v>1</v>
      </c>
      <c r="G193">
        <v>0</v>
      </c>
      <c r="H193">
        <v>4.4000000000000004</v>
      </c>
      <c r="I193">
        <v>2.7</v>
      </c>
      <c r="J193">
        <v>2.4</v>
      </c>
      <c r="K193">
        <f t="shared" si="8"/>
        <v>6.48</v>
      </c>
      <c r="L193" t="s">
        <v>490</v>
      </c>
    </row>
    <row r="194" spans="1:18" x14ac:dyDescent="0.2">
      <c r="F194">
        <v>1</v>
      </c>
      <c r="G194">
        <v>0</v>
      </c>
      <c r="H194">
        <v>5.4</v>
      </c>
      <c r="I194">
        <v>3.2</v>
      </c>
      <c r="J194">
        <v>1.6</v>
      </c>
      <c r="K194">
        <f t="shared" si="8"/>
        <v>5.120000000000001</v>
      </c>
      <c r="L194" t="s">
        <v>548</v>
      </c>
    </row>
    <row r="195" spans="1:18" x14ac:dyDescent="0.2">
      <c r="F195">
        <v>1</v>
      </c>
      <c r="G195">
        <v>0</v>
      </c>
      <c r="H195">
        <v>6.3</v>
      </c>
      <c r="I195">
        <v>3.7</v>
      </c>
      <c r="J195">
        <v>1.5</v>
      </c>
      <c r="K195">
        <f t="shared" si="8"/>
        <v>5.5500000000000007</v>
      </c>
      <c r="L195" t="s">
        <v>549</v>
      </c>
    </row>
    <row r="196" spans="1:18" x14ac:dyDescent="0.2">
      <c r="F196">
        <v>1</v>
      </c>
      <c r="G196">
        <v>0</v>
      </c>
      <c r="H196">
        <v>5.4</v>
      </c>
      <c r="I196">
        <v>3.2</v>
      </c>
      <c r="J196">
        <v>1.6</v>
      </c>
      <c r="K196">
        <f t="shared" si="8"/>
        <v>5.120000000000001</v>
      </c>
      <c r="L196" t="s">
        <v>552</v>
      </c>
    </row>
    <row r="198" spans="1:18" x14ac:dyDescent="0.2">
      <c r="F198">
        <v>0</v>
      </c>
      <c r="G198">
        <v>1</v>
      </c>
      <c r="H198">
        <v>2.9</v>
      </c>
      <c r="I198">
        <v>1.9</v>
      </c>
      <c r="J198">
        <v>1.1000000000000001</v>
      </c>
      <c r="K198">
        <f t="shared" si="8"/>
        <v>2.09</v>
      </c>
      <c r="L198" t="s">
        <v>550</v>
      </c>
    </row>
    <row r="199" spans="1:18" x14ac:dyDescent="0.2">
      <c r="F199">
        <v>0</v>
      </c>
      <c r="G199">
        <v>1</v>
      </c>
      <c r="H199">
        <v>2.8</v>
      </c>
      <c r="I199">
        <v>1.8</v>
      </c>
      <c r="J199">
        <v>1</v>
      </c>
      <c r="K199">
        <f t="shared" si="8"/>
        <v>1.8</v>
      </c>
      <c r="L199" t="s">
        <v>551</v>
      </c>
    </row>
    <row r="200" spans="1:18" x14ac:dyDescent="0.2">
      <c r="F200">
        <v>0</v>
      </c>
      <c r="G200">
        <v>1</v>
      </c>
      <c r="H200">
        <v>2.9</v>
      </c>
      <c r="I200">
        <v>1.6</v>
      </c>
      <c r="J200">
        <v>1.6</v>
      </c>
      <c r="K200">
        <f t="shared" si="8"/>
        <v>2.5600000000000005</v>
      </c>
      <c r="L200" t="s">
        <v>553</v>
      </c>
    </row>
    <row r="201" spans="1:18" x14ac:dyDescent="0.2">
      <c r="F201">
        <v>0</v>
      </c>
      <c r="G201">
        <v>1</v>
      </c>
      <c r="H201">
        <v>2.7</v>
      </c>
      <c r="I201">
        <v>1.8</v>
      </c>
      <c r="J201">
        <v>1.7</v>
      </c>
      <c r="K201">
        <f t="shared" si="8"/>
        <v>3.06</v>
      </c>
      <c r="L201" t="s">
        <v>535</v>
      </c>
      <c r="M201">
        <v>1</v>
      </c>
      <c r="N201">
        <v>1</v>
      </c>
      <c r="P201">
        <v>1</v>
      </c>
      <c r="Q201">
        <v>1</v>
      </c>
      <c r="R201" s="1">
        <v>43755</v>
      </c>
    </row>
    <row r="203" spans="1:18" x14ac:dyDescent="0.2">
      <c r="A203">
        <v>16</v>
      </c>
      <c r="B203" t="s">
        <v>60</v>
      </c>
      <c r="C203" s="1">
        <v>22404</v>
      </c>
      <c r="D203" s="1">
        <v>43549</v>
      </c>
      <c r="E203" t="s">
        <v>35</v>
      </c>
      <c r="F203">
        <v>0</v>
      </c>
      <c r="G203">
        <v>1</v>
      </c>
      <c r="H203">
        <v>2.6</v>
      </c>
      <c r="I203">
        <v>1.7</v>
      </c>
      <c r="J203">
        <v>1.1000000000000001</v>
      </c>
      <c r="K203">
        <f t="shared" si="8"/>
        <v>1.87</v>
      </c>
      <c r="L203" t="s">
        <v>551</v>
      </c>
    </row>
    <row r="204" spans="1:18" x14ac:dyDescent="0.2">
      <c r="F204">
        <v>0</v>
      </c>
      <c r="G204">
        <v>1</v>
      </c>
      <c r="H204">
        <v>2.4</v>
      </c>
      <c r="I204">
        <v>1.8</v>
      </c>
      <c r="J204">
        <v>1.4</v>
      </c>
      <c r="K204">
        <f t="shared" si="8"/>
        <v>2.52</v>
      </c>
      <c r="L204" t="s">
        <v>550</v>
      </c>
    </row>
    <row r="205" spans="1:18" x14ac:dyDescent="0.2">
      <c r="F205">
        <v>0</v>
      </c>
      <c r="G205">
        <v>1</v>
      </c>
      <c r="H205">
        <v>2.2999999999999998</v>
      </c>
      <c r="I205">
        <v>1.6</v>
      </c>
      <c r="J205">
        <v>0.6</v>
      </c>
      <c r="K205">
        <f t="shared" si="8"/>
        <v>0.96</v>
      </c>
      <c r="L205" t="s">
        <v>554</v>
      </c>
    </row>
    <row r="206" spans="1:18" x14ac:dyDescent="0.2">
      <c r="F206">
        <v>0</v>
      </c>
      <c r="G206">
        <v>1</v>
      </c>
      <c r="H206">
        <v>2.8</v>
      </c>
      <c r="I206">
        <v>1.6</v>
      </c>
      <c r="J206">
        <v>1.1000000000000001</v>
      </c>
      <c r="K206">
        <f t="shared" si="8"/>
        <v>1.7600000000000002</v>
      </c>
      <c r="L206" t="s">
        <v>535</v>
      </c>
      <c r="M206">
        <v>1</v>
      </c>
      <c r="N206">
        <v>0</v>
      </c>
      <c r="P206">
        <v>1</v>
      </c>
      <c r="Q206">
        <v>1</v>
      </c>
      <c r="R206" s="1">
        <v>43521</v>
      </c>
    </row>
    <row r="208" spans="1:18" x14ac:dyDescent="0.2">
      <c r="A208">
        <v>17</v>
      </c>
      <c r="B208" t="s">
        <v>61</v>
      </c>
      <c r="C208" s="1">
        <v>32300</v>
      </c>
      <c r="D208" s="1">
        <v>43549</v>
      </c>
      <c r="E208" t="s">
        <v>35</v>
      </c>
      <c r="F208">
        <v>0</v>
      </c>
      <c r="G208">
        <v>1</v>
      </c>
      <c r="H208">
        <v>1.4</v>
      </c>
      <c r="I208">
        <v>0.8</v>
      </c>
      <c r="J208">
        <v>0.9</v>
      </c>
      <c r="K208">
        <f t="shared" si="8"/>
        <v>0.72000000000000008</v>
      </c>
      <c r="L208" t="s">
        <v>555</v>
      </c>
    </row>
    <row r="209" spans="1:18" x14ac:dyDescent="0.2">
      <c r="F209">
        <v>0</v>
      </c>
      <c r="G209">
        <v>1</v>
      </c>
      <c r="H209">
        <v>1.1000000000000001</v>
      </c>
      <c r="I209">
        <v>0.7</v>
      </c>
      <c r="J209">
        <v>0.8</v>
      </c>
      <c r="K209">
        <f t="shared" si="8"/>
        <v>0.55999999999999994</v>
      </c>
      <c r="L209" t="s">
        <v>502</v>
      </c>
    </row>
    <row r="210" spans="1:18" x14ac:dyDescent="0.2">
      <c r="F210">
        <v>0</v>
      </c>
      <c r="G210">
        <v>1</v>
      </c>
      <c r="H210">
        <v>1.2</v>
      </c>
      <c r="I210">
        <v>0.8</v>
      </c>
      <c r="J210">
        <v>0.9</v>
      </c>
      <c r="K210">
        <f t="shared" si="8"/>
        <v>0.72000000000000008</v>
      </c>
      <c r="L210" t="s">
        <v>501</v>
      </c>
      <c r="M210">
        <v>1</v>
      </c>
      <c r="N210">
        <v>0</v>
      </c>
      <c r="P210">
        <v>0</v>
      </c>
    </row>
    <row r="212" spans="1:18" x14ac:dyDescent="0.2">
      <c r="A212">
        <v>18</v>
      </c>
      <c r="B212" t="s">
        <v>62</v>
      </c>
      <c r="C212" s="1">
        <v>27215</v>
      </c>
      <c r="D212" s="1">
        <v>43556</v>
      </c>
      <c r="E212" t="s">
        <v>16</v>
      </c>
      <c r="F212">
        <v>0</v>
      </c>
      <c r="G212">
        <v>1</v>
      </c>
      <c r="H212">
        <v>2.1</v>
      </c>
      <c r="I212">
        <v>1.9</v>
      </c>
      <c r="J212">
        <v>1.1000000000000001</v>
      </c>
      <c r="K212">
        <f t="shared" si="8"/>
        <v>2.09</v>
      </c>
      <c r="L212" t="s">
        <v>491</v>
      </c>
    </row>
    <row r="213" spans="1:18" x14ac:dyDescent="0.2">
      <c r="F213">
        <v>0</v>
      </c>
      <c r="G213">
        <v>1</v>
      </c>
      <c r="H213">
        <v>2.4</v>
      </c>
      <c r="I213">
        <v>1.7</v>
      </c>
      <c r="J213">
        <v>0.6</v>
      </c>
      <c r="K213">
        <f t="shared" si="8"/>
        <v>1.02</v>
      </c>
      <c r="L213" t="s">
        <v>556</v>
      </c>
    </row>
    <row r="214" spans="1:18" x14ac:dyDescent="0.2">
      <c r="F214">
        <v>0</v>
      </c>
      <c r="G214">
        <v>1</v>
      </c>
      <c r="H214">
        <v>2.4</v>
      </c>
      <c r="I214">
        <v>2.1</v>
      </c>
      <c r="J214">
        <v>0.2</v>
      </c>
      <c r="K214">
        <f t="shared" si="8"/>
        <v>0.42000000000000004</v>
      </c>
      <c r="L214" t="s">
        <v>557</v>
      </c>
    </row>
    <row r="215" spans="1:18" x14ac:dyDescent="0.2">
      <c r="F215">
        <v>0</v>
      </c>
      <c r="G215">
        <v>1</v>
      </c>
      <c r="H215">
        <v>2.2000000000000002</v>
      </c>
      <c r="I215">
        <v>2</v>
      </c>
      <c r="J215">
        <v>0.2</v>
      </c>
      <c r="K215">
        <f t="shared" si="8"/>
        <v>0.4</v>
      </c>
      <c r="L215" t="s">
        <v>472</v>
      </c>
    </row>
    <row r="216" spans="1:18" x14ac:dyDescent="0.2">
      <c r="F216">
        <v>0</v>
      </c>
      <c r="G216">
        <v>1</v>
      </c>
      <c r="H216">
        <v>1.8</v>
      </c>
      <c r="I216">
        <v>2</v>
      </c>
      <c r="J216">
        <v>0.8</v>
      </c>
      <c r="K216">
        <f t="shared" si="8"/>
        <v>1.6</v>
      </c>
      <c r="L216" t="s">
        <v>503</v>
      </c>
    </row>
    <row r="217" spans="1:18" x14ac:dyDescent="0.2">
      <c r="F217">
        <v>0</v>
      </c>
      <c r="G217">
        <v>1</v>
      </c>
      <c r="H217">
        <v>2.6</v>
      </c>
      <c r="I217">
        <v>1.8</v>
      </c>
      <c r="J217">
        <v>1.1000000000000001</v>
      </c>
      <c r="K217">
        <f t="shared" si="8"/>
        <v>1.9800000000000002</v>
      </c>
      <c r="L217" t="s">
        <v>558</v>
      </c>
    </row>
    <row r="218" spans="1:18" x14ac:dyDescent="0.2">
      <c r="F218">
        <v>0</v>
      </c>
      <c r="G218">
        <v>1</v>
      </c>
      <c r="H218">
        <v>1.6</v>
      </c>
      <c r="I218">
        <v>0.8</v>
      </c>
      <c r="J218">
        <v>1</v>
      </c>
      <c r="K218">
        <f t="shared" si="8"/>
        <v>0.8</v>
      </c>
      <c r="L218" t="s">
        <v>530</v>
      </c>
      <c r="M218">
        <v>1</v>
      </c>
      <c r="N218">
        <v>0</v>
      </c>
      <c r="P218">
        <v>1</v>
      </c>
      <c r="Q218">
        <v>5</v>
      </c>
      <c r="R218" s="1">
        <v>43683</v>
      </c>
    </row>
    <row r="220" spans="1:18" x14ac:dyDescent="0.2">
      <c r="A220">
        <v>19</v>
      </c>
      <c r="B220" t="s">
        <v>66</v>
      </c>
      <c r="C220" s="1">
        <v>23354</v>
      </c>
      <c r="D220" s="1">
        <v>43563</v>
      </c>
      <c r="E220" t="s">
        <v>35</v>
      </c>
      <c r="F220">
        <v>1</v>
      </c>
      <c r="G220">
        <v>0</v>
      </c>
      <c r="H220">
        <v>8.8000000000000007</v>
      </c>
      <c r="I220">
        <v>5.3</v>
      </c>
      <c r="J220">
        <v>9.1999999999999993</v>
      </c>
      <c r="K220">
        <f t="shared" si="8"/>
        <v>48.76</v>
      </c>
      <c r="L220" t="s">
        <v>552</v>
      </c>
    </row>
    <row r="222" spans="1:18" x14ac:dyDescent="0.2">
      <c r="F222">
        <v>0</v>
      </c>
      <c r="G222">
        <v>1</v>
      </c>
      <c r="H222">
        <v>3.3</v>
      </c>
      <c r="I222">
        <v>2.4</v>
      </c>
      <c r="J222">
        <v>0.7</v>
      </c>
      <c r="K222">
        <f t="shared" si="8"/>
        <v>1.68</v>
      </c>
      <c r="L222" t="s">
        <v>480</v>
      </c>
    </row>
    <row r="223" spans="1:18" x14ac:dyDescent="0.2">
      <c r="F223">
        <v>0</v>
      </c>
      <c r="G223">
        <v>1</v>
      </c>
      <c r="H223">
        <v>3.2</v>
      </c>
      <c r="I223">
        <v>2.2999999999999998</v>
      </c>
      <c r="J223">
        <v>0.6</v>
      </c>
      <c r="K223">
        <f t="shared" si="8"/>
        <v>1.38</v>
      </c>
      <c r="L223" t="s">
        <v>559</v>
      </c>
      <c r="M223">
        <v>1</v>
      </c>
      <c r="N223">
        <v>1</v>
      </c>
      <c r="P223">
        <v>0</v>
      </c>
    </row>
    <row r="225" spans="1:18" x14ac:dyDescent="0.2">
      <c r="A225">
        <v>20</v>
      </c>
      <c r="B225" t="s">
        <v>72</v>
      </c>
      <c r="C225" s="1">
        <v>26463</v>
      </c>
      <c r="D225" s="1">
        <v>43605</v>
      </c>
      <c r="E225" t="s">
        <v>35</v>
      </c>
      <c r="F225">
        <v>1</v>
      </c>
      <c r="G225">
        <v>0</v>
      </c>
      <c r="H225">
        <v>4.2</v>
      </c>
      <c r="I225">
        <v>2.4</v>
      </c>
      <c r="J225">
        <v>4.2</v>
      </c>
      <c r="K225">
        <f t="shared" si="8"/>
        <v>10.08</v>
      </c>
      <c r="L225" t="s">
        <v>561</v>
      </c>
    </row>
    <row r="226" spans="1:18" x14ac:dyDescent="0.2">
      <c r="F226">
        <v>1</v>
      </c>
      <c r="G226">
        <v>0</v>
      </c>
      <c r="H226">
        <v>3.9</v>
      </c>
      <c r="I226">
        <v>3.5</v>
      </c>
      <c r="J226">
        <v>1.8</v>
      </c>
      <c r="K226">
        <f t="shared" si="8"/>
        <v>6.3</v>
      </c>
      <c r="L226" t="s">
        <v>562</v>
      </c>
    </row>
    <row r="228" spans="1:18" x14ac:dyDescent="0.2">
      <c r="F228">
        <v>0</v>
      </c>
      <c r="G228">
        <v>1</v>
      </c>
      <c r="H228">
        <v>3.1</v>
      </c>
      <c r="I228">
        <v>1.8</v>
      </c>
      <c r="J228">
        <v>1.9</v>
      </c>
      <c r="K228">
        <f t="shared" ref="K228:K235" si="9">(I228*J228)</f>
        <v>3.42</v>
      </c>
      <c r="L228" t="s">
        <v>502</v>
      </c>
    </row>
    <row r="229" spans="1:18" x14ac:dyDescent="0.2">
      <c r="F229">
        <v>0</v>
      </c>
      <c r="G229">
        <v>1</v>
      </c>
      <c r="H229">
        <v>2.8</v>
      </c>
      <c r="I229">
        <v>1.9</v>
      </c>
      <c r="J229">
        <v>1.1000000000000001</v>
      </c>
      <c r="K229">
        <f t="shared" si="9"/>
        <v>2.09</v>
      </c>
      <c r="L229" t="s">
        <v>560</v>
      </c>
    </row>
    <row r="230" spans="1:18" x14ac:dyDescent="0.2">
      <c r="F230">
        <v>0</v>
      </c>
      <c r="G230">
        <v>1</v>
      </c>
      <c r="H230">
        <v>2.7</v>
      </c>
      <c r="I230">
        <v>1.7</v>
      </c>
      <c r="J230">
        <v>0.8</v>
      </c>
      <c r="K230">
        <f t="shared" si="9"/>
        <v>1.36</v>
      </c>
      <c r="L230" t="s">
        <v>530</v>
      </c>
      <c r="M230">
        <v>1</v>
      </c>
      <c r="N230">
        <v>1</v>
      </c>
      <c r="P230">
        <v>1</v>
      </c>
      <c r="Q230">
        <v>3.5</v>
      </c>
      <c r="R230" s="1">
        <v>43605</v>
      </c>
    </row>
    <row r="232" spans="1:18" x14ac:dyDescent="0.2">
      <c r="A232">
        <v>21</v>
      </c>
      <c r="B232" t="s">
        <v>74</v>
      </c>
      <c r="C232" s="1">
        <v>20147</v>
      </c>
      <c r="D232" s="1">
        <v>43619</v>
      </c>
      <c r="E232" t="s">
        <v>35</v>
      </c>
      <c r="F232">
        <v>1</v>
      </c>
      <c r="G232">
        <v>0</v>
      </c>
      <c r="H232">
        <v>5.7</v>
      </c>
      <c r="I232">
        <v>3.6</v>
      </c>
      <c r="J232">
        <v>4.2</v>
      </c>
      <c r="K232">
        <f t="shared" si="9"/>
        <v>15.120000000000001</v>
      </c>
      <c r="L232" t="s">
        <v>566</v>
      </c>
    </row>
    <row r="233" spans="1:18" x14ac:dyDescent="0.2">
      <c r="F233">
        <v>1</v>
      </c>
      <c r="G233">
        <v>0</v>
      </c>
      <c r="H233">
        <v>5.3</v>
      </c>
      <c r="I233">
        <v>3.4</v>
      </c>
      <c r="J233">
        <v>2.2999999999999998</v>
      </c>
      <c r="K233">
        <f t="shared" si="9"/>
        <v>7.8199999999999994</v>
      </c>
      <c r="L233" t="s">
        <v>530</v>
      </c>
    </row>
    <row r="234" spans="1:18" x14ac:dyDescent="0.2">
      <c r="F234">
        <v>1</v>
      </c>
      <c r="G234">
        <v>0</v>
      </c>
      <c r="H234">
        <v>5.5</v>
      </c>
      <c r="I234">
        <v>3.6</v>
      </c>
      <c r="J234">
        <v>1.2</v>
      </c>
      <c r="K234">
        <f t="shared" si="9"/>
        <v>4.32</v>
      </c>
      <c r="L234" t="s">
        <v>558</v>
      </c>
    </row>
    <row r="235" spans="1:18" x14ac:dyDescent="0.2">
      <c r="F235">
        <v>1</v>
      </c>
      <c r="G235">
        <v>0</v>
      </c>
      <c r="H235">
        <v>5</v>
      </c>
      <c r="I235">
        <v>3</v>
      </c>
      <c r="J235">
        <v>1.8</v>
      </c>
      <c r="K235">
        <f t="shared" si="9"/>
        <v>5.4</v>
      </c>
      <c r="L235" t="s">
        <v>546</v>
      </c>
    </row>
    <row r="237" spans="1:18" x14ac:dyDescent="0.2">
      <c r="F237">
        <v>0</v>
      </c>
      <c r="G237">
        <v>1</v>
      </c>
      <c r="H237">
        <v>2.9</v>
      </c>
      <c r="I237">
        <v>1.8</v>
      </c>
      <c r="J237">
        <v>1.6</v>
      </c>
      <c r="K237">
        <f t="shared" ref="K237:K244" si="10">(I237*J237)</f>
        <v>2.8800000000000003</v>
      </c>
      <c r="L237" t="s">
        <v>502</v>
      </c>
    </row>
    <row r="238" spans="1:18" x14ac:dyDescent="0.2">
      <c r="F238">
        <v>0</v>
      </c>
      <c r="G238">
        <v>1</v>
      </c>
      <c r="H238">
        <v>2.6</v>
      </c>
      <c r="I238">
        <v>1.7</v>
      </c>
      <c r="J238">
        <v>1.2</v>
      </c>
      <c r="K238">
        <f t="shared" si="10"/>
        <v>2.04</v>
      </c>
      <c r="L238" t="s">
        <v>563</v>
      </c>
    </row>
    <row r="239" spans="1:18" x14ac:dyDescent="0.2">
      <c r="F239">
        <v>0</v>
      </c>
      <c r="G239">
        <v>1</v>
      </c>
      <c r="H239">
        <v>3.1</v>
      </c>
      <c r="I239">
        <v>2.2000000000000002</v>
      </c>
      <c r="J239">
        <v>1.8</v>
      </c>
      <c r="K239">
        <f t="shared" si="10"/>
        <v>3.9600000000000004</v>
      </c>
      <c r="L239" t="s">
        <v>564</v>
      </c>
    </row>
    <row r="240" spans="1:18" x14ac:dyDescent="0.2">
      <c r="F240">
        <v>0</v>
      </c>
      <c r="G240">
        <v>1</v>
      </c>
      <c r="H240">
        <v>3</v>
      </c>
      <c r="I240">
        <v>2.1</v>
      </c>
      <c r="J240">
        <v>1.3</v>
      </c>
      <c r="K240">
        <f t="shared" si="10"/>
        <v>2.7300000000000004</v>
      </c>
      <c r="L240" t="s">
        <v>474</v>
      </c>
    </row>
    <row r="241" spans="1:18" x14ac:dyDescent="0.2">
      <c r="F241">
        <v>0</v>
      </c>
      <c r="G241">
        <v>1</v>
      </c>
      <c r="H241">
        <v>2.9</v>
      </c>
      <c r="I241">
        <v>2.1</v>
      </c>
      <c r="J241">
        <v>0.8</v>
      </c>
      <c r="K241">
        <f t="shared" si="10"/>
        <v>1.6800000000000002</v>
      </c>
      <c r="L241" t="s">
        <v>565</v>
      </c>
      <c r="M241">
        <v>1</v>
      </c>
      <c r="N241">
        <v>1</v>
      </c>
      <c r="P241">
        <v>1</v>
      </c>
      <c r="Q241">
        <v>1</v>
      </c>
      <c r="R241" s="1">
        <v>44063</v>
      </c>
    </row>
    <row r="243" spans="1:18" x14ac:dyDescent="0.2">
      <c r="A243" s="18">
        <v>22</v>
      </c>
      <c r="B243" t="s">
        <v>75</v>
      </c>
      <c r="C243" s="1">
        <v>22411</v>
      </c>
      <c r="D243" s="1">
        <v>43619</v>
      </c>
      <c r="E243" t="s">
        <v>16</v>
      </c>
      <c r="F243">
        <v>1</v>
      </c>
      <c r="G243">
        <v>0</v>
      </c>
      <c r="H243">
        <v>3.7</v>
      </c>
      <c r="I243">
        <v>2.2999999999999998</v>
      </c>
      <c r="J243">
        <v>1.8</v>
      </c>
      <c r="K243">
        <f t="shared" si="10"/>
        <v>4.1399999999999997</v>
      </c>
      <c r="L243" t="s">
        <v>567</v>
      </c>
    </row>
    <row r="244" spans="1:18" x14ac:dyDescent="0.2">
      <c r="F244">
        <v>1</v>
      </c>
      <c r="G244">
        <v>0</v>
      </c>
      <c r="H244">
        <v>5.8</v>
      </c>
      <c r="I244">
        <v>3.1</v>
      </c>
      <c r="J244">
        <v>8.8000000000000007</v>
      </c>
      <c r="K244">
        <f t="shared" si="10"/>
        <v>27.280000000000005</v>
      </c>
      <c r="L244" t="s">
        <v>567</v>
      </c>
    </row>
    <row r="246" spans="1:18" x14ac:dyDescent="0.2">
      <c r="F246">
        <v>0</v>
      </c>
      <c r="G246">
        <v>1</v>
      </c>
      <c r="H246">
        <v>2.7</v>
      </c>
      <c r="I246">
        <v>1.8</v>
      </c>
      <c r="J246">
        <v>1.6</v>
      </c>
      <c r="K246">
        <f>(I246*J246)</f>
        <v>2.8800000000000003</v>
      </c>
      <c r="L246" t="s">
        <v>568</v>
      </c>
    </row>
    <row r="247" spans="1:18" x14ac:dyDescent="0.2">
      <c r="F247">
        <v>0</v>
      </c>
      <c r="G247">
        <v>1</v>
      </c>
      <c r="H247">
        <v>2.8</v>
      </c>
      <c r="I247">
        <v>1.8</v>
      </c>
      <c r="J247">
        <v>1.1000000000000001</v>
      </c>
      <c r="K247">
        <f t="shared" ref="K247:K269" si="11">(I247*J247)</f>
        <v>1.9800000000000002</v>
      </c>
      <c r="L247" t="s">
        <v>502</v>
      </c>
    </row>
    <row r="248" spans="1:18" x14ac:dyDescent="0.2">
      <c r="F248">
        <v>0</v>
      </c>
      <c r="G248">
        <v>1</v>
      </c>
      <c r="H248">
        <v>2.4</v>
      </c>
      <c r="I248">
        <v>1.7</v>
      </c>
      <c r="J248">
        <v>0.5</v>
      </c>
      <c r="K248">
        <f t="shared" si="11"/>
        <v>0.85</v>
      </c>
      <c r="L248" t="s">
        <v>535</v>
      </c>
    </row>
    <row r="249" spans="1:18" x14ac:dyDescent="0.2">
      <c r="F249">
        <v>0</v>
      </c>
      <c r="G249">
        <v>1</v>
      </c>
      <c r="H249">
        <v>3.1</v>
      </c>
      <c r="I249">
        <v>2</v>
      </c>
      <c r="J249">
        <v>0.5</v>
      </c>
      <c r="K249">
        <f t="shared" si="11"/>
        <v>1</v>
      </c>
      <c r="L249" t="s">
        <v>497</v>
      </c>
      <c r="M249">
        <v>1</v>
      </c>
      <c r="N249">
        <v>1</v>
      </c>
      <c r="P249">
        <v>1</v>
      </c>
      <c r="Q249">
        <v>1.5</v>
      </c>
      <c r="R249" s="1">
        <v>43978</v>
      </c>
    </row>
    <row r="251" spans="1:18" x14ac:dyDescent="0.2">
      <c r="A251">
        <v>23</v>
      </c>
      <c r="B251" t="s">
        <v>78</v>
      </c>
      <c r="C251" s="1">
        <v>18859</v>
      </c>
      <c r="D251" s="1">
        <v>43647</v>
      </c>
      <c r="E251" t="s">
        <v>13</v>
      </c>
      <c r="F251">
        <v>1</v>
      </c>
      <c r="G251">
        <v>0</v>
      </c>
      <c r="H251">
        <v>4.5999999999999996</v>
      </c>
      <c r="I251">
        <v>2.6</v>
      </c>
      <c r="J251">
        <v>2.6</v>
      </c>
      <c r="K251">
        <f t="shared" si="11"/>
        <v>6.7600000000000007</v>
      </c>
      <c r="L251" t="s">
        <v>113</v>
      </c>
    </row>
    <row r="252" spans="1:18" x14ac:dyDescent="0.2">
      <c r="F252">
        <v>1</v>
      </c>
      <c r="G252">
        <v>0</v>
      </c>
      <c r="H252">
        <v>4.8</v>
      </c>
      <c r="I252">
        <v>2.9</v>
      </c>
      <c r="J252">
        <v>2.5</v>
      </c>
      <c r="K252">
        <f t="shared" si="11"/>
        <v>7.25</v>
      </c>
      <c r="L252" t="s">
        <v>569</v>
      </c>
    </row>
    <row r="253" spans="1:18" x14ac:dyDescent="0.2">
      <c r="F253">
        <v>1</v>
      </c>
      <c r="G253">
        <v>0</v>
      </c>
      <c r="H253">
        <v>6.5</v>
      </c>
      <c r="I253">
        <v>3.5</v>
      </c>
      <c r="J253">
        <v>12.8</v>
      </c>
      <c r="K253">
        <f t="shared" si="11"/>
        <v>44.800000000000004</v>
      </c>
      <c r="L253" t="s">
        <v>476</v>
      </c>
    </row>
    <row r="254" spans="1:18" x14ac:dyDescent="0.2">
      <c r="F254">
        <v>1</v>
      </c>
      <c r="G254">
        <v>0</v>
      </c>
      <c r="H254">
        <v>5.0999999999999996</v>
      </c>
      <c r="I254">
        <v>2.6</v>
      </c>
      <c r="J254">
        <v>8.8000000000000007</v>
      </c>
      <c r="K254">
        <f t="shared" si="11"/>
        <v>22.880000000000003</v>
      </c>
      <c r="L254" t="s">
        <v>477</v>
      </c>
    </row>
    <row r="255" spans="1:18" x14ac:dyDescent="0.2">
      <c r="F255">
        <v>1</v>
      </c>
      <c r="G255">
        <v>0</v>
      </c>
      <c r="H255">
        <v>7.1</v>
      </c>
      <c r="I255">
        <v>3.5</v>
      </c>
      <c r="J255">
        <v>6.9</v>
      </c>
      <c r="K255">
        <f t="shared" si="11"/>
        <v>24.150000000000002</v>
      </c>
      <c r="L255" t="s">
        <v>544</v>
      </c>
    </row>
    <row r="256" spans="1:18" x14ac:dyDescent="0.2">
      <c r="F256">
        <v>1</v>
      </c>
      <c r="G256">
        <v>0</v>
      </c>
      <c r="H256">
        <v>7.6</v>
      </c>
      <c r="I256">
        <v>4.3</v>
      </c>
      <c r="J256">
        <v>13.2</v>
      </c>
      <c r="K256">
        <f t="shared" si="11"/>
        <v>56.76</v>
      </c>
      <c r="L256" t="s">
        <v>570</v>
      </c>
    </row>
    <row r="257" spans="6:16" x14ac:dyDescent="0.2">
      <c r="F257">
        <v>1</v>
      </c>
      <c r="G257">
        <v>0</v>
      </c>
      <c r="H257">
        <v>7.9</v>
      </c>
      <c r="I257">
        <v>4.5</v>
      </c>
      <c r="J257">
        <v>13.8</v>
      </c>
      <c r="K257">
        <f t="shared" si="11"/>
        <v>62.1</v>
      </c>
      <c r="L257" t="s">
        <v>571</v>
      </c>
    </row>
    <row r="258" spans="6:16" x14ac:dyDescent="0.2">
      <c r="F258">
        <v>1</v>
      </c>
      <c r="G258">
        <v>0</v>
      </c>
      <c r="H258">
        <v>4.7</v>
      </c>
      <c r="I258">
        <v>3.1</v>
      </c>
      <c r="J258">
        <v>5.6</v>
      </c>
      <c r="K258">
        <f t="shared" si="11"/>
        <v>17.36</v>
      </c>
      <c r="L258" t="s">
        <v>572</v>
      </c>
    </row>
    <row r="259" spans="6:16" x14ac:dyDescent="0.2">
      <c r="F259">
        <v>1</v>
      </c>
      <c r="G259">
        <v>0</v>
      </c>
      <c r="H259">
        <v>7.2</v>
      </c>
      <c r="I259">
        <v>4.7</v>
      </c>
      <c r="J259">
        <v>3.7</v>
      </c>
      <c r="K259">
        <f t="shared" si="11"/>
        <v>17.39</v>
      </c>
      <c r="L259" t="s">
        <v>573</v>
      </c>
    </row>
    <row r="260" spans="6:16" x14ac:dyDescent="0.2">
      <c r="F260">
        <v>1</v>
      </c>
      <c r="G260">
        <v>0</v>
      </c>
      <c r="H260">
        <v>4.8</v>
      </c>
      <c r="I260">
        <v>2.4</v>
      </c>
      <c r="J260">
        <v>2.6</v>
      </c>
      <c r="K260">
        <f t="shared" si="11"/>
        <v>6.24</v>
      </c>
      <c r="L260" t="s">
        <v>574</v>
      </c>
    </row>
    <row r="261" spans="6:16" x14ac:dyDescent="0.2">
      <c r="F261">
        <v>1</v>
      </c>
      <c r="G261">
        <v>0</v>
      </c>
      <c r="H261">
        <v>10.4</v>
      </c>
      <c r="I261">
        <v>6.2</v>
      </c>
      <c r="J261">
        <v>4.3</v>
      </c>
      <c r="K261">
        <f t="shared" si="11"/>
        <v>26.66</v>
      </c>
      <c r="L261" t="s">
        <v>575</v>
      </c>
    </row>
    <row r="262" spans="6:16" x14ac:dyDescent="0.2">
      <c r="F262">
        <v>1</v>
      </c>
      <c r="G262">
        <v>0</v>
      </c>
      <c r="H262">
        <v>4.5999999999999996</v>
      </c>
      <c r="I262">
        <v>3</v>
      </c>
      <c r="J262">
        <v>1.4</v>
      </c>
      <c r="K262">
        <f t="shared" si="11"/>
        <v>4.1999999999999993</v>
      </c>
      <c r="L262" t="s">
        <v>576</v>
      </c>
    </row>
    <row r="263" spans="6:16" x14ac:dyDescent="0.2">
      <c r="F263">
        <v>1</v>
      </c>
      <c r="G263">
        <v>0</v>
      </c>
      <c r="H263">
        <v>8.6</v>
      </c>
      <c r="I263">
        <v>4.8</v>
      </c>
      <c r="J263">
        <v>3</v>
      </c>
      <c r="K263">
        <f t="shared" si="11"/>
        <v>14.399999999999999</v>
      </c>
      <c r="L263" t="s">
        <v>577</v>
      </c>
    </row>
    <row r="264" spans="6:16" x14ac:dyDescent="0.2">
      <c r="F264">
        <v>1</v>
      </c>
      <c r="G264">
        <v>0</v>
      </c>
      <c r="H264">
        <v>5.7</v>
      </c>
      <c r="I264">
        <v>3.5</v>
      </c>
      <c r="J264">
        <v>3</v>
      </c>
      <c r="K264">
        <f t="shared" si="11"/>
        <v>10.5</v>
      </c>
      <c r="L264" t="s">
        <v>539</v>
      </c>
    </row>
    <row r="265" spans="6:16" x14ac:dyDescent="0.2">
      <c r="F265">
        <v>1</v>
      </c>
      <c r="G265">
        <v>0</v>
      </c>
      <c r="H265">
        <v>12.3</v>
      </c>
      <c r="I265">
        <v>7.9</v>
      </c>
      <c r="J265">
        <v>2.6</v>
      </c>
      <c r="K265">
        <f t="shared" si="11"/>
        <v>20.540000000000003</v>
      </c>
      <c r="L265" t="s">
        <v>578</v>
      </c>
    </row>
    <row r="266" spans="6:16" x14ac:dyDescent="0.2">
      <c r="F266">
        <v>1</v>
      </c>
      <c r="G266">
        <v>0</v>
      </c>
      <c r="H266">
        <v>10.8</v>
      </c>
      <c r="I266">
        <v>6.6</v>
      </c>
      <c r="J266">
        <v>1.8</v>
      </c>
      <c r="K266">
        <f t="shared" si="11"/>
        <v>11.879999999999999</v>
      </c>
      <c r="L266" t="s">
        <v>578</v>
      </c>
    </row>
    <row r="267" spans="6:16" x14ac:dyDescent="0.2">
      <c r="F267">
        <v>1</v>
      </c>
      <c r="G267">
        <v>0</v>
      </c>
      <c r="H267">
        <v>12</v>
      </c>
      <c r="I267">
        <v>7.7</v>
      </c>
      <c r="J267">
        <v>1.2</v>
      </c>
      <c r="K267">
        <f t="shared" si="11"/>
        <v>9.24</v>
      </c>
      <c r="L267" t="s">
        <v>578</v>
      </c>
    </row>
    <row r="268" spans="6:16" x14ac:dyDescent="0.2">
      <c r="F268">
        <v>1</v>
      </c>
      <c r="G268">
        <v>0</v>
      </c>
      <c r="H268">
        <v>8.8000000000000007</v>
      </c>
      <c r="I268">
        <v>5.4</v>
      </c>
      <c r="J268">
        <v>2.2000000000000002</v>
      </c>
      <c r="K268">
        <f t="shared" si="11"/>
        <v>11.880000000000003</v>
      </c>
      <c r="L268" t="s">
        <v>578</v>
      </c>
    </row>
    <row r="269" spans="6:16" x14ac:dyDescent="0.2">
      <c r="F269">
        <v>1</v>
      </c>
      <c r="G269">
        <v>0</v>
      </c>
      <c r="H269">
        <v>8.3000000000000007</v>
      </c>
      <c r="I269">
        <v>4.8</v>
      </c>
      <c r="J269">
        <v>4.7</v>
      </c>
      <c r="K269">
        <f t="shared" si="11"/>
        <v>22.56</v>
      </c>
      <c r="L269" t="s">
        <v>579</v>
      </c>
    </row>
    <row r="271" spans="6:16" x14ac:dyDescent="0.2">
      <c r="F271">
        <v>0</v>
      </c>
      <c r="G271">
        <v>1</v>
      </c>
      <c r="H271">
        <v>2.2000000000000002</v>
      </c>
      <c r="I271">
        <v>1.6</v>
      </c>
      <c r="J271">
        <v>1.6</v>
      </c>
      <c r="K271">
        <f t="shared" ref="K271:K287" si="12">(I271*J271)</f>
        <v>2.5600000000000005</v>
      </c>
      <c r="L271" t="s">
        <v>535</v>
      </c>
    </row>
    <row r="272" spans="6:16" x14ac:dyDescent="0.2">
      <c r="F272">
        <v>0</v>
      </c>
      <c r="G272">
        <v>1</v>
      </c>
      <c r="H272">
        <v>2.4</v>
      </c>
      <c r="I272">
        <v>1.1000000000000001</v>
      </c>
      <c r="J272">
        <v>0.9</v>
      </c>
      <c r="K272">
        <f t="shared" si="12"/>
        <v>0.9900000000000001</v>
      </c>
      <c r="L272" t="s">
        <v>501</v>
      </c>
      <c r="M272">
        <v>1</v>
      </c>
      <c r="N272">
        <v>1</v>
      </c>
      <c r="P272">
        <v>0</v>
      </c>
    </row>
    <row r="274" spans="1:18" x14ac:dyDescent="0.2">
      <c r="A274">
        <v>24</v>
      </c>
      <c r="B274" t="s">
        <v>91</v>
      </c>
      <c r="C274" s="1">
        <v>25314</v>
      </c>
      <c r="D274" s="1">
        <v>43710</v>
      </c>
      <c r="E274" t="s">
        <v>16</v>
      </c>
      <c r="F274">
        <v>0</v>
      </c>
      <c r="G274">
        <v>1</v>
      </c>
      <c r="H274">
        <v>2.7</v>
      </c>
      <c r="I274">
        <v>2</v>
      </c>
      <c r="J274">
        <v>0.8</v>
      </c>
      <c r="K274">
        <f t="shared" si="12"/>
        <v>1.6</v>
      </c>
      <c r="L274" t="s">
        <v>502</v>
      </c>
    </row>
    <row r="275" spans="1:18" x14ac:dyDescent="0.2">
      <c r="F275">
        <v>0</v>
      </c>
      <c r="G275">
        <v>1</v>
      </c>
      <c r="H275">
        <v>2.4</v>
      </c>
      <c r="I275">
        <v>1.8</v>
      </c>
      <c r="J275">
        <v>0.8</v>
      </c>
      <c r="K275">
        <f t="shared" si="12"/>
        <v>1.4400000000000002</v>
      </c>
      <c r="L275" t="s">
        <v>501</v>
      </c>
    </row>
    <row r="276" spans="1:18" x14ac:dyDescent="0.2">
      <c r="F276">
        <v>0</v>
      </c>
      <c r="G276">
        <v>1</v>
      </c>
      <c r="H276">
        <v>2.2000000000000002</v>
      </c>
      <c r="I276">
        <v>1.7</v>
      </c>
      <c r="J276">
        <v>1.1000000000000001</v>
      </c>
      <c r="K276">
        <f t="shared" si="12"/>
        <v>1.87</v>
      </c>
      <c r="L276" t="s">
        <v>490</v>
      </c>
    </row>
    <row r="277" spans="1:18" x14ac:dyDescent="0.2">
      <c r="F277">
        <v>0</v>
      </c>
      <c r="G277">
        <v>1</v>
      </c>
      <c r="H277">
        <v>2</v>
      </c>
      <c r="I277">
        <v>1.6</v>
      </c>
      <c r="J277">
        <v>1.2</v>
      </c>
      <c r="K277">
        <f t="shared" si="12"/>
        <v>1.92</v>
      </c>
      <c r="L277" t="s">
        <v>491</v>
      </c>
      <c r="M277">
        <v>1</v>
      </c>
      <c r="N277">
        <v>0</v>
      </c>
      <c r="P277">
        <v>0</v>
      </c>
    </row>
    <row r="279" spans="1:18" x14ac:dyDescent="0.2">
      <c r="A279">
        <v>25</v>
      </c>
      <c r="B279" t="s">
        <v>208</v>
      </c>
      <c r="C279" s="1">
        <v>32078</v>
      </c>
      <c r="D279" s="1">
        <v>43745</v>
      </c>
      <c r="E279" t="s">
        <v>16</v>
      </c>
      <c r="F279">
        <v>1</v>
      </c>
      <c r="G279">
        <v>0</v>
      </c>
      <c r="H279">
        <v>4.5</v>
      </c>
      <c r="I279">
        <v>2.5</v>
      </c>
      <c r="J279">
        <v>2.7</v>
      </c>
      <c r="K279">
        <f t="shared" si="12"/>
        <v>6.75</v>
      </c>
      <c r="L279" t="s">
        <v>580</v>
      </c>
    </row>
    <row r="280" spans="1:18" x14ac:dyDescent="0.2">
      <c r="F280">
        <v>1</v>
      </c>
      <c r="G280">
        <v>0</v>
      </c>
      <c r="H280">
        <v>4.8</v>
      </c>
      <c r="I280">
        <v>2.7</v>
      </c>
      <c r="J280">
        <v>1.7</v>
      </c>
      <c r="K280">
        <f t="shared" si="12"/>
        <v>4.59</v>
      </c>
      <c r="L280" t="s">
        <v>581</v>
      </c>
    </row>
    <row r="282" spans="1:18" x14ac:dyDescent="0.2">
      <c r="F282">
        <v>0</v>
      </c>
      <c r="G282">
        <v>1</v>
      </c>
      <c r="H282">
        <v>2.4</v>
      </c>
      <c r="I282">
        <v>1.6</v>
      </c>
      <c r="J282">
        <v>1.1000000000000001</v>
      </c>
      <c r="K282">
        <f t="shared" si="12"/>
        <v>1.7600000000000002</v>
      </c>
      <c r="L282" t="s">
        <v>582</v>
      </c>
      <c r="M282">
        <v>1</v>
      </c>
      <c r="N282">
        <v>1</v>
      </c>
      <c r="P282">
        <v>1</v>
      </c>
      <c r="Q282">
        <v>3</v>
      </c>
      <c r="R282" s="1">
        <v>43703</v>
      </c>
    </row>
    <row r="284" spans="1:18" x14ac:dyDescent="0.2">
      <c r="A284">
        <v>26</v>
      </c>
      <c r="B284" t="s">
        <v>311</v>
      </c>
      <c r="C284" s="1">
        <v>25148</v>
      </c>
      <c r="D284" s="1">
        <v>43752</v>
      </c>
      <c r="E284" t="s">
        <v>13</v>
      </c>
      <c r="F284">
        <v>1</v>
      </c>
      <c r="G284">
        <v>0</v>
      </c>
      <c r="H284">
        <v>9.9</v>
      </c>
      <c r="I284">
        <v>5.4</v>
      </c>
      <c r="J284">
        <v>1.8</v>
      </c>
      <c r="K284">
        <f t="shared" si="12"/>
        <v>9.7200000000000006</v>
      </c>
      <c r="L284" t="s">
        <v>584</v>
      </c>
    </row>
    <row r="285" spans="1:18" x14ac:dyDescent="0.2">
      <c r="F285">
        <v>1</v>
      </c>
      <c r="G285">
        <v>0</v>
      </c>
      <c r="H285">
        <v>7.6</v>
      </c>
      <c r="I285">
        <v>4.5999999999999996</v>
      </c>
      <c r="J285">
        <v>1.5</v>
      </c>
      <c r="K285">
        <f t="shared" si="12"/>
        <v>6.8999999999999995</v>
      </c>
      <c r="L285" t="s">
        <v>585</v>
      </c>
    </row>
    <row r="286" spans="1:18" x14ac:dyDescent="0.2">
      <c r="F286">
        <v>1</v>
      </c>
      <c r="G286">
        <v>0</v>
      </c>
      <c r="H286">
        <v>8.6999999999999993</v>
      </c>
      <c r="I286">
        <v>5.2</v>
      </c>
      <c r="J286">
        <v>3.9</v>
      </c>
      <c r="K286">
        <f t="shared" si="12"/>
        <v>20.28</v>
      </c>
      <c r="L286" t="s">
        <v>586</v>
      </c>
    </row>
    <row r="287" spans="1:18" x14ac:dyDescent="0.2">
      <c r="F287">
        <v>1</v>
      </c>
      <c r="G287">
        <v>0</v>
      </c>
      <c r="H287">
        <v>6.2</v>
      </c>
      <c r="I287">
        <v>3.2</v>
      </c>
      <c r="J287">
        <v>4.4000000000000004</v>
      </c>
      <c r="K287">
        <f t="shared" si="12"/>
        <v>14.080000000000002</v>
      </c>
      <c r="L287" t="s">
        <v>587</v>
      </c>
    </row>
    <row r="289" spans="1:18" x14ac:dyDescent="0.2">
      <c r="F289">
        <v>0</v>
      </c>
      <c r="G289">
        <v>1</v>
      </c>
      <c r="H289">
        <v>2.7</v>
      </c>
      <c r="I289">
        <v>1.6</v>
      </c>
      <c r="J289">
        <v>0.8</v>
      </c>
      <c r="K289">
        <f t="shared" ref="K289:K297" si="13">(I289*J289)</f>
        <v>1.2800000000000002</v>
      </c>
      <c r="L289" t="s">
        <v>583</v>
      </c>
      <c r="M289">
        <v>1</v>
      </c>
      <c r="N289">
        <v>1</v>
      </c>
      <c r="P289">
        <v>1</v>
      </c>
      <c r="Q289">
        <v>1</v>
      </c>
      <c r="R289" s="1">
        <v>43776</v>
      </c>
    </row>
    <row r="291" spans="1:18" x14ac:dyDescent="0.2">
      <c r="A291">
        <v>27</v>
      </c>
      <c r="B291" t="s">
        <v>380</v>
      </c>
      <c r="C291" s="1">
        <v>31246</v>
      </c>
      <c r="D291" s="1">
        <v>43780</v>
      </c>
      <c r="E291" t="s">
        <v>417</v>
      </c>
      <c r="F291">
        <v>0</v>
      </c>
      <c r="G291">
        <v>1</v>
      </c>
      <c r="H291">
        <v>1.6</v>
      </c>
      <c r="I291">
        <v>0.8</v>
      </c>
      <c r="J291">
        <v>0.7</v>
      </c>
      <c r="K291">
        <f t="shared" si="13"/>
        <v>0.55999999999999994</v>
      </c>
      <c r="L291" t="s">
        <v>470</v>
      </c>
      <c r="M291">
        <v>1</v>
      </c>
      <c r="N291">
        <v>0</v>
      </c>
      <c r="P291">
        <v>0</v>
      </c>
    </row>
    <row r="293" spans="1:18" x14ac:dyDescent="0.2">
      <c r="A293">
        <v>28</v>
      </c>
      <c r="B293" t="s">
        <v>382</v>
      </c>
      <c r="C293" s="1">
        <v>25089</v>
      </c>
      <c r="D293" s="1">
        <v>43787</v>
      </c>
      <c r="E293" t="s">
        <v>16</v>
      </c>
      <c r="F293">
        <v>1</v>
      </c>
      <c r="G293">
        <v>0</v>
      </c>
      <c r="H293">
        <v>4.2</v>
      </c>
      <c r="I293">
        <v>2.7</v>
      </c>
      <c r="J293">
        <v>2.9</v>
      </c>
      <c r="K293">
        <f t="shared" si="13"/>
        <v>7.83</v>
      </c>
      <c r="L293" t="s">
        <v>830</v>
      </c>
    </row>
    <row r="294" spans="1:18" x14ac:dyDescent="0.2">
      <c r="F294">
        <v>1</v>
      </c>
      <c r="G294">
        <v>0</v>
      </c>
      <c r="H294">
        <v>4.5999999999999996</v>
      </c>
      <c r="I294">
        <v>2.8</v>
      </c>
      <c r="J294">
        <v>3</v>
      </c>
      <c r="K294">
        <f t="shared" si="13"/>
        <v>8.3999999999999986</v>
      </c>
      <c r="L294" t="s">
        <v>831</v>
      </c>
    </row>
    <row r="295" spans="1:18" x14ac:dyDescent="0.2">
      <c r="F295">
        <v>1</v>
      </c>
      <c r="G295">
        <v>0</v>
      </c>
      <c r="H295">
        <v>4.0999999999999996</v>
      </c>
      <c r="I295">
        <v>2.6</v>
      </c>
      <c r="J295">
        <v>2.6</v>
      </c>
      <c r="K295">
        <f t="shared" si="13"/>
        <v>6.7600000000000007</v>
      </c>
      <c r="L295" t="s">
        <v>589</v>
      </c>
    </row>
    <row r="296" spans="1:18" x14ac:dyDescent="0.2">
      <c r="F296">
        <v>1</v>
      </c>
      <c r="G296">
        <v>0</v>
      </c>
      <c r="H296">
        <v>4.5</v>
      </c>
      <c r="I296">
        <v>2.7</v>
      </c>
      <c r="J296">
        <v>2.9</v>
      </c>
      <c r="K296">
        <f t="shared" si="13"/>
        <v>7.83</v>
      </c>
      <c r="L296" t="s">
        <v>475</v>
      </c>
    </row>
    <row r="297" spans="1:18" x14ac:dyDescent="0.2">
      <c r="F297">
        <v>1</v>
      </c>
      <c r="G297">
        <v>0</v>
      </c>
      <c r="H297">
        <v>4.8</v>
      </c>
      <c r="I297">
        <v>3.7</v>
      </c>
      <c r="J297">
        <v>1.9</v>
      </c>
      <c r="K297">
        <f t="shared" si="13"/>
        <v>7.03</v>
      </c>
      <c r="L297" t="s">
        <v>590</v>
      </c>
    </row>
    <row r="299" spans="1:18" x14ac:dyDescent="0.2">
      <c r="F299">
        <v>0</v>
      </c>
      <c r="G299">
        <v>1</v>
      </c>
      <c r="H299">
        <v>2.9</v>
      </c>
      <c r="I299">
        <v>2.2000000000000002</v>
      </c>
      <c r="J299">
        <v>1.6</v>
      </c>
      <c r="K299">
        <f t="shared" ref="K299:K306" si="14">(I299*J299)</f>
        <v>3.5200000000000005</v>
      </c>
      <c r="L299" t="s">
        <v>588</v>
      </c>
      <c r="M299">
        <v>1</v>
      </c>
      <c r="N299">
        <v>1</v>
      </c>
      <c r="P299">
        <v>1</v>
      </c>
      <c r="Q299">
        <v>3</v>
      </c>
      <c r="R299" s="1">
        <v>43768</v>
      </c>
    </row>
    <row r="301" spans="1:18" x14ac:dyDescent="0.2">
      <c r="A301">
        <v>29</v>
      </c>
      <c r="B301" t="s">
        <v>383</v>
      </c>
      <c r="C301" s="1">
        <v>23577</v>
      </c>
      <c r="D301" s="1">
        <v>43794</v>
      </c>
      <c r="E301" t="s">
        <v>35</v>
      </c>
      <c r="F301">
        <v>0</v>
      </c>
      <c r="G301">
        <v>1</v>
      </c>
      <c r="H301">
        <v>3.5</v>
      </c>
      <c r="I301">
        <v>2.1</v>
      </c>
      <c r="J301">
        <v>0.7</v>
      </c>
      <c r="K301">
        <f t="shared" si="14"/>
        <v>1.47</v>
      </c>
      <c r="L301" t="s">
        <v>502</v>
      </c>
    </row>
    <row r="302" spans="1:18" x14ac:dyDescent="0.2">
      <c r="F302">
        <v>0</v>
      </c>
      <c r="G302">
        <v>1</v>
      </c>
      <c r="H302">
        <v>3.3</v>
      </c>
      <c r="I302">
        <v>2</v>
      </c>
      <c r="J302">
        <v>0.8</v>
      </c>
      <c r="K302">
        <f t="shared" si="14"/>
        <v>1.6</v>
      </c>
      <c r="L302" t="s">
        <v>553</v>
      </c>
      <c r="M302">
        <v>1</v>
      </c>
      <c r="N302">
        <v>0</v>
      </c>
      <c r="P302">
        <v>0</v>
      </c>
    </row>
    <row r="304" spans="1:18" x14ac:dyDescent="0.2">
      <c r="A304">
        <v>30</v>
      </c>
      <c r="B304" t="s">
        <v>384</v>
      </c>
      <c r="C304" s="1">
        <v>21542</v>
      </c>
      <c r="D304" s="1">
        <v>43794</v>
      </c>
      <c r="E304" t="s">
        <v>35</v>
      </c>
      <c r="F304">
        <v>1</v>
      </c>
      <c r="G304">
        <v>0</v>
      </c>
      <c r="H304">
        <v>6.6</v>
      </c>
      <c r="I304">
        <v>4.0999999999999996</v>
      </c>
      <c r="J304">
        <v>3.4</v>
      </c>
      <c r="K304">
        <f t="shared" si="14"/>
        <v>13.939999999999998</v>
      </c>
      <c r="L304" t="s">
        <v>592</v>
      </c>
    </row>
    <row r="305" spans="1:18" x14ac:dyDescent="0.2">
      <c r="F305">
        <v>1</v>
      </c>
      <c r="G305">
        <v>0</v>
      </c>
      <c r="H305">
        <v>6.6</v>
      </c>
      <c r="I305">
        <v>4.0999999999999996</v>
      </c>
      <c r="J305">
        <v>4.8</v>
      </c>
      <c r="K305">
        <f t="shared" si="14"/>
        <v>19.679999999999996</v>
      </c>
      <c r="L305" t="s">
        <v>593</v>
      </c>
    </row>
    <row r="306" spans="1:18" x14ac:dyDescent="0.2">
      <c r="F306">
        <v>1</v>
      </c>
      <c r="G306">
        <v>0</v>
      </c>
      <c r="H306">
        <v>4.3</v>
      </c>
      <c r="I306">
        <v>3.5</v>
      </c>
      <c r="J306">
        <v>1.8</v>
      </c>
      <c r="K306">
        <f t="shared" si="14"/>
        <v>6.3</v>
      </c>
      <c r="L306" t="s">
        <v>584</v>
      </c>
    </row>
    <row r="308" spans="1:18" x14ac:dyDescent="0.2">
      <c r="F308">
        <v>0</v>
      </c>
      <c r="G308">
        <v>1</v>
      </c>
      <c r="H308">
        <v>2.6</v>
      </c>
      <c r="I308">
        <v>1.8</v>
      </c>
      <c r="J308">
        <v>1.1000000000000001</v>
      </c>
      <c r="K308">
        <f t="shared" ref="K308:K332" si="15">(I308*J308)</f>
        <v>1.9800000000000002</v>
      </c>
      <c r="L308" t="s">
        <v>591</v>
      </c>
    </row>
    <row r="309" spans="1:18" x14ac:dyDescent="0.2">
      <c r="F309">
        <v>0</v>
      </c>
      <c r="G309">
        <v>1</v>
      </c>
      <c r="H309">
        <v>2.8</v>
      </c>
      <c r="I309">
        <v>2.1</v>
      </c>
      <c r="J309">
        <v>0.5</v>
      </c>
      <c r="K309">
        <f t="shared" si="15"/>
        <v>1.05</v>
      </c>
      <c r="L309" t="s">
        <v>570</v>
      </c>
    </row>
    <row r="310" spans="1:18" x14ac:dyDescent="0.2">
      <c r="F310">
        <v>0</v>
      </c>
      <c r="G310">
        <v>1</v>
      </c>
      <c r="H310">
        <v>2.4</v>
      </c>
      <c r="I310">
        <v>1.9</v>
      </c>
      <c r="J310">
        <v>0.8</v>
      </c>
      <c r="K310">
        <f t="shared" si="15"/>
        <v>1.52</v>
      </c>
      <c r="L310" t="s">
        <v>490</v>
      </c>
    </row>
    <row r="311" spans="1:18" x14ac:dyDescent="0.2">
      <c r="F311">
        <v>0</v>
      </c>
      <c r="G311">
        <v>1</v>
      </c>
      <c r="H311">
        <v>2.6</v>
      </c>
      <c r="I311">
        <v>1.9</v>
      </c>
      <c r="J311">
        <v>0.9</v>
      </c>
      <c r="K311">
        <f t="shared" si="15"/>
        <v>1.71</v>
      </c>
      <c r="L311" t="s">
        <v>491</v>
      </c>
      <c r="M311">
        <v>1</v>
      </c>
      <c r="N311">
        <v>1</v>
      </c>
      <c r="P311">
        <v>1</v>
      </c>
      <c r="Q311" t="s">
        <v>1085</v>
      </c>
      <c r="R311" s="1">
        <v>43818</v>
      </c>
    </row>
    <row r="313" spans="1:18" x14ac:dyDescent="0.2">
      <c r="A313">
        <v>31</v>
      </c>
      <c r="B313" t="s">
        <v>386</v>
      </c>
      <c r="C313" s="1">
        <v>30985</v>
      </c>
      <c r="D313" s="1">
        <v>43801</v>
      </c>
      <c r="E313" t="s">
        <v>387</v>
      </c>
      <c r="F313">
        <v>1</v>
      </c>
      <c r="G313">
        <v>0</v>
      </c>
      <c r="H313">
        <v>4.8</v>
      </c>
      <c r="I313">
        <v>2.8</v>
      </c>
      <c r="J313">
        <v>1</v>
      </c>
      <c r="K313">
        <f>(I313*J313)</f>
        <v>2.8</v>
      </c>
      <c r="L313" t="s">
        <v>832</v>
      </c>
      <c r="M313">
        <v>0</v>
      </c>
      <c r="N313">
        <v>1</v>
      </c>
      <c r="P313">
        <v>1</v>
      </c>
      <c r="Q313">
        <v>1.3</v>
      </c>
      <c r="R313" s="1">
        <v>43745</v>
      </c>
    </row>
    <row r="315" spans="1:18" x14ac:dyDescent="0.2">
      <c r="A315">
        <v>32</v>
      </c>
      <c r="B315" t="s">
        <v>388</v>
      </c>
      <c r="C315" s="1">
        <v>30008</v>
      </c>
      <c r="D315" s="1">
        <v>43808</v>
      </c>
      <c r="E315" t="s">
        <v>387</v>
      </c>
      <c r="F315">
        <v>1</v>
      </c>
      <c r="G315">
        <v>0</v>
      </c>
      <c r="H315">
        <v>3.7</v>
      </c>
      <c r="I315">
        <v>2.2999999999999998</v>
      </c>
      <c r="J315">
        <v>2.8</v>
      </c>
      <c r="K315">
        <f t="shared" si="15"/>
        <v>6.4399999999999995</v>
      </c>
      <c r="L315" t="s">
        <v>594</v>
      </c>
      <c r="M315">
        <v>0</v>
      </c>
      <c r="N315">
        <v>1</v>
      </c>
      <c r="P315">
        <v>1</v>
      </c>
      <c r="Q315">
        <v>3</v>
      </c>
      <c r="R315" s="1">
        <v>44242</v>
      </c>
    </row>
    <row r="317" spans="1:18" x14ac:dyDescent="0.2">
      <c r="A317">
        <v>33</v>
      </c>
      <c r="B317" t="s">
        <v>389</v>
      </c>
      <c r="C317" s="1">
        <v>25193</v>
      </c>
      <c r="D317" s="1">
        <v>43815</v>
      </c>
      <c r="E317" t="s">
        <v>391</v>
      </c>
      <c r="F317">
        <v>0</v>
      </c>
      <c r="G317">
        <v>1</v>
      </c>
      <c r="H317">
        <v>2.6</v>
      </c>
      <c r="I317">
        <v>1.3</v>
      </c>
      <c r="J317">
        <v>1.1000000000000001</v>
      </c>
      <c r="K317">
        <f t="shared" si="15"/>
        <v>1.4300000000000002</v>
      </c>
      <c r="L317" t="s">
        <v>501</v>
      </c>
      <c r="P317">
        <v>1</v>
      </c>
      <c r="R317" s="1"/>
    </row>
    <row r="318" spans="1:18" x14ac:dyDescent="0.2">
      <c r="F318">
        <v>0</v>
      </c>
      <c r="G318">
        <v>1</v>
      </c>
      <c r="H318">
        <v>2.7</v>
      </c>
      <c r="I318">
        <v>1.6</v>
      </c>
      <c r="J318">
        <v>2.1</v>
      </c>
      <c r="K318">
        <f t="shared" si="15"/>
        <v>3.3600000000000003</v>
      </c>
      <c r="L318" t="s">
        <v>595</v>
      </c>
      <c r="M318">
        <v>1</v>
      </c>
      <c r="N318">
        <v>0</v>
      </c>
      <c r="Q318">
        <v>1</v>
      </c>
      <c r="R318" s="1">
        <v>43719</v>
      </c>
    </row>
    <row r="320" spans="1:18" x14ac:dyDescent="0.2">
      <c r="A320">
        <v>34</v>
      </c>
      <c r="B320" t="s">
        <v>390</v>
      </c>
      <c r="C320" s="1">
        <v>23228</v>
      </c>
      <c r="D320" s="1">
        <v>43815</v>
      </c>
      <c r="E320" t="s">
        <v>387</v>
      </c>
      <c r="F320">
        <v>1</v>
      </c>
      <c r="G320">
        <v>0</v>
      </c>
      <c r="H320">
        <v>4.5</v>
      </c>
      <c r="I320">
        <v>2.4</v>
      </c>
      <c r="J320">
        <v>12.2</v>
      </c>
      <c r="K320">
        <f t="shared" si="15"/>
        <v>29.279999999999998</v>
      </c>
      <c r="L320" t="s">
        <v>596</v>
      </c>
    </row>
    <row r="321" spans="1:18" x14ac:dyDescent="0.2">
      <c r="F321">
        <v>1</v>
      </c>
      <c r="G321">
        <v>0</v>
      </c>
      <c r="H321">
        <v>4.3</v>
      </c>
      <c r="I321">
        <v>2.2000000000000002</v>
      </c>
      <c r="J321">
        <v>1.8</v>
      </c>
      <c r="K321">
        <f t="shared" si="15"/>
        <v>3.9600000000000004</v>
      </c>
      <c r="L321" t="s">
        <v>110</v>
      </c>
      <c r="M321">
        <v>0</v>
      </c>
      <c r="N321">
        <v>1</v>
      </c>
      <c r="P321">
        <v>1</v>
      </c>
      <c r="Q321">
        <v>3</v>
      </c>
      <c r="R321" s="1">
        <v>43600</v>
      </c>
    </row>
    <row r="323" spans="1:18" x14ac:dyDescent="0.2">
      <c r="A323">
        <v>35</v>
      </c>
      <c r="B323" t="s">
        <v>392</v>
      </c>
      <c r="C323" s="1">
        <v>32928</v>
      </c>
      <c r="D323" s="1">
        <v>43850</v>
      </c>
      <c r="E323" t="s">
        <v>387</v>
      </c>
      <c r="F323">
        <v>1</v>
      </c>
      <c r="G323">
        <v>0</v>
      </c>
      <c r="H323">
        <v>4</v>
      </c>
      <c r="I323">
        <v>2.5</v>
      </c>
      <c r="J323">
        <v>2.7</v>
      </c>
      <c r="K323">
        <f t="shared" si="15"/>
        <v>6.75</v>
      </c>
      <c r="L323" t="s">
        <v>597</v>
      </c>
    </row>
    <row r="324" spans="1:18" x14ac:dyDescent="0.2">
      <c r="F324">
        <v>1</v>
      </c>
      <c r="G324">
        <v>0</v>
      </c>
      <c r="H324">
        <v>3.2</v>
      </c>
      <c r="I324">
        <v>2.4</v>
      </c>
      <c r="J324">
        <v>1.9</v>
      </c>
      <c r="K324">
        <f t="shared" si="15"/>
        <v>4.5599999999999996</v>
      </c>
      <c r="L324" t="s">
        <v>598</v>
      </c>
    </row>
    <row r="325" spans="1:18" x14ac:dyDescent="0.2">
      <c r="F325">
        <v>1</v>
      </c>
      <c r="G325">
        <v>0</v>
      </c>
      <c r="H325">
        <v>4.2</v>
      </c>
      <c r="I325">
        <v>2.5</v>
      </c>
      <c r="J325">
        <v>1.6</v>
      </c>
      <c r="K325">
        <f t="shared" si="15"/>
        <v>4</v>
      </c>
      <c r="L325" t="s">
        <v>599</v>
      </c>
    </row>
    <row r="326" spans="1:18" x14ac:dyDescent="0.2">
      <c r="F326">
        <v>1</v>
      </c>
      <c r="G326">
        <v>0</v>
      </c>
      <c r="H326">
        <v>3.9</v>
      </c>
      <c r="I326">
        <v>2.8</v>
      </c>
      <c r="J326">
        <v>1.3</v>
      </c>
      <c r="K326">
        <f t="shared" si="15"/>
        <v>3.6399999999999997</v>
      </c>
      <c r="L326" t="s">
        <v>600</v>
      </c>
    </row>
    <row r="327" spans="1:18" x14ac:dyDescent="0.2">
      <c r="F327">
        <v>1</v>
      </c>
      <c r="G327">
        <v>0</v>
      </c>
      <c r="H327">
        <v>3.9</v>
      </c>
      <c r="I327">
        <v>2.4</v>
      </c>
      <c r="J327">
        <v>2.2999999999999998</v>
      </c>
      <c r="K327">
        <f t="shared" si="15"/>
        <v>5.52</v>
      </c>
      <c r="L327" t="s">
        <v>601</v>
      </c>
    </row>
    <row r="328" spans="1:18" x14ac:dyDescent="0.2">
      <c r="F328">
        <v>1</v>
      </c>
      <c r="G328">
        <v>0</v>
      </c>
      <c r="H328">
        <v>3.5</v>
      </c>
      <c r="I328">
        <v>2.2000000000000002</v>
      </c>
      <c r="J328">
        <v>1.5</v>
      </c>
      <c r="K328">
        <f t="shared" si="15"/>
        <v>3.3000000000000003</v>
      </c>
      <c r="L328" t="s">
        <v>602</v>
      </c>
      <c r="M328">
        <v>0</v>
      </c>
      <c r="N328">
        <v>1</v>
      </c>
      <c r="P328">
        <v>0</v>
      </c>
    </row>
    <row r="330" spans="1:18" x14ac:dyDescent="0.2">
      <c r="A330">
        <v>36</v>
      </c>
      <c r="B330" t="s">
        <v>393</v>
      </c>
      <c r="C330" s="1">
        <v>22284</v>
      </c>
      <c r="D330" s="1">
        <v>43850</v>
      </c>
      <c r="E330" t="s">
        <v>387</v>
      </c>
      <c r="F330">
        <v>1</v>
      </c>
      <c r="G330">
        <v>0</v>
      </c>
      <c r="H330">
        <v>3.7</v>
      </c>
      <c r="I330">
        <v>2</v>
      </c>
      <c r="J330">
        <v>2.9</v>
      </c>
      <c r="K330">
        <f t="shared" si="15"/>
        <v>5.8</v>
      </c>
      <c r="L330" t="s">
        <v>604</v>
      </c>
    </row>
    <row r="331" spans="1:18" x14ac:dyDescent="0.2">
      <c r="F331">
        <v>1</v>
      </c>
      <c r="G331">
        <v>0</v>
      </c>
      <c r="H331">
        <v>4</v>
      </c>
      <c r="I331">
        <v>2.6</v>
      </c>
      <c r="J331">
        <v>3.4</v>
      </c>
      <c r="K331">
        <f t="shared" si="15"/>
        <v>8.84</v>
      </c>
      <c r="L331" t="s">
        <v>605</v>
      </c>
    </row>
    <row r="332" spans="1:18" x14ac:dyDescent="0.2">
      <c r="F332">
        <v>1</v>
      </c>
      <c r="G332">
        <v>0</v>
      </c>
      <c r="H332">
        <v>4.0999999999999996</v>
      </c>
      <c r="I332">
        <v>2.5</v>
      </c>
      <c r="J332">
        <v>4.5</v>
      </c>
      <c r="K332">
        <f t="shared" si="15"/>
        <v>11.25</v>
      </c>
      <c r="L332" t="s">
        <v>567</v>
      </c>
    </row>
    <row r="334" spans="1:18" x14ac:dyDescent="0.2">
      <c r="F334">
        <v>0</v>
      </c>
      <c r="G334">
        <v>1</v>
      </c>
      <c r="H334">
        <v>2.9</v>
      </c>
      <c r="I334">
        <v>1.5</v>
      </c>
      <c r="J334">
        <v>2.2000000000000002</v>
      </c>
      <c r="K334">
        <f t="shared" ref="K334:K349" si="16">(I334*J334)</f>
        <v>3.3000000000000003</v>
      </c>
      <c r="L334" t="s">
        <v>603</v>
      </c>
    </row>
    <row r="335" spans="1:18" x14ac:dyDescent="0.2">
      <c r="F335">
        <v>0</v>
      </c>
      <c r="G335">
        <v>1</v>
      </c>
      <c r="H335">
        <v>3.2</v>
      </c>
      <c r="I335">
        <v>1.8</v>
      </c>
      <c r="J335">
        <v>2.2000000000000002</v>
      </c>
      <c r="K335">
        <f t="shared" si="16"/>
        <v>3.9600000000000004</v>
      </c>
      <c r="L335" t="s">
        <v>491</v>
      </c>
      <c r="M335">
        <v>1</v>
      </c>
      <c r="N335">
        <v>1</v>
      </c>
      <c r="P335">
        <v>1</v>
      </c>
      <c r="Q335">
        <v>3</v>
      </c>
      <c r="R335" s="1">
        <v>43929</v>
      </c>
    </row>
    <row r="337" spans="1:18" x14ac:dyDescent="0.2">
      <c r="A337">
        <v>37</v>
      </c>
      <c r="B337" t="s">
        <v>394</v>
      </c>
      <c r="C337" s="1">
        <v>28212</v>
      </c>
      <c r="D337" s="1">
        <v>43854</v>
      </c>
      <c r="E337" t="s">
        <v>387</v>
      </c>
      <c r="F337">
        <v>0</v>
      </c>
      <c r="G337">
        <v>1</v>
      </c>
      <c r="H337">
        <v>3.1</v>
      </c>
      <c r="I337">
        <v>2.2000000000000002</v>
      </c>
      <c r="J337">
        <v>2.2000000000000002</v>
      </c>
      <c r="K337">
        <f t="shared" si="16"/>
        <v>4.8400000000000007</v>
      </c>
      <c r="L337" t="s">
        <v>606</v>
      </c>
      <c r="M337">
        <v>1</v>
      </c>
      <c r="N337">
        <v>0</v>
      </c>
      <c r="P337">
        <v>1</v>
      </c>
      <c r="Q337">
        <v>3</v>
      </c>
      <c r="R337" s="1">
        <v>43815</v>
      </c>
    </row>
    <row r="339" spans="1:18" x14ac:dyDescent="0.2">
      <c r="A339">
        <v>38</v>
      </c>
      <c r="B339" t="s">
        <v>395</v>
      </c>
      <c r="C339" s="1">
        <v>24547</v>
      </c>
      <c r="D339" s="1">
        <v>43854</v>
      </c>
      <c r="E339" t="s">
        <v>35</v>
      </c>
      <c r="F339">
        <v>0</v>
      </c>
      <c r="G339">
        <v>1</v>
      </c>
      <c r="H339">
        <v>2.7</v>
      </c>
      <c r="I339">
        <v>2</v>
      </c>
      <c r="J339">
        <v>1</v>
      </c>
      <c r="K339">
        <f t="shared" si="16"/>
        <v>2</v>
      </c>
      <c r="L339" t="s">
        <v>585</v>
      </c>
      <c r="M339">
        <v>1</v>
      </c>
      <c r="N339">
        <v>0</v>
      </c>
      <c r="P339">
        <v>1</v>
      </c>
      <c r="Q339">
        <v>1</v>
      </c>
      <c r="R339" s="1">
        <v>43753</v>
      </c>
    </row>
    <row r="341" spans="1:18" x14ac:dyDescent="0.2">
      <c r="A341">
        <v>39</v>
      </c>
      <c r="B341" t="s">
        <v>396</v>
      </c>
      <c r="C341" s="1">
        <v>19112</v>
      </c>
      <c r="D341" s="1">
        <v>43857</v>
      </c>
      <c r="E341" t="s">
        <v>607</v>
      </c>
      <c r="F341">
        <v>1</v>
      </c>
      <c r="G341">
        <v>0</v>
      </c>
      <c r="H341">
        <v>6.8</v>
      </c>
      <c r="I341">
        <v>3.7</v>
      </c>
      <c r="J341">
        <v>10.8</v>
      </c>
      <c r="K341">
        <f t="shared" si="16"/>
        <v>39.960000000000008</v>
      </c>
      <c r="L341" t="s">
        <v>551</v>
      </c>
    </row>
    <row r="342" spans="1:18" x14ac:dyDescent="0.2">
      <c r="F342">
        <v>1</v>
      </c>
      <c r="G342">
        <v>0</v>
      </c>
      <c r="H342">
        <v>3.3</v>
      </c>
      <c r="I342">
        <v>1.9</v>
      </c>
      <c r="J342">
        <v>11.6</v>
      </c>
      <c r="K342">
        <f t="shared" si="16"/>
        <v>22.04</v>
      </c>
      <c r="L342" t="s">
        <v>608</v>
      </c>
    </row>
    <row r="343" spans="1:18" x14ac:dyDescent="0.2">
      <c r="F343">
        <v>1</v>
      </c>
      <c r="G343">
        <v>0</v>
      </c>
      <c r="H343">
        <v>5</v>
      </c>
      <c r="I343">
        <v>2.9</v>
      </c>
      <c r="J343">
        <v>2.5</v>
      </c>
      <c r="K343">
        <f t="shared" si="16"/>
        <v>7.25</v>
      </c>
      <c r="L343" t="s">
        <v>609</v>
      </c>
    </row>
    <row r="344" spans="1:18" x14ac:dyDescent="0.2">
      <c r="F344">
        <v>1</v>
      </c>
      <c r="G344">
        <v>0</v>
      </c>
      <c r="H344">
        <v>4.4000000000000004</v>
      </c>
      <c r="I344">
        <v>2.5</v>
      </c>
      <c r="J344">
        <v>4.2</v>
      </c>
      <c r="K344">
        <f t="shared" si="16"/>
        <v>10.5</v>
      </c>
      <c r="L344" t="s">
        <v>610</v>
      </c>
    </row>
    <row r="345" spans="1:18" x14ac:dyDescent="0.2">
      <c r="F345">
        <v>1</v>
      </c>
      <c r="G345">
        <v>0</v>
      </c>
      <c r="H345">
        <v>6.4</v>
      </c>
      <c r="I345">
        <v>3.4</v>
      </c>
      <c r="J345">
        <v>19.3</v>
      </c>
      <c r="K345">
        <f t="shared" si="16"/>
        <v>65.62</v>
      </c>
      <c r="L345" t="s">
        <v>477</v>
      </c>
    </row>
    <row r="346" spans="1:18" x14ac:dyDescent="0.2">
      <c r="F346">
        <v>1</v>
      </c>
      <c r="G346">
        <v>0</v>
      </c>
      <c r="H346">
        <v>8.1</v>
      </c>
      <c r="I346">
        <v>4.4000000000000004</v>
      </c>
      <c r="J346">
        <v>14.5</v>
      </c>
      <c r="K346">
        <f t="shared" si="16"/>
        <v>63.800000000000004</v>
      </c>
      <c r="L346" t="s">
        <v>476</v>
      </c>
      <c r="M346">
        <v>0</v>
      </c>
      <c r="N346">
        <v>1</v>
      </c>
      <c r="P346">
        <v>0</v>
      </c>
    </row>
    <row r="348" spans="1:18" x14ac:dyDescent="0.2">
      <c r="A348">
        <v>40</v>
      </c>
      <c r="B348" t="s">
        <v>397</v>
      </c>
      <c r="C348" s="1">
        <v>32258</v>
      </c>
      <c r="D348" s="1">
        <v>43857</v>
      </c>
      <c r="E348" t="s">
        <v>387</v>
      </c>
      <c r="F348">
        <v>1</v>
      </c>
      <c r="G348">
        <v>0</v>
      </c>
      <c r="H348">
        <v>3.1</v>
      </c>
      <c r="I348">
        <v>2</v>
      </c>
      <c r="J348">
        <v>6.7</v>
      </c>
      <c r="K348">
        <f t="shared" si="16"/>
        <v>13.4</v>
      </c>
      <c r="L348" t="s">
        <v>611</v>
      </c>
    </row>
    <row r="349" spans="1:18" x14ac:dyDescent="0.2">
      <c r="F349">
        <v>0</v>
      </c>
      <c r="G349">
        <v>1</v>
      </c>
      <c r="H349">
        <v>1.4</v>
      </c>
      <c r="I349">
        <v>1</v>
      </c>
      <c r="J349">
        <v>1.9</v>
      </c>
      <c r="K349">
        <f t="shared" si="16"/>
        <v>1.9</v>
      </c>
      <c r="L349" t="s">
        <v>503</v>
      </c>
      <c r="M349">
        <v>1</v>
      </c>
      <c r="N349">
        <v>1</v>
      </c>
      <c r="P349">
        <v>0</v>
      </c>
      <c r="Q349">
        <v>1.3</v>
      </c>
      <c r="R349" s="1">
        <v>43699</v>
      </c>
    </row>
    <row r="351" spans="1:18" x14ac:dyDescent="0.2">
      <c r="A351">
        <v>41</v>
      </c>
      <c r="B351" t="s">
        <v>612</v>
      </c>
      <c r="C351" s="1">
        <v>30495</v>
      </c>
      <c r="D351" s="1">
        <v>44085</v>
      </c>
      <c r="E351" t="s">
        <v>35</v>
      </c>
      <c r="M351">
        <v>0</v>
      </c>
      <c r="N351">
        <v>0</v>
      </c>
      <c r="P351">
        <v>1</v>
      </c>
      <c r="Q351" t="s">
        <v>1086</v>
      </c>
      <c r="R351" s="1">
        <v>43724</v>
      </c>
    </row>
    <row r="353" spans="1:18" x14ac:dyDescent="0.2">
      <c r="A353">
        <v>42</v>
      </c>
      <c r="B353" t="s">
        <v>613</v>
      </c>
      <c r="C353" s="1">
        <v>25439</v>
      </c>
      <c r="D353" s="1">
        <v>44088</v>
      </c>
      <c r="E353" t="s">
        <v>35</v>
      </c>
      <c r="F353">
        <v>0</v>
      </c>
      <c r="G353">
        <v>1</v>
      </c>
      <c r="H353">
        <v>2.7</v>
      </c>
      <c r="I353">
        <v>1.7</v>
      </c>
      <c r="J353">
        <v>2.5</v>
      </c>
      <c r="K353">
        <f t="shared" ref="K353:K368" si="17">(I353*J353)</f>
        <v>4.25</v>
      </c>
      <c r="L353" t="s">
        <v>490</v>
      </c>
    </row>
    <row r="354" spans="1:18" x14ac:dyDescent="0.2">
      <c r="F354">
        <v>0</v>
      </c>
      <c r="G354">
        <v>1</v>
      </c>
      <c r="H354">
        <v>2.6</v>
      </c>
      <c r="I354">
        <v>1.6</v>
      </c>
      <c r="J354">
        <v>2.2000000000000002</v>
      </c>
      <c r="K354">
        <f t="shared" si="17"/>
        <v>3.5200000000000005</v>
      </c>
      <c r="L354" t="s">
        <v>532</v>
      </c>
      <c r="M354">
        <v>1</v>
      </c>
      <c r="N354">
        <v>0</v>
      </c>
      <c r="P354">
        <v>1</v>
      </c>
      <c r="Q354">
        <v>1</v>
      </c>
      <c r="R354" s="1">
        <v>44180</v>
      </c>
    </row>
    <row r="356" spans="1:18" x14ac:dyDescent="0.2">
      <c r="A356">
        <v>43</v>
      </c>
      <c r="B356" t="s">
        <v>614</v>
      </c>
      <c r="C356" s="1">
        <v>32194</v>
      </c>
      <c r="D356" s="1">
        <v>44092</v>
      </c>
      <c r="E356" t="s">
        <v>387</v>
      </c>
      <c r="F356">
        <v>1</v>
      </c>
      <c r="G356">
        <v>0</v>
      </c>
      <c r="H356">
        <v>4.0999999999999996</v>
      </c>
      <c r="I356">
        <v>2.5</v>
      </c>
      <c r="J356">
        <v>5.0999999999999996</v>
      </c>
      <c r="K356">
        <f t="shared" si="17"/>
        <v>12.75</v>
      </c>
      <c r="L356" t="s">
        <v>113</v>
      </c>
    </row>
    <row r="357" spans="1:18" x14ac:dyDescent="0.2">
      <c r="F357">
        <v>1</v>
      </c>
      <c r="G357">
        <v>0</v>
      </c>
      <c r="H357">
        <v>3.4</v>
      </c>
      <c r="I357">
        <v>2.1</v>
      </c>
      <c r="J357">
        <v>11.7</v>
      </c>
      <c r="K357">
        <f t="shared" si="17"/>
        <v>24.57</v>
      </c>
      <c r="L357" t="s">
        <v>619</v>
      </c>
    </row>
    <row r="358" spans="1:18" x14ac:dyDescent="0.2">
      <c r="F358">
        <v>1</v>
      </c>
      <c r="G358">
        <v>0</v>
      </c>
      <c r="H358">
        <v>3</v>
      </c>
      <c r="I358">
        <v>1.9</v>
      </c>
      <c r="J358">
        <v>5.3</v>
      </c>
      <c r="K358">
        <f t="shared" si="17"/>
        <v>10.069999999999999</v>
      </c>
      <c r="L358" t="s">
        <v>616</v>
      </c>
    </row>
    <row r="359" spans="1:18" x14ac:dyDescent="0.2">
      <c r="F359">
        <v>1</v>
      </c>
      <c r="G359">
        <v>0</v>
      </c>
      <c r="H359">
        <v>4.9000000000000004</v>
      </c>
      <c r="I359">
        <v>2.6</v>
      </c>
      <c r="J359">
        <v>5.3</v>
      </c>
      <c r="K359">
        <f t="shared" si="17"/>
        <v>13.78</v>
      </c>
      <c r="L359" t="s">
        <v>617</v>
      </c>
    </row>
    <row r="360" spans="1:18" x14ac:dyDescent="0.2">
      <c r="F360">
        <v>1</v>
      </c>
      <c r="G360">
        <v>0</v>
      </c>
      <c r="H360">
        <v>3.6</v>
      </c>
      <c r="I360">
        <v>2</v>
      </c>
      <c r="J360">
        <v>8.6</v>
      </c>
      <c r="K360">
        <f t="shared" si="17"/>
        <v>17.2</v>
      </c>
      <c r="L360" t="s">
        <v>618</v>
      </c>
    </row>
    <row r="361" spans="1:18" x14ac:dyDescent="0.2">
      <c r="F361">
        <v>1</v>
      </c>
      <c r="G361">
        <v>0</v>
      </c>
      <c r="H361">
        <v>3.4</v>
      </c>
      <c r="I361">
        <v>1.9</v>
      </c>
      <c r="J361">
        <v>6.3</v>
      </c>
      <c r="K361">
        <f t="shared" si="17"/>
        <v>11.969999999999999</v>
      </c>
      <c r="L361" t="s">
        <v>620</v>
      </c>
    </row>
    <row r="362" spans="1:18" x14ac:dyDescent="0.2">
      <c r="F362">
        <v>1</v>
      </c>
      <c r="G362">
        <v>0</v>
      </c>
      <c r="H362">
        <v>2.7</v>
      </c>
      <c r="I362">
        <v>1.8</v>
      </c>
      <c r="J362">
        <v>7</v>
      </c>
      <c r="K362">
        <f t="shared" si="17"/>
        <v>12.6</v>
      </c>
      <c r="L362" t="s">
        <v>621</v>
      </c>
    </row>
    <row r="363" spans="1:18" x14ac:dyDescent="0.2">
      <c r="F363">
        <v>1</v>
      </c>
      <c r="G363">
        <v>0</v>
      </c>
      <c r="H363">
        <v>3.8</v>
      </c>
      <c r="I363">
        <v>2.1</v>
      </c>
      <c r="J363">
        <v>8</v>
      </c>
      <c r="K363">
        <f t="shared" si="17"/>
        <v>16.8</v>
      </c>
      <c r="L363" t="s">
        <v>622</v>
      </c>
    </row>
    <row r="364" spans="1:18" x14ac:dyDescent="0.2">
      <c r="F364">
        <v>1</v>
      </c>
      <c r="G364">
        <v>0</v>
      </c>
      <c r="H364">
        <v>3.6</v>
      </c>
      <c r="I364">
        <v>2.4</v>
      </c>
      <c r="J364">
        <v>7.3</v>
      </c>
      <c r="K364">
        <f t="shared" si="17"/>
        <v>17.52</v>
      </c>
      <c r="L364" t="s">
        <v>538</v>
      </c>
    </row>
    <row r="365" spans="1:18" x14ac:dyDescent="0.2">
      <c r="F365">
        <v>1</v>
      </c>
      <c r="G365">
        <v>0</v>
      </c>
      <c r="H365">
        <v>4</v>
      </c>
      <c r="I365">
        <v>2.4</v>
      </c>
      <c r="J365">
        <v>8.4</v>
      </c>
      <c r="K365">
        <f t="shared" si="17"/>
        <v>20.16</v>
      </c>
      <c r="L365" t="s">
        <v>623</v>
      </c>
      <c r="M365">
        <v>0</v>
      </c>
      <c r="N365">
        <v>1</v>
      </c>
      <c r="P365">
        <v>1</v>
      </c>
      <c r="Q365">
        <v>1.3</v>
      </c>
      <c r="R365" s="1">
        <v>44004</v>
      </c>
    </row>
    <row r="367" spans="1:18" x14ac:dyDescent="0.2">
      <c r="A367">
        <v>44</v>
      </c>
      <c r="B367" t="s">
        <v>615</v>
      </c>
      <c r="C367" s="1">
        <v>24911</v>
      </c>
      <c r="D367" s="1">
        <v>44099</v>
      </c>
      <c r="E367" t="s">
        <v>408</v>
      </c>
      <c r="F367">
        <v>1</v>
      </c>
      <c r="G367">
        <v>0</v>
      </c>
      <c r="H367">
        <v>3</v>
      </c>
      <c r="I367">
        <v>2.2000000000000002</v>
      </c>
      <c r="J367">
        <v>4.7</v>
      </c>
      <c r="K367">
        <f t="shared" si="17"/>
        <v>10.340000000000002</v>
      </c>
      <c r="L367" t="s">
        <v>624</v>
      </c>
    </row>
    <row r="368" spans="1:18" x14ac:dyDescent="0.2">
      <c r="F368">
        <v>1</v>
      </c>
      <c r="G368">
        <v>0</v>
      </c>
      <c r="H368">
        <v>3.1</v>
      </c>
      <c r="I368">
        <v>1.6</v>
      </c>
      <c r="J368">
        <v>16.2</v>
      </c>
      <c r="K368">
        <f t="shared" si="17"/>
        <v>25.92</v>
      </c>
      <c r="L368" t="s">
        <v>625</v>
      </c>
      <c r="M368">
        <v>0</v>
      </c>
      <c r="N368">
        <v>1</v>
      </c>
      <c r="P368">
        <v>1</v>
      </c>
      <c r="Q368">
        <v>1</v>
      </c>
      <c r="R368" s="1">
        <v>43998</v>
      </c>
    </row>
    <row r="370" spans="1:16" x14ac:dyDescent="0.2">
      <c r="A370">
        <v>45</v>
      </c>
      <c r="B370" t="s">
        <v>418</v>
      </c>
      <c r="C370" s="1">
        <v>24739</v>
      </c>
      <c r="D370" s="1">
        <v>44081</v>
      </c>
      <c r="E370" t="s">
        <v>35</v>
      </c>
      <c r="F370">
        <v>1</v>
      </c>
      <c r="G370">
        <v>0</v>
      </c>
      <c r="H370">
        <v>4.0999999999999996</v>
      </c>
      <c r="I370">
        <v>1.7</v>
      </c>
      <c r="J370">
        <v>8.9</v>
      </c>
      <c r="K370">
        <f t="shared" ref="K370:K437" si="18">(I370*J370)</f>
        <v>15.13</v>
      </c>
      <c r="L370" t="s">
        <v>626</v>
      </c>
    </row>
    <row r="371" spans="1:16" x14ac:dyDescent="0.2">
      <c r="F371">
        <v>1</v>
      </c>
      <c r="G371">
        <v>0</v>
      </c>
      <c r="H371">
        <v>3.2</v>
      </c>
      <c r="I371">
        <v>1.7</v>
      </c>
      <c r="J371">
        <v>2.2000000000000002</v>
      </c>
      <c r="K371">
        <f t="shared" si="18"/>
        <v>3.74</v>
      </c>
      <c r="L371" t="s">
        <v>627</v>
      </c>
    </row>
    <row r="372" spans="1:16" x14ac:dyDescent="0.2">
      <c r="F372">
        <v>1</v>
      </c>
      <c r="G372">
        <v>0</v>
      </c>
      <c r="H372">
        <v>10</v>
      </c>
      <c r="I372">
        <v>3.1</v>
      </c>
      <c r="J372">
        <v>10</v>
      </c>
      <c r="K372">
        <f t="shared" si="18"/>
        <v>31</v>
      </c>
      <c r="L372" t="s">
        <v>771</v>
      </c>
    </row>
    <row r="373" spans="1:16" x14ac:dyDescent="0.2">
      <c r="F373">
        <v>1</v>
      </c>
      <c r="G373">
        <v>0</v>
      </c>
      <c r="H373">
        <v>4.9000000000000004</v>
      </c>
      <c r="I373">
        <v>2.1</v>
      </c>
      <c r="J373">
        <v>13</v>
      </c>
      <c r="K373">
        <f t="shared" si="18"/>
        <v>27.3</v>
      </c>
      <c r="L373" t="s">
        <v>772</v>
      </c>
    </row>
    <row r="374" spans="1:16" x14ac:dyDescent="0.2">
      <c r="F374">
        <v>1</v>
      </c>
      <c r="G374">
        <v>0</v>
      </c>
      <c r="H374">
        <v>4.7</v>
      </c>
      <c r="I374">
        <v>1.9</v>
      </c>
      <c r="J374">
        <v>3</v>
      </c>
      <c r="K374">
        <f t="shared" si="18"/>
        <v>5.6999999999999993</v>
      </c>
      <c r="L374" t="s">
        <v>773</v>
      </c>
    </row>
    <row r="376" spans="1:16" x14ac:dyDescent="0.2">
      <c r="F376">
        <v>0</v>
      </c>
      <c r="G376">
        <v>1</v>
      </c>
      <c r="H376">
        <v>2.7</v>
      </c>
      <c r="I376">
        <v>2</v>
      </c>
      <c r="J376">
        <v>7.2</v>
      </c>
      <c r="K376">
        <f t="shared" si="18"/>
        <v>14.4</v>
      </c>
      <c r="L376" t="s">
        <v>628</v>
      </c>
    </row>
    <row r="377" spans="1:16" x14ac:dyDescent="0.2">
      <c r="F377">
        <v>0</v>
      </c>
      <c r="G377">
        <v>1</v>
      </c>
      <c r="H377">
        <v>2.2999999999999998</v>
      </c>
      <c r="I377">
        <v>1.8</v>
      </c>
      <c r="J377">
        <v>10.199999999999999</v>
      </c>
      <c r="K377">
        <f>(I377*J377)</f>
        <v>18.36</v>
      </c>
      <c r="L377" t="s">
        <v>629</v>
      </c>
    </row>
    <row r="378" spans="1:16" x14ac:dyDescent="0.2">
      <c r="F378">
        <v>0</v>
      </c>
      <c r="G378">
        <v>1</v>
      </c>
      <c r="H378">
        <v>2.6</v>
      </c>
      <c r="I378">
        <v>1.6</v>
      </c>
      <c r="J378">
        <v>12</v>
      </c>
      <c r="K378">
        <f>(I378*J378)</f>
        <v>19.200000000000003</v>
      </c>
      <c r="L378" t="s">
        <v>630</v>
      </c>
      <c r="M378">
        <v>1</v>
      </c>
      <c r="N378">
        <v>1</v>
      </c>
      <c r="P378">
        <v>0</v>
      </c>
    </row>
    <row r="380" spans="1:16" x14ac:dyDescent="0.2">
      <c r="A380">
        <v>46</v>
      </c>
      <c r="B380" t="s">
        <v>74</v>
      </c>
      <c r="C380" s="1">
        <v>20147</v>
      </c>
      <c r="D380" s="1">
        <v>44071</v>
      </c>
      <c r="E380" t="s">
        <v>35</v>
      </c>
      <c r="F380">
        <v>1</v>
      </c>
      <c r="G380">
        <v>0</v>
      </c>
      <c r="H380">
        <v>4.4000000000000004</v>
      </c>
      <c r="I380">
        <v>2.1</v>
      </c>
      <c r="J380">
        <v>7</v>
      </c>
      <c r="K380">
        <f t="shared" ref="K380:K385" si="19">(I380*J380)</f>
        <v>14.700000000000001</v>
      </c>
      <c r="L380" t="s">
        <v>106</v>
      </c>
    </row>
    <row r="381" spans="1:16" x14ac:dyDescent="0.2">
      <c r="F381">
        <v>1</v>
      </c>
      <c r="G381">
        <v>0</v>
      </c>
      <c r="H381">
        <v>4.3</v>
      </c>
      <c r="I381">
        <v>1.7</v>
      </c>
      <c r="J381">
        <v>8.6</v>
      </c>
      <c r="K381">
        <f t="shared" si="19"/>
        <v>14.62</v>
      </c>
      <c r="L381" t="s">
        <v>165</v>
      </c>
    </row>
    <row r="382" spans="1:16" x14ac:dyDescent="0.2">
      <c r="F382">
        <v>1</v>
      </c>
      <c r="G382">
        <v>0</v>
      </c>
      <c r="H382">
        <v>5</v>
      </c>
      <c r="I382">
        <v>1.9</v>
      </c>
      <c r="J382">
        <v>9.4</v>
      </c>
      <c r="K382">
        <f t="shared" si="19"/>
        <v>17.86</v>
      </c>
      <c r="L382" t="s">
        <v>631</v>
      </c>
    </row>
    <row r="383" spans="1:16" x14ac:dyDescent="0.2">
      <c r="F383">
        <v>1</v>
      </c>
      <c r="G383">
        <v>0</v>
      </c>
      <c r="H383">
        <v>3.4</v>
      </c>
      <c r="I383">
        <v>1.7</v>
      </c>
      <c r="J383">
        <v>15.6</v>
      </c>
      <c r="K383">
        <f t="shared" si="19"/>
        <v>26.52</v>
      </c>
      <c r="L383" t="s">
        <v>632</v>
      </c>
    </row>
    <row r="384" spans="1:16" x14ac:dyDescent="0.2">
      <c r="F384">
        <v>1</v>
      </c>
      <c r="G384">
        <v>0</v>
      </c>
      <c r="H384">
        <v>5.3</v>
      </c>
      <c r="I384">
        <v>2.4</v>
      </c>
      <c r="J384">
        <v>4.8</v>
      </c>
      <c r="K384">
        <f t="shared" si="19"/>
        <v>11.52</v>
      </c>
      <c r="L384" t="s">
        <v>112</v>
      </c>
    </row>
    <row r="385" spans="1:16" x14ac:dyDescent="0.2">
      <c r="F385">
        <v>1</v>
      </c>
      <c r="G385">
        <v>0</v>
      </c>
      <c r="H385">
        <v>5.0999999999999996</v>
      </c>
      <c r="I385">
        <v>1.7</v>
      </c>
      <c r="J385">
        <v>2.2999999999999998</v>
      </c>
      <c r="K385">
        <f t="shared" si="19"/>
        <v>3.9099999999999997</v>
      </c>
      <c r="L385" t="s">
        <v>633</v>
      </c>
    </row>
    <row r="387" spans="1:16" x14ac:dyDescent="0.2">
      <c r="F387">
        <v>0</v>
      </c>
      <c r="G387">
        <v>1</v>
      </c>
      <c r="H387">
        <v>2.6</v>
      </c>
      <c r="I387">
        <v>1.4</v>
      </c>
      <c r="J387">
        <v>9.1999999999999993</v>
      </c>
      <c r="K387">
        <f>(I387*J387)</f>
        <v>12.879999999999999</v>
      </c>
      <c r="L387" t="s">
        <v>629</v>
      </c>
    </row>
    <row r="388" spans="1:16" x14ac:dyDescent="0.2">
      <c r="F388">
        <v>0</v>
      </c>
      <c r="G388">
        <v>1</v>
      </c>
      <c r="H388">
        <v>3</v>
      </c>
      <c r="I388">
        <v>1.3</v>
      </c>
      <c r="J388">
        <v>8.1</v>
      </c>
      <c r="K388">
        <f>(I388*J388)</f>
        <v>10.53</v>
      </c>
      <c r="L388" t="s">
        <v>630</v>
      </c>
      <c r="M388">
        <v>1</v>
      </c>
      <c r="N388">
        <v>1</v>
      </c>
    </row>
    <row r="390" spans="1:16" x14ac:dyDescent="0.2">
      <c r="A390">
        <v>47</v>
      </c>
      <c r="B390" t="s">
        <v>634</v>
      </c>
      <c r="C390" s="1">
        <v>22441</v>
      </c>
      <c r="D390" s="1">
        <v>44064</v>
      </c>
      <c r="E390" t="s">
        <v>409</v>
      </c>
      <c r="F390">
        <v>1</v>
      </c>
      <c r="G390">
        <v>0</v>
      </c>
      <c r="H390">
        <v>4.3</v>
      </c>
      <c r="I390">
        <v>1.9</v>
      </c>
      <c r="J390">
        <v>9.85</v>
      </c>
      <c r="K390">
        <f t="shared" si="18"/>
        <v>18.715</v>
      </c>
      <c r="L390" t="s">
        <v>635</v>
      </c>
    </row>
    <row r="392" spans="1:16" x14ac:dyDescent="0.2">
      <c r="F392">
        <v>0</v>
      </c>
      <c r="G392">
        <v>1</v>
      </c>
      <c r="H392">
        <v>2.9</v>
      </c>
      <c r="I392">
        <v>1.7</v>
      </c>
      <c r="J392">
        <v>4.0999999999999996</v>
      </c>
      <c r="K392">
        <f t="shared" si="18"/>
        <v>6.9699999999999989</v>
      </c>
      <c r="L392" t="s">
        <v>115</v>
      </c>
      <c r="M392">
        <v>1</v>
      </c>
      <c r="N392">
        <v>1</v>
      </c>
      <c r="P392">
        <v>0</v>
      </c>
    </row>
    <row r="394" spans="1:16" x14ac:dyDescent="0.2">
      <c r="A394">
        <v>48</v>
      </c>
      <c r="B394" t="s">
        <v>416</v>
      </c>
      <c r="C394" s="1">
        <v>30454</v>
      </c>
      <c r="D394" s="1">
        <v>44060</v>
      </c>
      <c r="E394" t="s">
        <v>636</v>
      </c>
      <c r="F394">
        <v>0</v>
      </c>
      <c r="G394">
        <v>1</v>
      </c>
      <c r="H394">
        <v>2</v>
      </c>
      <c r="I394">
        <v>1.1000000000000001</v>
      </c>
      <c r="J394">
        <v>3.8</v>
      </c>
      <c r="K394">
        <f>(I394*J394)</f>
        <v>4.18</v>
      </c>
      <c r="L394" t="s">
        <v>629</v>
      </c>
      <c r="M394">
        <v>1</v>
      </c>
      <c r="N394">
        <v>0</v>
      </c>
      <c r="P394">
        <v>0</v>
      </c>
    </row>
    <row r="396" spans="1:16" x14ac:dyDescent="0.2">
      <c r="A396">
        <v>49</v>
      </c>
      <c r="B396" t="s">
        <v>637</v>
      </c>
      <c r="C396" s="1">
        <v>28273</v>
      </c>
      <c r="D396" s="1">
        <v>44008</v>
      </c>
      <c r="E396" t="s">
        <v>408</v>
      </c>
      <c r="F396">
        <v>1</v>
      </c>
      <c r="G396">
        <v>0</v>
      </c>
      <c r="H396">
        <v>3.2</v>
      </c>
      <c r="I396">
        <v>1.8</v>
      </c>
      <c r="J396">
        <v>16</v>
      </c>
      <c r="K396">
        <f t="shared" si="18"/>
        <v>28.8</v>
      </c>
      <c r="L396" t="s">
        <v>770</v>
      </c>
    </row>
    <row r="397" spans="1:16" x14ac:dyDescent="0.2">
      <c r="F397">
        <v>1</v>
      </c>
      <c r="G397">
        <v>0</v>
      </c>
      <c r="H397">
        <v>6.2</v>
      </c>
      <c r="I397">
        <v>3.8</v>
      </c>
      <c r="J397">
        <v>2.8</v>
      </c>
      <c r="K397">
        <f t="shared" si="18"/>
        <v>10.639999999999999</v>
      </c>
      <c r="L397" t="s">
        <v>638</v>
      </c>
    </row>
    <row r="398" spans="1:16" x14ac:dyDescent="0.2">
      <c r="F398">
        <v>1</v>
      </c>
      <c r="G398">
        <v>0</v>
      </c>
      <c r="H398">
        <v>5.2</v>
      </c>
      <c r="I398">
        <v>3.2</v>
      </c>
      <c r="J398">
        <v>5.8</v>
      </c>
      <c r="K398">
        <f t="shared" si="18"/>
        <v>18.559999999999999</v>
      </c>
      <c r="L398" t="s">
        <v>774</v>
      </c>
    </row>
    <row r="399" spans="1:16" x14ac:dyDescent="0.2">
      <c r="F399">
        <v>1</v>
      </c>
      <c r="G399">
        <v>0</v>
      </c>
      <c r="H399">
        <v>4</v>
      </c>
      <c r="I399">
        <v>2.4</v>
      </c>
      <c r="J399">
        <v>2.9</v>
      </c>
      <c r="K399">
        <f t="shared" si="18"/>
        <v>6.96</v>
      </c>
      <c r="L399" t="s">
        <v>639</v>
      </c>
    </row>
    <row r="400" spans="1:16" x14ac:dyDescent="0.2">
      <c r="F400">
        <v>1</v>
      </c>
      <c r="G400">
        <v>0</v>
      </c>
      <c r="H400">
        <v>4</v>
      </c>
      <c r="I400">
        <v>2.5</v>
      </c>
      <c r="J400">
        <v>3.8</v>
      </c>
      <c r="K400">
        <f t="shared" si="18"/>
        <v>9.5</v>
      </c>
      <c r="L400" t="s">
        <v>640</v>
      </c>
    </row>
    <row r="401" spans="1:18" x14ac:dyDescent="0.2">
      <c r="F401">
        <v>1</v>
      </c>
      <c r="G401">
        <v>0</v>
      </c>
      <c r="H401">
        <v>3.3</v>
      </c>
      <c r="I401">
        <v>2</v>
      </c>
      <c r="J401">
        <v>2.4</v>
      </c>
      <c r="K401">
        <f t="shared" si="18"/>
        <v>4.8</v>
      </c>
      <c r="L401" t="s">
        <v>775</v>
      </c>
      <c r="M401">
        <v>0</v>
      </c>
      <c r="N401">
        <v>1</v>
      </c>
      <c r="P401">
        <v>1</v>
      </c>
      <c r="Q401">
        <v>1.2</v>
      </c>
      <c r="R401" s="1">
        <v>43843</v>
      </c>
    </row>
    <row r="403" spans="1:18" x14ac:dyDescent="0.2">
      <c r="A403">
        <v>50</v>
      </c>
      <c r="B403" t="s">
        <v>410</v>
      </c>
      <c r="C403" s="1">
        <v>34137</v>
      </c>
      <c r="D403" s="1">
        <v>44015</v>
      </c>
      <c r="E403" t="s">
        <v>408</v>
      </c>
      <c r="F403">
        <v>1</v>
      </c>
      <c r="G403">
        <v>0</v>
      </c>
      <c r="H403">
        <v>4.5</v>
      </c>
      <c r="I403">
        <v>2.8</v>
      </c>
      <c r="J403">
        <v>11.4</v>
      </c>
      <c r="K403">
        <f t="shared" si="18"/>
        <v>31.919999999999998</v>
      </c>
      <c r="L403" t="s">
        <v>641</v>
      </c>
    </row>
    <row r="404" spans="1:18" x14ac:dyDescent="0.2">
      <c r="F404">
        <v>1</v>
      </c>
      <c r="G404">
        <v>0</v>
      </c>
      <c r="H404">
        <v>3.4</v>
      </c>
      <c r="I404">
        <v>2.1</v>
      </c>
      <c r="J404">
        <v>6.5</v>
      </c>
      <c r="K404">
        <f t="shared" si="18"/>
        <v>13.65</v>
      </c>
      <c r="L404" t="s">
        <v>642</v>
      </c>
    </row>
    <row r="405" spans="1:18" x14ac:dyDescent="0.2">
      <c r="F405">
        <v>1</v>
      </c>
      <c r="G405">
        <v>0</v>
      </c>
      <c r="H405">
        <v>3.1</v>
      </c>
      <c r="I405">
        <v>2.1</v>
      </c>
      <c r="J405">
        <v>1.8</v>
      </c>
      <c r="K405">
        <f t="shared" si="18"/>
        <v>3.7800000000000002</v>
      </c>
      <c r="L405" t="s">
        <v>643</v>
      </c>
    </row>
    <row r="406" spans="1:18" x14ac:dyDescent="0.2">
      <c r="F406">
        <v>1</v>
      </c>
      <c r="G406">
        <v>0</v>
      </c>
      <c r="H406">
        <v>5.5</v>
      </c>
      <c r="I406">
        <v>3.2</v>
      </c>
      <c r="J406">
        <v>2.6</v>
      </c>
      <c r="K406">
        <f t="shared" si="18"/>
        <v>8.32</v>
      </c>
      <c r="L406" t="s">
        <v>644</v>
      </c>
    </row>
    <row r="407" spans="1:18" x14ac:dyDescent="0.2">
      <c r="F407">
        <v>1</v>
      </c>
      <c r="G407">
        <v>0</v>
      </c>
      <c r="H407">
        <v>5.0999999999999996</v>
      </c>
      <c r="I407">
        <v>3.2</v>
      </c>
      <c r="J407">
        <v>3.7</v>
      </c>
      <c r="K407">
        <f t="shared" si="18"/>
        <v>11.840000000000002</v>
      </c>
      <c r="L407" t="s">
        <v>645</v>
      </c>
    </row>
    <row r="408" spans="1:18" x14ac:dyDescent="0.2">
      <c r="F408">
        <v>1</v>
      </c>
      <c r="G408">
        <v>0</v>
      </c>
      <c r="H408">
        <v>6.2</v>
      </c>
      <c r="I408">
        <v>3.8</v>
      </c>
      <c r="J408">
        <v>5.2</v>
      </c>
      <c r="K408">
        <f t="shared" si="18"/>
        <v>19.759999999999998</v>
      </c>
      <c r="L408" t="s">
        <v>640</v>
      </c>
      <c r="M408">
        <v>0</v>
      </c>
      <c r="N408">
        <v>1</v>
      </c>
      <c r="P408">
        <v>1</v>
      </c>
      <c r="Q408">
        <v>3</v>
      </c>
      <c r="R408" s="1">
        <v>44111</v>
      </c>
    </row>
    <row r="410" spans="1:18" x14ac:dyDescent="0.2">
      <c r="A410">
        <v>51</v>
      </c>
      <c r="B410" t="s">
        <v>646</v>
      </c>
      <c r="C410" s="1">
        <v>24088</v>
      </c>
      <c r="D410" s="1">
        <v>44018</v>
      </c>
      <c r="E410" t="s">
        <v>387</v>
      </c>
      <c r="F410">
        <v>1</v>
      </c>
      <c r="G410">
        <v>0</v>
      </c>
      <c r="H410">
        <v>3.4</v>
      </c>
      <c r="I410">
        <v>1.9</v>
      </c>
      <c r="J410">
        <v>41</v>
      </c>
      <c r="K410">
        <f>(I410*J410)</f>
        <v>77.899999999999991</v>
      </c>
      <c r="L410" t="s">
        <v>635</v>
      </c>
    </row>
    <row r="411" spans="1:18" x14ac:dyDescent="0.2">
      <c r="F411">
        <v>1</v>
      </c>
      <c r="G411">
        <v>0</v>
      </c>
      <c r="H411">
        <v>3.2</v>
      </c>
      <c r="I411">
        <v>1.8</v>
      </c>
      <c r="J411">
        <v>8.4</v>
      </c>
      <c r="K411">
        <f>(I411*J411)</f>
        <v>15.120000000000001</v>
      </c>
      <c r="L411" t="s">
        <v>776</v>
      </c>
    </row>
    <row r="413" spans="1:18" x14ac:dyDescent="0.2">
      <c r="F413">
        <v>0</v>
      </c>
      <c r="G413">
        <v>1</v>
      </c>
      <c r="H413">
        <v>2.8</v>
      </c>
      <c r="I413">
        <v>1.7</v>
      </c>
      <c r="J413">
        <v>3.4</v>
      </c>
      <c r="K413">
        <f>(I413*J413)</f>
        <v>5.7799999999999994</v>
      </c>
      <c r="L413" t="s">
        <v>629</v>
      </c>
      <c r="M413">
        <v>1</v>
      </c>
      <c r="N413">
        <v>1</v>
      </c>
      <c r="P413">
        <v>0</v>
      </c>
    </row>
    <row r="416" spans="1:18" x14ac:dyDescent="0.2">
      <c r="A416">
        <v>52</v>
      </c>
      <c r="B416" t="s">
        <v>411</v>
      </c>
      <c r="C416" s="1">
        <v>20660</v>
      </c>
      <c r="D416" s="1">
        <v>44022</v>
      </c>
      <c r="E416" t="s">
        <v>387</v>
      </c>
      <c r="F416">
        <v>1</v>
      </c>
      <c r="G416">
        <v>0</v>
      </c>
      <c r="H416">
        <v>3.4</v>
      </c>
      <c r="I416">
        <v>2.1</v>
      </c>
      <c r="J416">
        <v>14.9</v>
      </c>
      <c r="K416">
        <f t="shared" si="18"/>
        <v>31.290000000000003</v>
      </c>
      <c r="L416" t="s">
        <v>647</v>
      </c>
    </row>
    <row r="417" spans="1:18" x14ac:dyDescent="0.2">
      <c r="F417">
        <v>1</v>
      </c>
      <c r="G417">
        <v>0</v>
      </c>
      <c r="H417">
        <v>3.2</v>
      </c>
      <c r="I417">
        <v>1.8</v>
      </c>
      <c r="J417">
        <v>6</v>
      </c>
      <c r="K417">
        <f t="shared" si="18"/>
        <v>10.8</v>
      </c>
      <c r="L417" t="s">
        <v>648</v>
      </c>
      <c r="M417">
        <v>0</v>
      </c>
      <c r="N417">
        <v>1</v>
      </c>
      <c r="P417">
        <v>0</v>
      </c>
    </row>
    <row r="419" spans="1:18" x14ac:dyDescent="0.2">
      <c r="A419">
        <v>53</v>
      </c>
      <c r="B419" t="s">
        <v>412</v>
      </c>
      <c r="C419" s="1">
        <v>35258</v>
      </c>
      <c r="D419" s="1">
        <v>44022</v>
      </c>
      <c r="E419" t="s">
        <v>387</v>
      </c>
      <c r="F419">
        <v>1</v>
      </c>
      <c r="G419">
        <v>0</v>
      </c>
      <c r="H419">
        <v>3.5</v>
      </c>
      <c r="I419">
        <v>2.2999999999999998</v>
      </c>
      <c r="J419">
        <v>5.0999999999999996</v>
      </c>
      <c r="K419">
        <f t="shared" si="18"/>
        <v>11.729999999999999</v>
      </c>
      <c r="L419" t="s">
        <v>642</v>
      </c>
    </row>
    <row r="420" spans="1:18" x14ac:dyDescent="0.2">
      <c r="F420">
        <v>1</v>
      </c>
      <c r="G420">
        <v>0</v>
      </c>
      <c r="H420">
        <v>3.1</v>
      </c>
      <c r="I420">
        <v>2.2000000000000002</v>
      </c>
      <c r="J420">
        <v>5.5</v>
      </c>
      <c r="K420">
        <f t="shared" si="18"/>
        <v>12.100000000000001</v>
      </c>
      <c r="L420" t="s">
        <v>641</v>
      </c>
      <c r="M420">
        <v>0</v>
      </c>
      <c r="N420">
        <v>1</v>
      </c>
      <c r="P420">
        <v>1</v>
      </c>
      <c r="Q420">
        <v>3</v>
      </c>
      <c r="R420" s="1">
        <v>44048</v>
      </c>
    </row>
    <row r="422" spans="1:18" x14ac:dyDescent="0.2">
      <c r="A422">
        <v>54</v>
      </c>
      <c r="B422" t="s">
        <v>649</v>
      </c>
      <c r="C422" s="1">
        <v>30375</v>
      </c>
      <c r="D422" s="1">
        <v>44032</v>
      </c>
      <c r="E422" t="s">
        <v>35</v>
      </c>
      <c r="F422">
        <v>0</v>
      </c>
      <c r="G422">
        <v>1</v>
      </c>
      <c r="H422">
        <v>2.8</v>
      </c>
      <c r="I422">
        <v>2.1</v>
      </c>
      <c r="J422">
        <v>1.5</v>
      </c>
      <c r="K422">
        <f t="shared" si="18"/>
        <v>3.1500000000000004</v>
      </c>
      <c r="L422" t="s">
        <v>651</v>
      </c>
      <c r="M422">
        <v>1</v>
      </c>
      <c r="N422">
        <v>0</v>
      </c>
      <c r="P422">
        <v>1</v>
      </c>
      <c r="Q422">
        <v>3.5</v>
      </c>
      <c r="R422" s="1">
        <v>44025</v>
      </c>
    </row>
    <row r="423" spans="1:18" x14ac:dyDescent="0.2">
      <c r="C423" s="1"/>
      <c r="D423" s="1"/>
    </row>
    <row r="424" spans="1:18" x14ac:dyDescent="0.2">
      <c r="A424">
        <v>55</v>
      </c>
      <c r="B424" t="s">
        <v>414</v>
      </c>
      <c r="C424" s="1">
        <v>23742</v>
      </c>
      <c r="D424" s="1">
        <v>44039</v>
      </c>
      <c r="E424" t="s">
        <v>387</v>
      </c>
      <c r="F424">
        <v>1</v>
      </c>
      <c r="G424">
        <v>0</v>
      </c>
      <c r="H424">
        <v>6</v>
      </c>
      <c r="I424">
        <v>3.6</v>
      </c>
      <c r="J424">
        <v>6.6</v>
      </c>
      <c r="K424">
        <f t="shared" si="18"/>
        <v>23.759999999999998</v>
      </c>
      <c r="L424" t="s">
        <v>652</v>
      </c>
      <c r="M424">
        <v>0</v>
      </c>
      <c r="N424">
        <v>1</v>
      </c>
      <c r="P424">
        <v>1</v>
      </c>
      <c r="Q424">
        <v>3</v>
      </c>
      <c r="R424" s="1">
        <v>43941</v>
      </c>
    </row>
    <row r="426" spans="1:18" x14ac:dyDescent="0.2">
      <c r="A426">
        <v>56</v>
      </c>
      <c r="B426" t="s">
        <v>653</v>
      </c>
      <c r="C426" s="1">
        <v>23650</v>
      </c>
      <c r="D426" s="1">
        <v>44039</v>
      </c>
      <c r="E426" t="s">
        <v>636</v>
      </c>
      <c r="F426">
        <v>1</v>
      </c>
      <c r="G426">
        <v>0</v>
      </c>
      <c r="H426">
        <v>4.2</v>
      </c>
      <c r="I426">
        <v>2.6</v>
      </c>
      <c r="J426">
        <v>17.399999999999999</v>
      </c>
      <c r="K426">
        <f t="shared" si="18"/>
        <v>45.239999999999995</v>
      </c>
      <c r="L426" t="s">
        <v>773</v>
      </c>
    </row>
    <row r="427" spans="1:18" x14ac:dyDescent="0.2">
      <c r="F427">
        <v>1</v>
      </c>
      <c r="G427">
        <v>0</v>
      </c>
      <c r="H427">
        <v>3.8</v>
      </c>
      <c r="I427">
        <v>2.2999999999999998</v>
      </c>
      <c r="J427">
        <v>15</v>
      </c>
      <c r="K427">
        <f t="shared" si="18"/>
        <v>34.5</v>
      </c>
      <c r="L427" t="s">
        <v>772</v>
      </c>
    </row>
    <row r="429" spans="1:18" x14ac:dyDescent="0.2">
      <c r="F429">
        <v>0</v>
      </c>
      <c r="G429">
        <v>1</v>
      </c>
      <c r="H429">
        <v>3.1</v>
      </c>
      <c r="I429">
        <v>2.4</v>
      </c>
      <c r="J429">
        <v>2.1</v>
      </c>
      <c r="K429">
        <f t="shared" si="18"/>
        <v>5.04</v>
      </c>
      <c r="L429" t="s">
        <v>654</v>
      </c>
      <c r="M429">
        <v>1</v>
      </c>
      <c r="N429">
        <v>1</v>
      </c>
      <c r="P429">
        <v>0</v>
      </c>
    </row>
    <row r="431" spans="1:18" x14ac:dyDescent="0.2">
      <c r="A431" s="4">
        <v>57</v>
      </c>
      <c r="B431" t="s">
        <v>852</v>
      </c>
      <c r="C431" s="1">
        <v>21507</v>
      </c>
      <c r="D431" s="1">
        <v>44047</v>
      </c>
      <c r="E431" t="s">
        <v>387</v>
      </c>
      <c r="F431">
        <v>1</v>
      </c>
      <c r="G431">
        <v>0</v>
      </c>
      <c r="H431">
        <v>5.2</v>
      </c>
      <c r="I431">
        <v>3.1</v>
      </c>
      <c r="J431">
        <v>8.4</v>
      </c>
      <c r="K431">
        <f t="shared" si="18"/>
        <v>26.040000000000003</v>
      </c>
      <c r="L431" t="s">
        <v>655</v>
      </c>
    </row>
    <row r="432" spans="1:18" x14ac:dyDescent="0.2">
      <c r="F432">
        <v>1</v>
      </c>
      <c r="G432">
        <v>0</v>
      </c>
      <c r="H432">
        <v>3.5</v>
      </c>
      <c r="I432">
        <v>2.1</v>
      </c>
      <c r="J432">
        <v>3.4</v>
      </c>
      <c r="K432">
        <f t="shared" si="18"/>
        <v>7.14</v>
      </c>
      <c r="L432" t="s">
        <v>656</v>
      </c>
    </row>
    <row r="433" spans="1:18" x14ac:dyDescent="0.2">
      <c r="F433">
        <v>1</v>
      </c>
      <c r="G433">
        <v>0</v>
      </c>
      <c r="H433">
        <v>7.1</v>
      </c>
      <c r="I433">
        <v>3.7</v>
      </c>
      <c r="J433">
        <v>7</v>
      </c>
      <c r="K433">
        <f t="shared" si="18"/>
        <v>25.900000000000002</v>
      </c>
      <c r="L433" t="s">
        <v>657</v>
      </c>
    </row>
    <row r="434" spans="1:18" x14ac:dyDescent="0.2">
      <c r="F434">
        <v>1</v>
      </c>
      <c r="G434">
        <v>0</v>
      </c>
      <c r="H434">
        <v>6.5</v>
      </c>
      <c r="I434">
        <v>3.5</v>
      </c>
      <c r="J434">
        <v>9.4</v>
      </c>
      <c r="K434">
        <f t="shared" si="18"/>
        <v>32.9</v>
      </c>
      <c r="L434" t="s">
        <v>658</v>
      </c>
    </row>
    <row r="435" spans="1:18" x14ac:dyDescent="0.2">
      <c r="F435">
        <v>1</v>
      </c>
      <c r="G435">
        <v>0</v>
      </c>
      <c r="H435">
        <v>5.2</v>
      </c>
      <c r="I435">
        <v>3</v>
      </c>
      <c r="J435">
        <v>2.1</v>
      </c>
      <c r="K435">
        <f t="shared" si="18"/>
        <v>6.3000000000000007</v>
      </c>
      <c r="L435" t="s">
        <v>659</v>
      </c>
    </row>
    <row r="436" spans="1:18" x14ac:dyDescent="0.2">
      <c r="F436">
        <v>1</v>
      </c>
      <c r="G436">
        <v>0</v>
      </c>
      <c r="H436">
        <v>4.2</v>
      </c>
      <c r="I436">
        <v>2.2000000000000002</v>
      </c>
      <c r="J436">
        <v>7.9</v>
      </c>
      <c r="K436">
        <f t="shared" si="18"/>
        <v>17.380000000000003</v>
      </c>
      <c r="L436" t="s">
        <v>660</v>
      </c>
    </row>
    <row r="437" spans="1:18" x14ac:dyDescent="0.2">
      <c r="F437">
        <v>1</v>
      </c>
      <c r="G437">
        <v>0</v>
      </c>
      <c r="H437">
        <v>4</v>
      </c>
      <c r="I437">
        <v>2</v>
      </c>
      <c r="J437">
        <v>5.9</v>
      </c>
      <c r="K437">
        <f t="shared" si="18"/>
        <v>11.8</v>
      </c>
      <c r="L437" t="s">
        <v>661</v>
      </c>
    </row>
    <row r="439" spans="1:18" x14ac:dyDescent="0.2">
      <c r="F439">
        <v>0</v>
      </c>
      <c r="G439">
        <v>1</v>
      </c>
      <c r="H439">
        <v>2.7</v>
      </c>
      <c r="I439">
        <v>1.6</v>
      </c>
      <c r="J439">
        <v>4.5</v>
      </c>
      <c r="K439">
        <f>(I439*J439)</f>
        <v>7.2</v>
      </c>
      <c r="L439" t="s">
        <v>662</v>
      </c>
      <c r="M439">
        <v>1</v>
      </c>
      <c r="N439">
        <v>1</v>
      </c>
      <c r="P439">
        <v>1</v>
      </c>
      <c r="Q439">
        <v>3</v>
      </c>
      <c r="R439" s="1">
        <v>44028</v>
      </c>
    </row>
    <row r="441" spans="1:18" x14ac:dyDescent="0.2">
      <c r="A441">
        <v>58</v>
      </c>
      <c r="B441" t="s">
        <v>415</v>
      </c>
      <c r="C441" s="1">
        <v>29274</v>
      </c>
      <c r="D441" s="1">
        <v>44047</v>
      </c>
      <c r="E441" t="s">
        <v>387</v>
      </c>
      <c r="F441">
        <v>1</v>
      </c>
      <c r="G441">
        <v>0</v>
      </c>
      <c r="H441">
        <v>3.7</v>
      </c>
      <c r="I441">
        <v>2.2999999999999998</v>
      </c>
      <c r="J441">
        <v>6.5</v>
      </c>
      <c r="K441">
        <f t="shared" ref="K441:K506" si="20">(I441*J441)</f>
        <v>14.95</v>
      </c>
      <c r="L441" t="s">
        <v>663</v>
      </c>
    </row>
    <row r="442" spans="1:18" x14ac:dyDescent="0.2">
      <c r="F442">
        <v>1</v>
      </c>
      <c r="G442">
        <v>0</v>
      </c>
      <c r="H442">
        <v>3.4</v>
      </c>
      <c r="I442">
        <v>2.1</v>
      </c>
      <c r="J442">
        <v>6.9</v>
      </c>
      <c r="K442">
        <f t="shared" si="20"/>
        <v>14.490000000000002</v>
      </c>
      <c r="L442" t="s">
        <v>664</v>
      </c>
    </row>
    <row r="443" spans="1:18" x14ac:dyDescent="0.2">
      <c r="F443">
        <v>1</v>
      </c>
      <c r="G443">
        <v>0</v>
      </c>
      <c r="H443">
        <v>3.7</v>
      </c>
      <c r="I443">
        <v>2.2000000000000002</v>
      </c>
      <c r="J443">
        <v>18.8</v>
      </c>
      <c r="K443">
        <f t="shared" si="20"/>
        <v>41.360000000000007</v>
      </c>
      <c r="L443" t="s">
        <v>641</v>
      </c>
    </row>
    <row r="445" spans="1:18" x14ac:dyDescent="0.2">
      <c r="F445">
        <v>0</v>
      </c>
      <c r="G445">
        <v>1</v>
      </c>
      <c r="H445">
        <v>2.9</v>
      </c>
      <c r="I445">
        <v>1.7</v>
      </c>
      <c r="J445">
        <v>3.4</v>
      </c>
      <c r="K445">
        <f t="shared" si="20"/>
        <v>5.7799999999999994</v>
      </c>
      <c r="L445" t="s">
        <v>640</v>
      </c>
      <c r="M445">
        <v>1</v>
      </c>
      <c r="N445">
        <v>1</v>
      </c>
      <c r="P445">
        <v>1</v>
      </c>
      <c r="Q445">
        <v>3</v>
      </c>
      <c r="R445" s="1">
        <v>43894</v>
      </c>
    </row>
    <row r="447" spans="1:18" x14ac:dyDescent="0.2">
      <c r="A447">
        <v>59</v>
      </c>
      <c r="B447" t="s">
        <v>665</v>
      </c>
      <c r="C447" s="1">
        <v>29488</v>
      </c>
      <c r="D447" s="1">
        <v>44004</v>
      </c>
      <c r="E447" t="s">
        <v>666</v>
      </c>
      <c r="F447">
        <v>1</v>
      </c>
      <c r="G447">
        <v>0</v>
      </c>
      <c r="H447">
        <v>4</v>
      </c>
      <c r="I447">
        <v>2.1</v>
      </c>
      <c r="J447">
        <v>12</v>
      </c>
      <c r="K447">
        <f t="shared" si="20"/>
        <v>25.200000000000003</v>
      </c>
      <c r="L447" t="s">
        <v>667</v>
      </c>
      <c r="M447">
        <v>0</v>
      </c>
      <c r="N447">
        <v>1</v>
      </c>
      <c r="P447">
        <v>0</v>
      </c>
    </row>
    <row r="449" spans="1:16" x14ac:dyDescent="0.2">
      <c r="A449">
        <v>60</v>
      </c>
      <c r="B449" t="s">
        <v>668</v>
      </c>
      <c r="C449" s="1">
        <v>22680</v>
      </c>
      <c r="D449" s="1">
        <v>43990</v>
      </c>
      <c r="E449" t="s">
        <v>650</v>
      </c>
      <c r="F449">
        <v>1</v>
      </c>
      <c r="G449">
        <v>0</v>
      </c>
      <c r="H449">
        <v>5.3</v>
      </c>
      <c r="I449">
        <v>3.1</v>
      </c>
      <c r="J449">
        <v>11.7</v>
      </c>
      <c r="K449">
        <f t="shared" si="20"/>
        <v>36.269999999999996</v>
      </c>
      <c r="L449" t="s">
        <v>669</v>
      </c>
    </row>
    <row r="450" spans="1:16" x14ac:dyDescent="0.2">
      <c r="F450">
        <v>1</v>
      </c>
      <c r="G450">
        <v>0</v>
      </c>
      <c r="H450">
        <v>4.2</v>
      </c>
      <c r="I450">
        <v>2.2000000000000002</v>
      </c>
      <c r="J450">
        <v>4.4000000000000004</v>
      </c>
      <c r="K450">
        <f t="shared" si="20"/>
        <v>9.6800000000000015</v>
      </c>
      <c r="L450" t="s">
        <v>670</v>
      </c>
    </row>
    <row r="451" spans="1:16" x14ac:dyDescent="0.2">
      <c r="F451">
        <v>1</v>
      </c>
      <c r="G451">
        <v>0</v>
      </c>
      <c r="H451">
        <v>3.2</v>
      </c>
      <c r="I451">
        <v>2.1</v>
      </c>
      <c r="J451">
        <v>25.6</v>
      </c>
      <c r="K451">
        <f t="shared" si="20"/>
        <v>53.760000000000005</v>
      </c>
      <c r="L451" t="s">
        <v>671</v>
      </c>
    </row>
    <row r="453" spans="1:16" x14ac:dyDescent="0.2">
      <c r="F453">
        <v>0</v>
      </c>
      <c r="G453">
        <v>1</v>
      </c>
      <c r="H453">
        <v>2.6</v>
      </c>
      <c r="I453">
        <v>1.4</v>
      </c>
      <c r="J453">
        <v>5.8</v>
      </c>
      <c r="K453">
        <f t="shared" si="20"/>
        <v>8.1199999999999992</v>
      </c>
      <c r="L453" t="s">
        <v>640</v>
      </c>
    </row>
    <row r="454" spans="1:16" x14ac:dyDescent="0.2">
      <c r="F454">
        <v>0</v>
      </c>
      <c r="G454">
        <v>1</v>
      </c>
      <c r="H454">
        <v>1.8</v>
      </c>
      <c r="I454">
        <v>1.2</v>
      </c>
      <c r="J454">
        <v>1.6</v>
      </c>
      <c r="K454">
        <f t="shared" si="20"/>
        <v>1.92</v>
      </c>
      <c r="L454" t="s">
        <v>672</v>
      </c>
    </row>
    <row r="455" spans="1:16" x14ac:dyDescent="0.2">
      <c r="F455">
        <v>0</v>
      </c>
      <c r="G455">
        <v>1</v>
      </c>
      <c r="H455">
        <v>2.4</v>
      </c>
      <c r="I455">
        <v>1.3</v>
      </c>
      <c r="J455">
        <v>4.5</v>
      </c>
      <c r="K455">
        <f>(I455*J455)</f>
        <v>5.8500000000000005</v>
      </c>
      <c r="L455" t="s">
        <v>673</v>
      </c>
      <c r="M455">
        <v>1</v>
      </c>
      <c r="N455">
        <v>1</v>
      </c>
      <c r="P455">
        <v>0</v>
      </c>
    </row>
    <row r="457" spans="1:16" x14ac:dyDescent="0.2">
      <c r="A457">
        <v>61</v>
      </c>
      <c r="B457" t="s">
        <v>674</v>
      </c>
      <c r="C457" s="1">
        <v>27248</v>
      </c>
      <c r="D457" s="1">
        <v>43980</v>
      </c>
      <c r="E457" t="s">
        <v>1015</v>
      </c>
      <c r="F457">
        <v>1</v>
      </c>
      <c r="G457">
        <v>0</v>
      </c>
      <c r="H457">
        <v>4.2</v>
      </c>
      <c r="I457">
        <v>2.2000000000000002</v>
      </c>
      <c r="J457">
        <v>24.7</v>
      </c>
      <c r="K457">
        <f t="shared" si="20"/>
        <v>54.34</v>
      </c>
      <c r="L457" t="s">
        <v>675</v>
      </c>
      <c r="M457">
        <v>0</v>
      </c>
      <c r="N457">
        <v>1</v>
      </c>
      <c r="P457">
        <v>0</v>
      </c>
    </row>
    <row r="459" spans="1:16" x14ac:dyDescent="0.2">
      <c r="A459">
        <v>62</v>
      </c>
      <c r="B459" t="s">
        <v>676</v>
      </c>
      <c r="C459" s="1">
        <v>25335</v>
      </c>
      <c r="D459" s="1">
        <v>43980</v>
      </c>
      <c r="E459" t="s">
        <v>387</v>
      </c>
      <c r="F459">
        <v>0</v>
      </c>
      <c r="G459">
        <v>1</v>
      </c>
      <c r="H459">
        <v>2.2000000000000002</v>
      </c>
      <c r="I459">
        <v>1.6</v>
      </c>
      <c r="J459">
        <v>1.7</v>
      </c>
      <c r="K459">
        <f t="shared" si="20"/>
        <v>2.72</v>
      </c>
      <c r="L459" t="s">
        <v>630</v>
      </c>
    </row>
    <row r="460" spans="1:16" x14ac:dyDescent="0.2">
      <c r="F460">
        <v>0</v>
      </c>
      <c r="G460">
        <v>1</v>
      </c>
      <c r="H460">
        <v>2.6</v>
      </c>
      <c r="I460">
        <v>1.9</v>
      </c>
      <c r="J460">
        <v>2</v>
      </c>
      <c r="K460">
        <f t="shared" si="20"/>
        <v>3.8</v>
      </c>
      <c r="L460" t="s">
        <v>677</v>
      </c>
    </row>
    <row r="461" spans="1:16" x14ac:dyDescent="0.2">
      <c r="F461">
        <v>0</v>
      </c>
      <c r="G461">
        <v>1</v>
      </c>
      <c r="H461">
        <v>2.9</v>
      </c>
      <c r="I461">
        <v>2.1</v>
      </c>
      <c r="J461">
        <v>1.7</v>
      </c>
      <c r="K461">
        <f t="shared" si="20"/>
        <v>3.57</v>
      </c>
      <c r="L461" t="s">
        <v>678</v>
      </c>
    </row>
    <row r="462" spans="1:16" x14ac:dyDescent="0.2">
      <c r="F462">
        <v>0</v>
      </c>
      <c r="G462">
        <v>1</v>
      </c>
      <c r="H462">
        <v>3.2</v>
      </c>
      <c r="I462">
        <v>2.4</v>
      </c>
      <c r="J462">
        <v>2.2000000000000002</v>
      </c>
      <c r="K462">
        <f t="shared" si="20"/>
        <v>5.28</v>
      </c>
      <c r="L462" t="s">
        <v>679</v>
      </c>
    </row>
    <row r="463" spans="1:16" x14ac:dyDescent="0.2">
      <c r="F463">
        <v>0</v>
      </c>
      <c r="G463">
        <v>1</v>
      </c>
      <c r="H463">
        <v>2.1</v>
      </c>
      <c r="I463">
        <v>1.3</v>
      </c>
      <c r="J463">
        <v>1.4</v>
      </c>
      <c r="K463">
        <f t="shared" si="20"/>
        <v>1.8199999999999998</v>
      </c>
      <c r="L463" t="s">
        <v>680</v>
      </c>
    </row>
    <row r="464" spans="1:16" x14ac:dyDescent="0.2">
      <c r="F464">
        <v>0</v>
      </c>
      <c r="G464">
        <v>1</v>
      </c>
      <c r="H464">
        <v>3.1</v>
      </c>
      <c r="I464">
        <v>1.7</v>
      </c>
      <c r="J464">
        <v>10.5</v>
      </c>
      <c r="K464">
        <f t="shared" si="20"/>
        <v>17.849999999999998</v>
      </c>
      <c r="L464" t="s">
        <v>681</v>
      </c>
    </row>
    <row r="465" spans="1:18" x14ac:dyDescent="0.2">
      <c r="F465">
        <v>0</v>
      </c>
      <c r="G465">
        <v>1</v>
      </c>
      <c r="H465">
        <v>2.7</v>
      </c>
      <c r="I465">
        <v>2.4</v>
      </c>
      <c r="J465">
        <v>10.6</v>
      </c>
      <c r="K465">
        <f t="shared" si="20"/>
        <v>25.439999999999998</v>
      </c>
      <c r="L465" t="s">
        <v>682</v>
      </c>
      <c r="M465">
        <v>1</v>
      </c>
      <c r="N465">
        <v>0</v>
      </c>
      <c r="P465">
        <v>0</v>
      </c>
    </row>
    <row r="467" spans="1:18" x14ac:dyDescent="0.2">
      <c r="A467">
        <v>63</v>
      </c>
      <c r="B467" t="s">
        <v>683</v>
      </c>
      <c r="C467" s="1">
        <v>18112</v>
      </c>
      <c r="D467" s="1">
        <v>43976</v>
      </c>
      <c r="E467" t="s">
        <v>35</v>
      </c>
      <c r="F467">
        <v>1</v>
      </c>
      <c r="G467">
        <v>0</v>
      </c>
      <c r="H467">
        <v>3.9</v>
      </c>
      <c r="I467">
        <v>2.4</v>
      </c>
      <c r="J467">
        <v>6.3</v>
      </c>
      <c r="K467">
        <f>(I467*J467)</f>
        <v>15.12</v>
      </c>
      <c r="L467" t="s">
        <v>684</v>
      </c>
    </row>
    <row r="468" spans="1:18" x14ac:dyDescent="0.2">
      <c r="F468">
        <v>1</v>
      </c>
      <c r="G468">
        <v>0</v>
      </c>
      <c r="H468">
        <v>4.4000000000000004</v>
      </c>
      <c r="I468">
        <v>2.9</v>
      </c>
      <c r="J468">
        <v>2.7</v>
      </c>
      <c r="K468">
        <f>(I468*J468)</f>
        <v>7.83</v>
      </c>
      <c r="L468" t="s">
        <v>685</v>
      </c>
    </row>
    <row r="469" spans="1:18" x14ac:dyDescent="0.2">
      <c r="F469">
        <v>1</v>
      </c>
      <c r="G469">
        <v>0</v>
      </c>
      <c r="H469">
        <v>3.2</v>
      </c>
      <c r="I469">
        <v>2</v>
      </c>
      <c r="J469">
        <v>11</v>
      </c>
      <c r="K469">
        <f>(I469*J469)</f>
        <v>22</v>
      </c>
      <c r="L469" t="s">
        <v>603</v>
      </c>
    </row>
    <row r="470" spans="1:18" x14ac:dyDescent="0.2">
      <c r="F470">
        <v>1</v>
      </c>
      <c r="G470">
        <v>0</v>
      </c>
      <c r="H470">
        <v>3.5</v>
      </c>
      <c r="I470">
        <v>2.1</v>
      </c>
      <c r="J470">
        <v>12.9</v>
      </c>
      <c r="K470">
        <f>(I470*J470)</f>
        <v>27.090000000000003</v>
      </c>
      <c r="L470" t="s">
        <v>686</v>
      </c>
    </row>
    <row r="472" spans="1:18" x14ac:dyDescent="0.2">
      <c r="F472">
        <v>0</v>
      </c>
      <c r="G472">
        <v>1</v>
      </c>
      <c r="H472">
        <v>2.4</v>
      </c>
      <c r="I472">
        <v>1.8</v>
      </c>
      <c r="J472">
        <v>2.2000000000000002</v>
      </c>
      <c r="K472">
        <f>(I472*J472)</f>
        <v>3.9600000000000004</v>
      </c>
      <c r="L472" t="s">
        <v>629</v>
      </c>
    </row>
    <row r="473" spans="1:18" x14ac:dyDescent="0.2">
      <c r="F473">
        <v>0</v>
      </c>
      <c r="G473">
        <v>1</v>
      </c>
      <c r="H473">
        <v>2.1</v>
      </c>
      <c r="I473">
        <v>1.5</v>
      </c>
      <c r="J473">
        <v>3.8</v>
      </c>
      <c r="K473">
        <f>(I473*J473)</f>
        <v>5.6999999999999993</v>
      </c>
      <c r="L473" t="s">
        <v>630</v>
      </c>
    </row>
    <row r="474" spans="1:18" x14ac:dyDescent="0.2">
      <c r="F474">
        <v>0</v>
      </c>
      <c r="G474">
        <v>1</v>
      </c>
      <c r="H474">
        <v>2.6</v>
      </c>
      <c r="I474">
        <v>1.8</v>
      </c>
      <c r="J474">
        <v>3.7</v>
      </c>
      <c r="K474">
        <f>(I474*J474)</f>
        <v>6.66</v>
      </c>
      <c r="L474" t="s">
        <v>687</v>
      </c>
    </row>
    <row r="475" spans="1:18" x14ac:dyDescent="0.2">
      <c r="F475">
        <v>0</v>
      </c>
      <c r="G475">
        <v>1</v>
      </c>
      <c r="H475">
        <v>3.1</v>
      </c>
      <c r="I475">
        <v>2.2000000000000002</v>
      </c>
      <c r="J475">
        <v>6.5</v>
      </c>
      <c r="K475">
        <f>(I475*J475)</f>
        <v>14.3</v>
      </c>
      <c r="L475" t="s">
        <v>168</v>
      </c>
    </row>
    <row r="476" spans="1:18" x14ac:dyDescent="0.2">
      <c r="F476">
        <v>0</v>
      </c>
      <c r="G476">
        <v>1</v>
      </c>
      <c r="H476">
        <v>3.1</v>
      </c>
      <c r="I476">
        <v>2.1</v>
      </c>
      <c r="J476">
        <v>3.1</v>
      </c>
      <c r="K476">
        <f>(I476*J476)</f>
        <v>6.5100000000000007</v>
      </c>
      <c r="L476" t="s">
        <v>688</v>
      </c>
      <c r="M476">
        <v>1</v>
      </c>
      <c r="N476">
        <v>1</v>
      </c>
      <c r="P476">
        <v>1</v>
      </c>
      <c r="Q476">
        <v>2.2999999999999998</v>
      </c>
      <c r="R476" s="1">
        <v>43990</v>
      </c>
    </row>
    <row r="478" spans="1:18" x14ac:dyDescent="0.2">
      <c r="A478">
        <v>64</v>
      </c>
      <c r="B478" t="s">
        <v>689</v>
      </c>
      <c r="C478" s="1">
        <v>32518</v>
      </c>
      <c r="D478" s="1">
        <v>43976</v>
      </c>
      <c r="E478" t="s">
        <v>387</v>
      </c>
      <c r="F478">
        <v>1</v>
      </c>
      <c r="G478">
        <v>0</v>
      </c>
      <c r="H478">
        <v>6.2</v>
      </c>
      <c r="I478">
        <v>3.4</v>
      </c>
      <c r="J478">
        <v>13.1</v>
      </c>
      <c r="K478">
        <f t="shared" si="20"/>
        <v>44.54</v>
      </c>
      <c r="L478" t="s">
        <v>690</v>
      </c>
    </row>
    <row r="479" spans="1:18" x14ac:dyDescent="0.2">
      <c r="F479">
        <v>1</v>
      </c>
      <c r="G479">
        <v>0</v>
      </c>
      <c r="H479">
        <v>4.3</v>
      </c>
      <c r="I479">
        <v>2.2000000000000002</v>
      </c>
      <c r="J479">
        <v>51.2</v>
      </c>
      <c r="K479">
        <f t="shared" si="20"/>
        <v>112.64000000000001</v>
      </c>
      <c r="L479" t="s">
        <v>691</v>
      </c>
    </row>
    <row r="480" spans="1:18" x14ac:dyDescent="0.2">
      <c r="F480">
        <v>1</v>
      </c>
      <c r="G480">
        <v>0</v>
      </c>
      <c r="H480">
        <v>4.9000000000000004</v>
      </c>
      <c r="I480">
        <v>2.7</v>
      </c>
      <c r="J480">
        <v>20.8</v>
      </c>
      <c r="K480">
        <f t="shared" si="20"/>
        <v>56.160000000000004</v>
      </c>
      <c r="L480" t="s">
        <v>165</v>
      </c>
      <c r="M480">
        <v>0</v>
      </c>
      <c r="N480">
        <v>1</v>
      </c>
      <c r="P480">
        <v>1</v>
      </c>
      <c r="Q480">
        <v>3</v>
      </c>
      <c r="R480" s="1">
        <v>43791</v>
      </c>
    </row>
    <row r="482" spans="1:18" x14ac:dyDescent="0.2">
      <c r="A482">
        <v>65</v>
      </c>
      <c r="B482" t="s">
        <v>692</v>
      </c>
      <c r="C482" s="1">
        <v>24472</v>
      </c>
      <c r="D482" s="1">
        <v>43973</v>
      </c>
      <c r="E482" t="s">
        <v>35</v>
      </c>
      <c r="F482">
        <v>1</v>
      </c>
      <c r="G482">
        <v>0</v>
      </c>
      <c r="H482">
        <v>4.0999999999999996</v>
      </c>
      <c r="I482">
        <v>2.2000000000000002</v>
      </c>
      <c r="J482">
        <v>20.3</v>
      </c>
      <c r="K482">
        <f>(I482*J482)</f>
        <v>44.660000000000004</v>
      </c>
      <c r="L482" t="s">
        <v>693</v>
      </c>
    </row>
    <row r="483" spans="1:18" x14ac:dyDescent="0.2">
      <c r="F483">
        <v>1</v>
      </c>
      <c r="G483">
        <v>0</v>
      </c>
      <c r="H483">
        <v>5.0999999999999996</v>
      </c>
      <c r="I483">
        <v>2.8</v>
      </c>
      <c r="J483">
        <v>14.4</v>
      </c>
      <c r="K483">
        <f>(I483*J483)</f>
        <v>40.32</v>
      </c>
      <c r="L483" t="s">
        <v>603</v>
      </c>
    </row>
    <row r="484" spans="1:18" x14ac:dyDescent="0.2">
      <c r="F484">
        <v>1</v>
      </c>
      <c r="G484">
        <v>0</v>
      </c>
      <c r="H484">
        <v>4.3</v>
      </c>
      <c r="I484">
        <v>2.5</v>
      </c>
      <c r="J484">
        <v>7.1</v>
      </c>
      <c r="K484">
        <f>(I484*J484)</f>
        <v>17.75</v>
      </c>
      <c r="L484" t="s">
        <v>640</v>
      </c>
    </row>
    <row r="485" spans="1:18" x14ac:dyDescent="0.2">
      <c r="F485">
        <v>1</v>
      </c>
      <c r="G485">
        <v>0</v>
      </c>
      <c r="H485">
        <v>4.0999999999999996</v>
      </c>
      <c r="I485">
        <v>2.2000000000000002</v>
      </c>
      <c r="J485">
        <v>7.6</v>
      </c>
      <c r="K485">
        <f>(I485*J485)</f>
        <v>16.72</v>
      </c>
      <c r="L485" t="s">
        <v>694</v>
      </c>
    </row>
    <row r="487" spans="1:18" x14ac:dyDescent="0.2">
      <c r="F487">
        <v>0</v>
      </c>
      <c r="G487">
        <v>1</v>
      </c>
      <c r="H487">
        <v>1.9</v>
      </c>
      <c r="I487">
        <v>1.3</v>
      </c>
      <c r="J487">
        <v>4.5999999999999996</v>
      </c>
      <c r="K487">
        <f>(I487*J487)</f>
        <v>5.9799999999999995</v>
      </c>
      <c r="L487" t="s">
        <v>629</v>
      </c>
    </row>
    <row r="488" spans="1:18" x14ac:dyDescent="0.2">
      <c r="F488">
        <v>0</v>
      </c>
      <c r="G488">
        <v>1</v>
      </c>
      <c r="H488">
        <v>2.1</v>
      </c>
      <c r="I488">
        <v>1.4</v>
      </c>
      <c r="J488">
        <v>3</v>
      </c>
      <c r="K488">
        <f>(I488*J488)</f>
        <v>4.1999999999999993</v>
      </c>
      <c r="L488" t="s">
        <v>630</v>
      </c>
    </row>
    <row r="489" spans="1:18" x14ac:dyDescent="0.2">
      <c r="F489">
        <v>0</v>
      </c>
      <c r="G489">
        <v>1</v>
      </c>
      <c r="H489">
        <v>2.8</v>
      </c>
      <c r="I489">
        <v>1.8</v>
      </c>
      <c r="J489">
        <v>3.7</v>
      </c>
      <c r="K489">
        <f>(I489*J489)</f>
        <v>6.66</v>
      </c>
      <c r="L489" t="s">
        <v>695</v>
      </c>
    </row>
    <row r="490" spans="1:18" x14ac:dyDescent="0.2">
      <c r="F490">
        <v>0</v>
      </c>
      <c r="G490">
        <v>1</v>
      </c>
      <c r="H490">
        <v>2.9</v>
      </c>
      <c r="I490">
        <v>1.8</v>
      </c>
      <c r="J490">
        <v>1.7</v>
      </c>
      <c r="K490">
        <f>(I490*J490)</f>
        <v>3.06</v>
      </c>
      <c r="L490" t="s">
        <v>696</v>
      </c>
      <c r="M490">
        <v>1</v>
      </c>
      <c r="N490">
        <v>1</v>
      </c>
      <c r="P490">
        <v>1</v>
      </c>
      <c r="Q490">
        <v>2.2999999999999998</v>
      </c>
      <c r="R490" s="1">
        <v>43903</v>
      </c>
    </row>
    <row r="492" spans="1:18" x14ac:dyDescent="0.2">
      <c r="A492">
        <v>66</v>
      </c>
      <c r="B492" t="s">
        <v>406</v>
      </c>
      <c r="C492" s="1">
        <v>29793</v>
      </c>
      <c r="D492" s="1">
        <v>43962</v>
      </c>
      <c r="E492" t="s">
        <v>697</v>
      </c>
      <c r="F492">
        <v>0</v>
      </c>
      <c r="G492">
        <v>1</v>
      </c>
      <c r="H492">
        <v>2.6</v>
      </c>
      <c r="I492">
        <v>2.2999999999999998</v>
      </c>
      <c r="J492">
        <v>1.2</v>
      </c>
      <c r="K492">
        <f t="shared" si="20"/>
        <v>2.76</v>
      </c>
      <c r="L492" t="s">
        <v>698</v>
      </c>
      <c r="M492">
        <v>1</v>
      </c>
      <c r="N492">
        <v>0</v>
      </c>
      <c r="P492">
        <v>0</v>
      </c>
    </row>
    <row r="494" spans="1:18" x14ac:dyDescent="0.2">
      <c r="A494">
        <v>67</v>
      </c>
      <c r="B494" t="s">
        <v>699</v>
      </c>
      <c r="C494" s="1">
        <v>17344</v>
      </c>
      <c r="D494" s="1">
        <v>43962</v>
      </c>
      <c r="E494" t="s">
        <v>35</v>
      </c>
      <c r="F494">
        <v>1</v>
      </c>
      <c r="G494">
        <v>0</v>
      </c>
      <c r="H494">
        <v>4.0999999999999996</v>
      </c>
      <c r="I494">
        <v>2.2000000000000002</v>
      </c>
      <c r="J494">
        <v>9.6</v>
      </c>
      <c r="K494">
        <f t="shared" si="20"/>
        <v>21.12</v>
      </c>
      <c r="L494" t="s">
        <v>626</v>
      </c>
    </row>
    <row r="495" spans="1:18" x14ac:dyDescent="0.2">
      <c r="F495">
        <v>1</v>
      </c>
      <c r="G495">
        <v>0</v>
      </c>
      <c r="H495">
        <v>3.8</v>
      </c>
      <c r="I495">
        <v>2.2999999999999998</v>
      </c>
      <c r="J495">
        <v>7</v>
      </c>
      <c r="K495">
        <f t="shared" si="20"/>
        <v>16.099999999999998</v>
      </c>
      <c r="L495" t="s">
        <v>165</v>
      </c>
    </row>
    <row r="496" spans="1:18" x14ac:dyDescent="0.2">
      <c r="F496">
        <v>1</v>
      </c>
      <c r="G496">
        <v>0</v>
      </c>
      <c r="H496">
        <v>5.5</v>
      </c>
      <c r="I496">
        <v>3.1</v>
      </c>
      <c r="J496">
        <v>7.6</v>
      </c>
      <c r="K496">
        <f t="shared" si="20"/>
        <v>23.56</v>
      </c>
      <c r="L496" t="s">
        <v>700</v>
      </c>
    </row>
    <row r="497" spans="1:18" x14ac:dyDescent="0.2">
      <c r="F497">
        <v>1</v>
      </c>
      <c r="G497">
        <v>0</v>
      </c>
      <c r="H497">
        <v>3.5</v>
      </c>
      <c r="I497">
        <v>1.9</v>
      </c>
      <c r="J497">
        <v>5.8</v>
      </c>
      <c r="K497">
        <f t="shared" si="20"/>
        <v>11.02</v>
      </c>
      <c r="L497" t="s">
        <v>701</v>
      </c>
    </row>
    <row r="498" spans="1:18" x14ac:dyDescent="0.2">
      <c r="F498">
        <v>1</v>
      </c>
      <c r="G498">
        <v>0</v>
      </c>
      <c r="H498">
        <v>3.4</v>
      </c>
      <c r="I498">
        <v>1.9</v>
      </c>
      <c r="J498">
        <v>7.2</v>
      </c>
      <c r="K498">
        <f t="shared" si="20"/>
        <v>13.68</v>
      </c>
      <c r="L498" t="s">
        <v>702</v>
      </c>
    </row>
    <row r="499" spans="1:18" x14ac:dyDescent="0.2">
      <c r="F499">
        <v>1</v>
      </c>
      <c r="G499">
        <v>0</v>
      </c>
      <c r="H499">
        <v>4.7</v>
      </c>
      <c r="I499">
        <v>2.6</v>
      </c>
      <c r="J499">
        <v>15.6</v>
      </c>
      <c r="K499">
        <f t="shared" si="20"/>
        <v>40.56</v>
      </c>
      <c r="L499" t="s">
        <v>703</v>
      </c>
    </row>
    <row r="500" spans="1:18" x14ac:dyDescent="0.2">
      <c r="F500">
        <v>1</v>
      </c>
      <c r="G500">
        <v>0</v>
      </c>
      <c r="H500">
        <v>7</v>
      </c>
      <c r="I500">
        <v>3.8</v>
      </c>
      <c r="J500">
        <v>31.4</v>
      </c>
      <c r="K500">
        <f t="shared" si="20"/>
        <v>119.32</v>
      </c>
      <c r="L500" t="s">
        <v>704</v>
      </c>
    </row>
    <row r="501" spans="1:18" x14ac:dyDescent="0.2">
      <c r="F501">
        <v>1</v>
      </c>
      <c r="G501">
        <v>0</v>
      </c>
      <c r="H501">
        <v>3.5</v>
      </c>
      <c r="I501">
        <v>1.8</v>
      </c>
      <c r="J501">
        <v>5.9</v>
      </c>
      <c r="K501">
        <f t="shared" si="20"/>
        <v>10.620000000000001</v>
      </c>
      <c r="L501" t="s">
        <v>705</v>
      </c>
    </row>
    <row r="502" spans="1:18" x14ac:dyDescent="0.2">
      <c r="F502">
        <v>1</v>
      </c>
      <c r="G502">
        <v>0</v>
      </c>
      <c r="H502">
        <v>3.5</v>
      </c>
      <c r="I502">
        <v>2.1</v>
      </c>
      <c r="J502">
        <v>20.5</v>
      </c>
      <c r="K502">
        <f t="shared" si="20"/>
        <v>43.050000000000004</v>
      </c>
      <c r="L502" t="s">
        <v>706</v>
      </c>
    </row>
    <row r="503" spans="1:18" x14ac:dyDescent="0.2">
      <c r="F503">
        <v>1</v>
      </c>
      <c r="G503">
        <v>0</v>
      </c>
      <c r="H503">
        <v>5.3</v>
      </c>
      <c r="I503">
        <v>3.2</v>
      </c>
      <c r="J503">
        <v>11.8</v>
      </c>
      <c r="K503">
        <f t="shared" si="20"/>
        <v>37.760000000000005</v>
      </c>
      <c r="L503" t="s">
        <v>672</v>
      </c>
    </row>
    <row r="504" spans="1:18" x14ac:dyDescent="0.2">
      <c r="F504">
        <v>1</v>
      </c>
      <c r="G504">
        <v>0</v>
      </c>
      <c r="H504">
        <v>5.6</v>
      </c>
      <c r="I504">
        <v>3.3</v>
      </c>
      <c r="J504">
        <v>13.6</v>
      </c>
      <c r="K504">
        <f t="shared" si="20"/>
        <v>44.879999999999995</v>
      </c>
      <c r="L504" t="s">
        <v>446</v>
      </c>
    </row>
    <row r="505" spans="1:18" x14ac:dyDescent="0.2">
      <c r="F505">
        <v>1</v>
      </c>
      <c r="G505">
        <v>0</v>
      </c>
      <c r="H505">
        <v>3.1</v>
      </c>
      <c r="I505">
        <v>2</v>
      </c>
      <c r="J505">
        <v>3.9</v>
      </c>
      <c r="K505">
        <f t="shared" si="20"/>
        <v>7.8</v>
      </c>
      <c r="L505" t="s">
        <v>707</v>
      </c>
    </row>
    <row r="506" spans="1:18" x14ac:dyDescent="0.2">
      <c r="F506">
        <v>1</v>
      </c>
      <c r="G506">
        <v>0</v>
      </c>
      <c r="H506">
        <v>4.0999999999999996</v>
      </c>
      <c r="I506">
        <v>3.4</v>
      </c>
      <c r="J506">
        <v>20.8</v>
      </c>
      <c r="K506">
        <f t="shared" si="20"/>
        <v>70.72</v>
      </c>
      <c r="L506" t="s">
        <v>686</v>
      </c>
    </row>
    <row r="507" spans="1:18" x14ac:dyDescent="0.2">
      <c r="F507">
        <v>1</v>
      </c>
      <c r="G507">
        <v>0</v>
      </c>
      <c r="H507">
        <v>5.0999999999999996</v>
      </c>
      <c r="I507">
        <v>3.2</v>
      </c>
      <c r="J507">
        <v>5.3</v>
      </c>
      <c r="K507">
        <f t="shared" ref="K507:K559" si="21">(I507*J507)</f>
        <v>16.96</v>
      </c>
      <c r="L507" t="s">
        <v>708</v>
      </c>
    </row>
    <row r="509" spans="1:18" x14ac:dyDescent="0.2">
      <c r="F509">
        <v>0</v>
      </c>
      <c r="G509">
        <v>1</v>
      </c>
      <c r="H509">
        <v>2.2999999999999998</v>
      </c>
      <c r="I509">
        <v>1.6</v>
      </c>
      <c r="J509">
        <v>2.2999999999999998</v>
      </c>
      <c r="K509">
        <f>(I509*J509)</f>
        <v>3.6799999999999997</v>
      </c>
      <c r="L509" t="s">
        <v>630</v>
      </c>
      <c r="M509">
        <v>1</v>
      </c>
      <c r="N509">
        <v>1</v>
      </c>
      <c r="P509">
        <v>1</v>
      </c>
      <c r="Q509">
        <v>2</v>
      </c>
      <c r="R509" s="1">
        <v>44106</v>
      </c>
    </row>
    <row r="511" spans="1:18" x14ac:dyDescent="0.2">
      <c r="A511">
        <v>68</v>
      </c>
      <c r="B511" t="s">
        <v>709</v>
      </c>
      <c r="C511" s="1">
        <v>24895</v>
      </c>
      <c r="D511" s="1">
        <v>43959</v>
      </c>
      <c r="E511" t="s">
        <v>13</v>
      </c>
      <c r="F511">
        <v>1</v>
      </c>
      <c r="G511">
        <v>0</v>
      </c>
      <c r="H511">
        <v>4.4000000000000004</v>
      </c>
      <c r="I511">
        <v>3</v>
      </c>
      <c r="J511">
        <v>2.4</v>
      </c>
      <c r="K511">
        <f t="shared" si="21"/>
        <v>7.1999999999999993</v>
      </c>
      <c r="L511" t="s">
        <v>710</v>
      </c>
    </row>
    <row r="512" spans="1:18" x14ac:dyDescent="0.2">
      <c r="F512">
        <v>1</v>
      </c>
      <c r="G512">
        <v>0</v>
      </c>
      <c r="H512">
        <v>4.2</v>
      </c>
      <c r="I512">
        <v>2.8</v>
      </c>
      <c r="J512">
        <v>4.8</v>
      </c>
      <c r="K512">
        <f t="shared" si="21"/>
        <v>13.44</v>
      </c>
      <c r="L512" t="s">
        <v>147</v>
      </c>
    </row>
    <row r="513" spans="1:18" x14ac:dyDescent="0.2">
      <c r="F513">
        <v>1</v>
      </c>
      <c r="G513">
        <v>0</v>
      </c>
      <c r="H513">
        <v>4.4000000000000004</v>
      </c>
      <c r="I513">
        <v>2.6</v>
      </c>
      <c r="J513">
        <v>5.7</v>
      </c>
      <c r="K513">
        <f t="shared" si="21"/>
        <v>14.82</v>
      </c>
      <c r="L513" t="s">
        <v>711</v>
      </c>
    </row>
    <row r="514" spans="1:18" x14ac:dyDescent="0.2">
      <c r="F514">
        <v>1</v>
      </c>
      <c r="G514">
        <v>0</v>
      </c>
      <c r="H514">
        <v>5</v>
      </c>
      <c r="I514">
        <v>3.1</v>
      </c>
      <c r="J514">
        <v>2.1</v>
      </c>
      <c r="K514">
        <f t="shared" si="21"/>
        <v>6.5100000000000007</v>
      </c>
      <c r="L514" t="s">
        <v>712</v>
      </c>
    </row>
    <row r="515" spans="1:18" x14ac:dyDescent="0.2">
      <c r="F515">
        <v>1</v>
      </c>
      <c r="G515">
        <v>0</v>
      </c>
      <c r="H515">
        <v>3.6</v>
      </c>
      <c r="I515">
        <v>2.1</v>
      </c>
      <c r="J515">
        <v>3.8</v>
      </c>
      <c r="K515">
        <f t="shared" si="21"/>
        <v>7.9799999999999995</v>
      </c>
      <c r="L515" t="s">
        <v>713</v>
      </c>
    </row>
    <row r="516" spans="1:18" x14ac:dyDescent="0.2">
      <c r="F516">
        <v>1</v>
      </c>
      <c r="G516">
        <v>0</v>
      </c>
      <c r="H516">
        <v>3</v>
      </c>
      <c r="I516">
        <v>1.9</v>
      </c>
      <c r="J516">
        <v>13.5</v>
      </c>
      <c r="K516">
        <f t="shared" si="21"/>
        <v>25.65</v>
      </c>
      <c r="L516" t="s">
        <v>714</v>
      </c>
    </row>
    <row r="517" spans="1:18" x14ac:dyDescent="0.2">
      <c r="F517">
        <v>1</v>
      </c>
      <c r="G517">
        <v>0</v>
      </c>
      <c r="H517">
        <v>5.9</v>
      </c>
      <c r="I517">
        <v>3.4</v>
      </c>
      <c r="J517">
        <v>11.8</v>
      </c>
      <c r="K517">
        <f t="shared" si="21"/>
        <v>40.120000000000005</v>
      </c>
      <c r="L517" t="s">
        <v>715</v>
      </c>
    </row>
    <row r="518" spans="1:18" x14ac:dyDescent="0.2">
      <c r="F518">
        <v>1</v>
      </c>
      <c r="G518">
        <v>0</v>
      </c>
      <c r="H518">
        <v>2.9</v>
      </c>
      <c r="I518">
        <v>1.7</v>
      </c>
      <c r="J518">
        <v>10.3</v>
      </c>
      <c r="K518">
        <f t="shared" si="21"/>
        <v>17.510000000000002</v>
      </c>
      <c r="L518" t="s">
        <v>716</v>
      </c>
    </row>
    <row r="519" spans="1:18" x14ac:dyDescent="0.2">
      <c r="F519">
        <v>1</v>
      </c>
      <c r="G519">
        <v>0</v>
      </c>
      <c r="H519">
        <v>3.2</v>
      </c>
      <c r="I519">
        <v>1.9</v>
      </c>
      <c r="J519">
        <v>4.8</v>
      </c>
      <c r="K519">
        <f t="shared" si="21"/>
        <v>9.1199999999999992</v>
      </c>
      <c r="L519" t="s">
        <v>717</v>
      </c>
    </row>
    <row r="520" spans="1:18" x14ac:dyDescent="0.2">
      <c r="F520">
        <v>1</v>
      </c>
      <c r="G520">
        <v>0</v>
      </c>
      <c r="H520">
        <v>4.3</v>
      </c>
      <c r="I520">
        <v>2.5</v>
      </c>
      <c r="J520">
        <v>2.4</v>
      </c>
      <c r="K520">
        <f t="shared" si="21"/>
        <v>6</v>
      </c>
      <c r="L520" t="s">
        <v>718</v>
      </c>
    </row>
    <row r="521" spans="1:18" x14ac:dyDescent="0.2">
      <c r="F521">
        <v>1</v>
      </c>
      <c r="G521">
        <v>0</v>
      </c>
      <c r="H521">
        <v>3.8</v>
      </c>
      <c r="I521">
        <v>2.5</v>
      </c>
      <c r="J521">
        <v>2.4</v>
      </c>
      <c r="K521">
        <f t="shared" si="21"/>
        <v>6</v>
      </c>
      <c r="L521" t="s">
        <v>719</v>
      </c>
    </row>
    <row r="522" spans="1:18" x14ac:dyDescent="0.2">
      <c r="F522">
        <v>1</v>
      </c>
      <c r="G522">
        <v>0</v>
      </c>
      <c r="H522">
        <v>4</v>
      </c>
      <c r="I522">
        <v>2.5</v>
      </c>
      <c r="J522">
        <v>2.9</v>
      </c>
      <c r="K522">
        <f t="shared" si="21"/>
        <v>7.25</v>
      </c>
      <c r="L522" t="s">
        <v>720</v>
      </c>
      <c r="M522">
        <v>0</v>
      </c>
      <c r="N522">
        <v>1</v>
      </c>
      <c r="P522">
        <v>1</v>
      </c>
      <c r="Q522">
        <v>1</v>
      </c>
      <c r="R522" s="1">
        <v>43936</v>
      </c>
    </row>
    <row r="524" spans="1:18" x14ac:dyDescent="0.2">
      <c r="A524">
        <v>69</v>
      </c>
      <c r="B524" t="s">
        <v>405</v>
      </c>
      <c r="C524" s="1">
        <v>31483</v>
      </c>
      <c r="D524" s="1">
        <v>43948</v>
      </c>
      <c r="E524" t="s">
        <v>429</v>
      </c>
      <c r="F524">
        <v>1</v>
      </c>
      <c r="G524">
        <v>0</v>
      </c>
      <c r="H524">
        <v>3.3</v>
      </c>
      <c r="I524">
        <v>2</v>
      </c>
      <c r="J524">
        <v>6.6</v>
      </c>
      <c r="K524">
        <f t="shared" si="21"/>
        <v>13.2</v>
      </c>
      <c r="L524" t="s">
        <v>721</v>
      </c>
    </row>
    <row r="525" spans="1:18" x14ac:dyDescent="0.2">
      <c r="C525" s="1"/>
      <c r="D525" s="1"/>
    </row>
    <row r="526" spans="1:18" x14ac:dyDescent="0.2">
      <c r="F526">
        <v>0</v>
      </c>
      <c r="G526">
        <v>1</v>
      </c>
      <c r="H526">
        <v>2.1</v>
      </c>
      <c r="I526">
        <v>1.5</v>
      </c>
      <c r="J526">
        <v>2.9</v>
      </c>
      <c r="K526">
        <f t="shared" si="21"/>
        <v>4.3499999999999996</v>
      </c>
      <c r="L526" t="s">
        <v>722</v>
      </c>
      <c r="M526">
        <v>1</v>
      </c>
      <c r="N526">
        <v>1</v>
      </c>
      <c r="P526">
        <v>1</v>
      </c>
      <c r="Q526">
        <v>3</v>
      </c>
      <c r="R526" s="1">
        <v>43817</v>
      </c>
    </row>
    <row r="528" spans="1:18" x14ac:dyDescent="0.2">
      <c r="A528">
        <v>70</v>
      </c>
      <c r="B528" t="s">
        <v>723</v>
      </c>
      <c r="C528" s="1">
        <v>30034</v>
      </c>
      <c r="D528" s="1">
        <v>44085</v>
      </c>
      <c r="E528" t="s">
        <v>387</v>
      </c>
      <c r="F528">
        <v>1</v>
      </c>
      <c r="G528">
        <v>0</v>
      </c>
      <c r="H528">
        <v>4.5999999999999996</v>
      </c>
      <c r="I528">
        <v>2.1</v>
      </c>
      <c r="J528">
        <v>11.8</v>
      </c>
      <c r="K528">
        <f>(I528*J528)</f>
        <v>24.78</v>
      </c>
      <c r="L528" t="s">
        <v>844</v>
      </c>
    </row>
    <row r="529" spans="1:18" x14ac:dyDescent="0.2">
      <c r="F529">
        <v>1</v>
      </c>
      <c r="G529">
        <v>0</v>
      </c>
      <c r="H529">
        <v>4</v>
      </c>
      <c r="I529">
        <v>2.2999999999999998</v>
      </c>
      <c r="J529">
        <v>5.5</v>
      </c>
      <c r="K529">
        <f>(I529*J529)</f>
        <v>12.649999999999999</v>
      </c>
      <c r="L529" t="s">
        <v>724</v>
      </c>
    </row>
    <row r="530" spans="1:18" x14ac:dyDescent="0.2">
      <c r="F530">
        <v>1</v>
      </c>
      <c r="G530">
        <v>0</v>
      </c>
      <c r="H530">
        <v>4.3</v>
      </c>
      <c r="I530">
        <v>2.7</v>
      </c>
      <c r="J530">
        <v>4.8</v>
      </c>
      <c r="K530">
        <f>(I530*J530)</f>
        <v>12.96</v>
      </c>
      <c r="L530" t="s">
        <v>843</v>
      </c>
    </row>
    <row r="532" spans="1:18" x14ac:dyDescent="0.2">
      <c r="F532">
        <v>0</v>
      </c>
      <c r="G532">
        <v>1</v>
      </c>
      <c r="H532">
        <v>2.5</v>
      </c>
      <c r="I532">
        <v>1.7</v>
      </c>
      <c r="J532">
        <v>2.6</v>
      </c>
      <c r="K532">
        <f>(I532*J532)</f>
        <v>4.42</v>
      </c>
      <c r="L532" t="s">
        <v>629</v>
      </c>
      <c r="M532">
        <v>1</v>
      </c>
      <c r="N532">
        <v>1</v>
      </c>
      <c r="P532">
        <v>1</v>
      </c>
      <c r="Q532">
        <v>3</v>
      </c>
      <c r="R532" s="1">
        <v>43924</v>
      </c>
    </row>
    <row r="534" spans="1:18" x14ac:dyDescent="0.2">
      <c r="A534">
        <v>71</v>
      </c>
      <c r="B534" t="s">
        <v>725</v>
      </c>
      <c r="C534" s="1">
        <v>25678</v>
      </c>
      <c r="D534" s="1">
        <v>43941</v>
      </c>
      <c r="E534" t="s">
        <v>387</v>
      </c>
      <c r="F534">
        <v>1</v>
      </c>
      <c r="G534">
        <v>0</v>
      </c>
      <c r="H534">
        <v>3.7</v>
      </c>
      <c r="I534">
        <v>2.2000000000000002</v>
      </c>
      <c r="J534">
        <v>9</v>
      </c>
      <c r="K534">
        <f t="shared" si="21"/>
        <v>19.8</v>
      </c>
      <c r="L534" t="s">
        <v>726</v>
      </c>
    </row>
    <row r="535" spans="1:18" x14ac:dyDescent="0.2">
      <c r="F535">
        <v>1</v>
      </c>
      <c r="G535">
        <v>0</v>
      </c>
      <c r="H535">
        <v>3.4</v>
      </c>
      <c r="I535">
        <v>2.2000000000000002</v>
      </c>
      <c r="J535">
        <v>4.3</v>
      </c>
      <c r="K535">
        <f t="shared" si="21"/>
        <v>9.4600000000000009</v>
      </c>
      <c r="L535" t="s">
        <v>727</v>
      </c>
    </row>
    <row r="536" spans="1:18" x14ac:dyDescent="0.2">
      <c r="F536">
        <v>1</v>
      </c>
      <c r="G536">
        <v>0</v>
      </c>
      <c r="H536">
        <v>4</v>
      </c>
      <c r="I536">
        <v>2.5</v>
      </c>
      <c r="J536">
        <v>4.9000000000000004</v>
      </c>
      <c r="K536">
        <f t="shared" si="21"/>
        <v>12.25</v>
      </c>
      <c r="L536" t="s">
        <v>777</v>
      </c>
    </row>
    <row r="537" spans="1:18" x14ac:dyDescent="0.2">
      <c r="F537">
        <v>1</v>
      </c>
      <c r="G537">
        <v>0</v>
      </c>
      <c r="H537">
        <v>6.3</v>
      </c>
      <c r="I537">
        <v>3.8</v>
      </c>
      <c r="J537">
        <v>6.8</v>
      </c>
      <c r="K537">
        <f t="shared" si="21"/>
        <v>25.84</v>
      </c>
      <c r="L537" t="s">
        <v>463</v>
      </c>
    </row>
    <row r="539" spans="1:18" x14ac:dyDescent="0.2">
      <c r="F539">
        <v>0</v>
      </c>
      <c r="G539">
        <v>1</v>
      </c>
      <c r="H539">
        <v>3.1</v>
      </c>
      <c r="I539">
        <v>2.1</v>
      </c>
      <c r="J539">
        <v>2.2999999999999998</v>
      </c>
      <c r="K539">
        <f t="shared" si="21"/>
        <v>4.83</v>
      </c>
      <c r="L539" t="s">
        <v>640</v>
      </c>
    </row>
    <row r="540" spans="1:18" x14ac:dyDescent="0.2">
      <c r="F540">
        <v>0</v>
      </c>
      <c r="G540">
        <v>1</v>
      </c>
      <c r="H540">
        <v>2.7</v>
      </c>
      <c r="I540">
        <v>1.9</v>
      </c>
      <c r="J540">
        <v>3.1</v>
      </c>
      <c r="K540">
        <f t="shared" si="21"/>
        <v>5.89</v>
      </c>
      <c r="L540" t="s">
        <v>728</v>
      </c>
      <c r="M540">
        <v>1</v>
      </c>
      <c r="N540">
        <v>1</v>
      </c>
      <c r="P540">
        <v>1</v>
      </c>
      <c r="Q540">
        <v>3</v>
      </c>
      <c r="R540" s="1">
        <v>43817</v>
      </c>
    </row>
    <row r="542" spans="1:18" x14ac:dyDescent="0.2">
      <c r="A542">
        <v>72</v>
      </c>
      <c r="B542" t="s">
        <v>729</v>
      </c>
      <c r="C542" s="1">
        <v>22407</v>
      </c>
      <c r="D542" s="1">
        <v>43938</v>
      </c>
      <c r="E542" t="s">
        <v>730</v>
      </c>
      <c r="F542">
        <v>0</v>
      </c>
      <c r="G542">
        <v>1</v>
      </c>
      <c r="H542">
        <v>2.5</v>
      </c>
      <c r="I542">
        <v>1.6</v>
      </c>
      <c r="J542">
        <v>1.5</v>
      </c>
      <c r="K542">
        <f t="shared" si="21"/>
        <v>2.4000000000000004</v>
      </c>
      <c r="L542" t="s">
        <v>731</v>
      </c>
      <c r="M542">
        <v>1</v>
      </c>
      <c r="N542">
        <v>0</v>
      </c>
      <c r="P542">
        <v>0</v>
      </c>
    </row>
    <row r="544" spans="1:18" x14ac:dyDescent="0.2">
      <c r="A544">
        <v>73</v>
      </c>
      <c r="B544" t="s">
        <v>403</v>
      </c>
      <c r="C544" s="1">
        <v>12879</v>
      </c>
      <c r="D544" s="1">
        <v>43938</v>
      </c>
      <c r="E544" t="s">
        <v>732</v>
      </c>
      <c r="F544">
        <v>1</v>
      </c>
      <c r="G544">
        <v>0</v>
      </c>
      <c r="H544">
        <v>5.8</v>
      </c>
      <c r="I544">
        <v>3.1</v>
      </c>
      <c r="J544">
        <v>65.5</v>
      </c>
      <c r="K544">
        <f t="shared" si="21"/>
        <v>203.05</v>
      </c>
      <c r="L544" t="s">
        <v>733</v>
      </c>
    </row>
    <row r="545" spans="1:18" x14ac:dyDescent="0.2">
      <c r="F545">
        <v>1</v>
      </c>
      <c r="G545">
        <v>0</v>
      </c>
      <c r="H545">
        <v>14.9</v>
      </c>
      <c r="I545">
        <v>7.9</v>
      </c>
      <c r="J545">
        <v>11.4</v>
      </c>
      <c r="K545">
        <f t="shared" si="21"/>
        <v>90.06</v>
      </c>
      <c r="L545" t="s">
        <v>165</v>
      </c>
    </row>
    <row r="546" spans="1:18" x14ac:dyDescent="0.2">
      <c r="F546">
        <v>1</v>
      </c>
      <c r="G546">
        <v>0</v>
      </c>
      <c r="H546">
        <v>4.8</v>
      </c>
      <c r="I546">
        <v>2.8</v>
      </c>
      <c r="J546">
        <v>5.6</v>
      </c>
      <c r="K546">
        <f t="shared" si="21"/>
        <v>15.679999999999998</v>
      </c>
      <c r="L546" t="s">
        <v>626</v>
      </c>
    </row>
    <row r="547" spans="1:18" x14ac:dyDescent="0.2">
      <c r="F547">
        <v>1</v>
      </c>
      <c r="G547">
        <v>0</v>
      </c>
      <c r="H547">
        <v>3.7</v>
      </c>
      <c r="I547">
        <v>2.1</v>
      </c>
      <c r="J547">
        <v>4.5</v>
      </c>
      <c r="K547">
        <f t="shared" si="21"/>
        <v>9.4500000000000011</v>
      </c>
      <c r="L547" t="s">
        <v>700</v>
      </c>
    </row>
    <row r="548" spans="1:18" x14ac:dyDescent="0.2">
      <c r="F548">
        <v>1</v>
      </c>
      <c r="G548">
        <v>0</v>
      </c>
      <c r="H548">
        <v>3.9</v>
      </c>
      <c r="I548">
        <v>2.2999999999999998</v>
      </c>
      <c r="J548">
        <v>2.9</v>
      </c>
      <c r="K548">
        <f t="shared" si="21"/>
        <v>6.669999999999999</v>
      </c>
      <c r="L548" t="s">
        <v>734</v>
      </c>
    </row>
    <row r="549" spans="1:18" x14ac:dyDescent="0.2">
      <c r="F549">
        <v>1</v>
      </c>
      <c r="G549">
        <v>0</v>
      </c>
      <c r="H549">
        <v>4.3</v>
      </c>
      <c r="I549">
        <v>2.6</v>
      </c>
      <c r="J549">
        <v>2.2000000000000002</v>
      </c>
      <c r="K549">
        <f t="shared" si="21"/>
        <v>5.7200000000000006</v>
      </c>
      <c r="L549" t="s">
        <v>735</v>
      </c>
    </row>
    <row r="550" spans="1:18" x14ac:dyDescent="0.2">
      <c r="F550">
        <v>1</v>
      </c>
      <c r="G550">
        <v>0</v>
      </c>
      <c r="H550">
        <v>3.9</v>
      </c>
      <c r="I550">
        <v>2.6</v>
      </c>
      <c r="J550">
        <v>2.4</v>
      </c>
      <c r="K550">
        <f t="shared" si="21"/>
        <v>6.24</v>
      </c>
      <c r="L550" t="s">
        <v>736</v>
      </c>
    </row>
    <row r="551" spans="1:18" x14ac:dyDescent="0.2">
      <c r="F551">
        <v>1</v>
      </c>
      <c r="G551">
        <v>0</v>
      </c>
      <c r="H551">
        <v>8.6999999999999993</v>
      </c>
      <c r="I551">
        <v>4.5999999999999996</v>
      </c>
      <c r="J551">
        <v>77.400000000000006</v>
      </c>
      <c r="K551">
        <f t="shared" si="21"/>
        <v>356.04</v>
      </c>
      <c r="L551" t="s">
        <v>115</v>
      </c>
    </row>
    <row r="552" spans="1:18" x14ac:dyDescent="0.2">
      <c r="F552">
        <v>1</v>
      </c>
      <c r="G552">
        <v>0</v>
      </c>
      <c r="H552">
        <v>9</v>
      </c>
      <c r="I552">
        <v>4.7</v>
      </c>
      <c r="J552">
        <v>96.6</v>
      </c>
      <c r="K552">
        <f t="shared" si="21"/>
        <v>454.02</v>
      </c>
      <c r="L552" t="s">
        <v>168</v>
      </c>
      <c r="M552">
        <v>0</v>
      </c>
      <c r="N552">
        <v>1</v>
      </c>
      <c r="P552">
        <v>1</v>
      </c>
      <c r="Q552">
        <v>1</v>
      </c>
      <c r="R552" s="1">
        <v>43938</v>
      </c>
    </row>
    <row r="554" spans="1:18" x14ac:dyDescent="0.2">
      <c r="A554">
        <v>74</v>
      </c>
      <c r="B554" t="s">
        <v>402</v>
      </c>
      <c r="C554" s="1">
        <v>25500</v>
      </c>
      <c r="D554" s="1">
        <v>43927</v>
      </c>
      <c r="E554" t="s">
        <v>387</v>
      </c>
      <c r="F554">
        <v>1</v>
      </c>
      <c r="G554">
        <v>0</v>
      </c>
      <c r="H554">
        <v>6.6</v>
      </c>
      <c r="I554">
        <v>3.8</v>
      </c>
      <c r="J554">
        <v>3.2</v>
      </c>
      <c r="K554">
        <f t="shared" si="21"/>
        <v>12.16</v>
      </c>
      <c r="L554" t="s">
        <v>105</v>
      </c>
    </row>
    <row r="555" spans="1:18" x14ac:dyDescent="0.2">
      <c r="F555">
        <v>1</v>
      </c>
      <c r="G555">
        <v>0</v>
      </c>
      <c r="H555">
        <v>2.7</v>
      </c>
      <c r="I555">
        <v>1.8</v>
      </c>
      <c r="J555">
        <v>3</v>
      </c>
      <c r="K555">
        <f t="shared" si="21"/>
        <v>5.4</v>
      </c>
      <c r="L555" t="s">
        <v>737</v>
      </c>
    </row>
    <row r="556" spans="1:18" x14ac:dyDescent="0.2">
      <c r="F556">
        <v>1</v>
      </c>
      <c r="G556">
        <v>0</v>
      </c>
      <c r="H556">
        <v>3.8</v>
      </c>
      <c r="I556">
        <v>2.2000000000000002</v>
      </c>
      <c r="J556">
        <v>5.0999999999999996</v>
      </c>
      <c r="K556">
        <f t="shared" si="21"/>
        <v>11.22</v>
      </c>
      <c r="L556" t="s">
        <v>463</v>
      </c>
    </row>
    <row r="557" spans="1:18" x14ac:dyDescent="0.2">
      <c r="F557">
        <v>1</v>
      </c>
      <c r="G557">
        <v>0</v>
      </c>
      <c r="H557">
        <v>4.5999999999999996</v>
      </c>
      <c r="I557">
        <v>2.8</v>
      </c>
      <c r="J557">
        <v>3.7</v>
      </c>
      <c r="K557">
        <f t="shared" si="21"/>
        <v>10.36</v>
      </c>
      <c r="L557" t="s">
        <v>738</v>
      </c>
    </row>
    <row r="559" spans="1:18" x14ac:dyDescent="0.2">
      <c r="F559">
        <v>0</v>
      </c>
      <c r="G559">
        <v>1</v>
      </c>
      <c r="H559">
        <v>2.4</v>
      </c>
      <c r="I559">
        <v>1.6</v>
      </c>
      <c r="J559">
        <v>1.2</v>
      </c>
      <c r="K559">
        <f t="shared" si="21"/>
        <v>1.92</v>
      </c>
      <c r="L559" t="s">
        <v>739</v>
      </c>
      <c r="M559">
        <v>1</v>
      </c>
      <c r="N559">
        <v>1</v>
      </c>
      <c r="P559">
        <v>1</v>
      </c>
      <c r="Q559">
        <v>4</v>
      </c>
      <c r="R559" s="1">
        <v>43986</v>
      </c>
    </row>
    <row r="561" spans="1:18" x14ac:dyDescent="0.2">
      <c r="A561">
        <v>75</v>
      </c>
      <c r="B561" t="s">
        <v>740</v>
      </c>
      <c r="C561" t="s">
        <v>741</v>
      </c>
      <c r="D561" s="1">
        <v>43924</v>
      </c>
      <c r="E561" t="s">
        <v>13</v>
      </c>
      <c r="F561">
        <v>1</v>
      </c>
      <c r="G561">
        <v>0</v>
      </c>
      <c r="H561">
        <v>4</v>
      </c>
      <c r="I561">
        <v>2.4</v>
      </c>
      <c r="J561">
        <v>2.1</v>
      </c>
      <c r="K561">
        <f>(I561*J561)</f>
        <v>5.04</v>
      </c>
      <c r="L561" t="s">
        <v>742</v>
      </c>
    </row>
    <row r="563" spans="1:18" x14ac:dyDescent="0.2">
      <c r="F563">
        <v>0</v>
      </c>
      <c r="G563">
        <v>1</v>
      </c>
      <c r="H563">
        <v>1.9</v>
      </c>
      <c r="I563">
        <v>1.2</v>
      </c>
      <c r="J563">
        <v>2.8</v>
      </c>
      <c r="K563">
        <f>(I563*J563)</f>
        <v>3.36</v>
      </c>
      <c r="L563" t="s">
        <v>603</v>
      </c>
    </row>
    <row r="564" spans="1:18" x14ac:dyDescent="0.2">
      <c r="F564">
        <v>0</v>
      </c>
      <c r="G564">
        <v>1</v>
      </c>
      <c r="H564">
        <v>2.9</v>
      </c>
      <c r="I564">
        <v>1.7</v>
      </c>
      <c r="J564">
        <v>1.8</v>
      </c>
      <c r="K564">
        <f>(I564*J564)</f>
        <v>3.06</v>
      </c>
      <c r="L564" t="s">
        <v>743</v>
      </c>
    </row>
    <row r="565" spans="1:18" x14ac:dyDescent="0.2">
      <c r="F565">
        <v>0</v>
      </c>
      <c r="G565">
        <v>1</v>
      </c>
      <c r="H565">
        <v>2.5</v>
      </c>
      <c r="I565">
        <v>1.5</v>
      </c>
      <c r="J565">
        <v>1.1000000000000001</v>
      </c>
      <c r="K565">
        <f>(I565*J565)</f>
        <v>1.6500000000000001</v>
      </c>
      <c r="L565" t="s">
        <v>744</v>
      </c>
      <c r="M565">
        <v>1</v>
      </c>
      <c r="N565">
        <v>1</v>
      </c>
      <c r="P565">
        <v>1</v>
      </c>
      <c r="Q565">
        <v>3</v>
      </c>
      <c r="R565" s="1">
        <v>44094</v>
      </c>
    </row>
    <row r="567" spans="1:18" x14ac:dyDescent="0.2">
      <c r="A567">
        <v>76</v>
      </c>
      <c r="B567" t="s">
        <v>401</v>
      </c>
      <c r="C567" s="1">
        <v>26577</v>
      </c>
      <c r="D567" s="1">
        <v>43924</v>
      </c>
      <c r="E567" t="s">
        <v>387</v>
      </c>
      <c r="F567">
        <v>1</v>
      </c>
      <c r="G567">
        <v>0</v>
      </c>
      <c r="H567">
        <v>3.7</v>
      </c>
      <c r="I567">
        <v>2.2000000000000002</v>
      </c>
      <c r="J567">
        <v>5.4</v>
      </c>
      <c r="K567">
        <f>(I567*J567)</f>
        <v>11.880000000000003</v>
      </c>
      <c r="L567" t="s">
        <v>647</v>
      </c>
    </row>
    <row r="568" spans="1:18" x14ac:dyDescent="0.2">
      <c r="F568">
        <v>1</v>
      </c>
      <c r="G568">
        <v>0</v>
      </c>
      <c r="H568">
        <v>4.3</v>
      </c>
      <c r="I568">
        <v>2.4</v>
      </c>
      <c r="J568">
        <v>2.4</v>
      </c>
      <c r="K568">
        <f>(I568*J568)</f>
        <v>5.76</v>
      </c>
      <c r="L568" t="s">
        <v>745</v>
      </c>
    </row>
    <row r="569" spans="1:18" x14ac:dyDescent="0.2">
      <c r="F569">
        <v>1</v>
      </c>
      <c r="G569">
        <v>0</v>
      </c>
      <c r="H569">
        <v>3.2</v>
      </c>
      <c r="I569">
        <v>2.2000000000000002</v>
      </c>
      <c r="J569">
        <v>9.1</v>
      </c>
      <c r="K569">
        <f>(I569*J569)</f>
        <v>20.02</v>
      </c>
      <c r="L569" t="s">
        <v>746</v>
      </c>
    </row>
    <row r="570" spans="1:18" x14ac:dyDescent="0.2">
      <c r="F570">
        <v>1</v>
      </c>
      <c r="G570">
        <v>0</v>
      </c>
      <c r="H570">
        <v>3.3</v>
      </c>
      <c r="I570">
        <v>2.4</v>
      </c>
      <c r="J570">
        <v>4.3</v>
      </c>
      <c r="K570">
        <f>(I570*J570)</f>
        <v>10.319999999999999</v>
      </c>
      <c r="L570" t="s">
        <v>747</v>
      </c>
      <c r="M570">
        <v>0</v>
      </c>
      <c r="N570">
        <v>1</v>
      </c>
      <c r="P570">
        <v>1</v>
      </c>
      <c r="Q570">
        <v>3</v>
      </c>
      <c r="R570" s="1">
        <v>43866</v>
      </c>
    </row>
    <row r="572" spans="1:18" x14ac:dyDescent="0.2">
      <c r="A572">
        <v>77</v>
      </c>
      <c r="B572" t="s">
        <v>1087</v>
      </c>
      <c r="C572" s="1">
        <v>30246</v>
      </c>
      <c r="D572" s="1">
        <v>43924</v>
      </c>
      <c r="E572" t="s">
        <v>387</v>
      </c>
      <c r="F572">
        <v>1</v>
      </c>
      <c r="G572">
        <v>0</v>
      </c>
      <c r="H572">
        <v>3.3</v>
      </c>
      <c r="I572">
        <v>2.2999999999999998</v>
      </c>
      <c r="J572">
        <v>2.4</v>
      </c>
      <c r="K572">
        <f>(I572*J572)</f>
        <v>5.52</v>
      </c>
      <c r="L572" t="s">
        <v>748</v>
      </c>
    </row>
    <row r="573" spans="1:18" x14ac:dyDescent="0.2">
      <c r="C573" s="1"/>
      <c r="D573" s="1"/>
    </row>
    <row r="574" spans="1:18" x14ac:dyDescent="0.2">
      <c r="F574">
        <v>0</v>
      </c>
      <c r="G574">
        <v>1</v>
      </c>
      <c r="H574">
        <v>2.4</v>
      </c>
      <c r="I574">
        <v>1.6</v>
      </c>
      <c r="J574">
        <v>2.2999999999999998</v>
      </c>
      <c r="K574">
        <f>(I574*J574)</f>
        <v>3.6799999999999997</v>
      </c>
      <c r="L574" t="s">
        <v>749</v>
      </c>
      <c r="M574">
        <v>1</v>
      </c>
      <c r="N574">
        <v>1</v>
      </c>
      <c r="P574">
        <v>1</v>
      </c>
      <c r="Q574">
        <v>1.3</v>
      </c>
      <c r="R574" s="1">
        <v>43928</v>
      </c>
    </row>
    <row r="576" spans="1:18" x14ac:dyDescent="0.2">
      <c r="A576">
        <v>78</v>
      </c>
      <c r="B576" t="s">
        <v>750</v>
      </c>
      <c r="C576" s="1">
        <v>23208</v>
      </c>
      <c r="D576" s="1">
        <v>43913</v>
      </c>
      <c r="E576" t="s">
        <v>387</v>
      </c>
      <c r="F576">
        <v>1</v>
      </c>
      <c r="G576">
        <v>0</v>
      </c>
      <c r="H576">
        <v>6.9</v>
      </c>
      <c r="I576">
        <v>3.7</v>
      </c>
      <c r="J576">
        <v>9.4</v>
      </c>
      <c r="K576">
        <f>(I576*J576)</f>
        <v>34.78</v>
      </c>
      <c r="L576" t="s">
        <v>751</v>
      </c>
    </row>
    <row r="577" spans="1:16" x14ac:dyDescent="0.2">
      <c r="F577">
        <v>1</v>
      </c>
      <c r="G577">
        <v>0</v>
      </c>
      <c r="H577">
        <v>3.3</v>
      </c>
      <c r="I577">
        <v>2</v>
      </c>
      <c r="J577">
        <v>8.5</v>
      </c>
      <c r="K577">
        <f>(I577*J577)</f>
        <v>17</v>
      </c>
      <c r="L577" t="s">
        <v>778</v>
      </c>
    </row>
    <row r="578" spans="1:16" x14ac:dyDescent="0.2">
      <c r="F578">
        <v>1</v>
      </c>
      <c r="G578">
        <v>0</v>
      </c>
      <c r="H578">
        <v>4</v>
      </c>
      <c r="I578">
        <v>2.6</v>
      </c>
      <c r="J578">
        <v>2.2999999999999998</v>
      </c>
      <c r="K578">
        <f>(I578*J578)</f>
        <v>5.9799999999999995</v>
      </c>
      <c r="L578" t="s">
        <v>778</v>
      </c>
    </row>
    <row r="580" spans="1:16" x14ac:dyDescent="0.2">
      <c r="F580">
        <v>0</v>
      </c>
      <c r="G580">
        <v>1</v>
      </c>
      <c r="H580">
        <v>2.6</v>
      </c>
      <c r="I580">
        <v>2.1</v>
      </c>
      <c r="J580">
        <v>0.6</v>
      </c>
      <c r="K580">
        <f>(I580*J580)</f>
        <v>1.26</v>
      </c>
      <c r="L580" t="s">
        <v>752</v>
      </c>
    </row>
    <row r="581" spans="1:16" x14ac:dyDescent="0.2">
      <c r="F581">
        <v>0</v>
      </c>
      <c r="G581">
        <v>1</v>
      </c>
      <c r="H581">
        <v>2</v>
      </c>
      <c r="I581">
        <v>1.4</v>
      </c>
      <c r="J581">
        <v>3</v>
      </c>
      <c r="K581">
        <f>(I581*J581)</f>
        <v>4.1999999999999993</v>
      </c>
      <c r="L581" t="s">
        <v>753</v>
      </c>
      <c r="M581">
        <v>1</v>
      </c>
      <c r="N581">
        <v>1</v>
      </c>
      <c r="P581">
        <v>0</v>
      </c>
    </row>
    <row r="583" spans="1:16" x14ac:dyDescent="0.2">
      <c r="A583">
        <v>79</v>
      </c>
      <c r="B583" t="s">
        <v>400</v>
      </c>
      <c r="C583" s="1">
        <v>34379</v>
      </c>
      <c r="D583" s="1">
        <v>43907</v>
      </c>
      <c r="E583" t="s">
        <v>754</v>
      </c>
      <c r="F583">
        <v>1</v>
      </c>
      <c r="G583">
        <v>0</v>
      </c>
      <c r="H583">
        <v>3.4</v>
      </c>
      <c r="I583">
        <v>1.8</v>
      </c>
      <c r="J583">
        <v>6.5</v>
      </c>
      <c r="K583">
        <f>(I583*J583)</f>
        <v>11.700000000000001</v>
      </c>
      <c r="L583" t="s">
        <v>755</v>
      </c>
    </row>
    <row r="585" spans="1:16" x14ac:dyDescent="0.2">
      <c r="F585">
        <v>0</v>
      </c>
      <c r="G585">
        <v>1</v>
      </c>
      <c r="H585">
        <v>1.5</v>
      </c>
      <c r="I585">
        <v>1</v>
      </c>
      <c r="J585">
        <v>2.7</v>
      </c>
      <c r="K585">
        <f>(I585*J585)</f>
        <v>2.7</v>
      </c>
      <c r="L585" t="s">
        <v>756</v>
      </c>
    </row>
    <row r="586" spans="1:16" x14ac:dyDescent="0.2">
      <c r="F586">
        <v>0</v>
      </c>
      <c r="G586">
        <v>1</v>
      </c>
      <c r="H586">
        <v>1.3</v>
      </c>
      <c r="I586">
        <v>0.9</v>
      </c>
      <c r="J586">
        <v>3.1</v>
      </c>
      <c r="K586">
        <f>(I586*J586)</f>
        <v>2.79</v>
      </c>
      <c r="L586" t="s">
        <v>757</v>
      </c>
    </row>
    <row r="587" spans="1:16" x14ac:dyDescent="0.2">
      <c r="F587">
        <v>0</v>
      </c>
      <c r="G587">
        <v>1</v>
      </c>
      <c r="H587">
        <v>1.5</v>
      </c>
      <c r="I587">
        <v>1</v>
      </c>
      <c r="J587">
        <v>5.5</v>
      </c>
      <c r="K587">
        <f>(I587*J587)</f>
        <v>5.5</v>
      </c>
      <c r="L587" t="s">
        <v>779</v>
      </c>
      <c r="M587">
        <v>1</v>
      </c>
      <c r="N587">
        <v>1</v>
      </c>
      <c r="P587">
        <v>0</v>
      </c>
    </row>
    <row r="589" spans="1:16" x14ac:dyDescent="0.2">
      <c r="A589">
        <v>80</v>
      </c>
      <c r="B589" t="s">
        <v>758</v>
      </c>
      <c r="C589" s="1">
        <v>22028</v>
      </c>
      <c r="D589" s="1">
        <v>43906</v>
      </c>
      <c r="E589" t="s">
        <v>730</v>
      </c>
      <c r="F589">
        <v>1</v>
      </c>
      <c r="G589">
        <v>0</v>
      </c>
      <c r="H589">
        <v>4.8</v>
      </c>
      <c r="I589">
        <v>2.8</v>
      </c>
      <c r="J589">
        <v>7.9</v>
      </c>
      <c r="K589">
        <f>(I589*J589)</f>
        <v>22.12</v>
      </c>
      <c r="L589" t="s">
        <v>759</v>
      </c>
    </row>
    <row r="590" spans="1:16" x14ac:dyDescent="0.2">
      <c r="F590">
        <v>1</v>
      </c>
      <c r="G590">
        <v>0</v>
      </c>
      <c r="H590">
        <v>4.0999999999999996</v>
      </c>
      <c r="I590">
        <v>2.8</v>
      </c>
      <c r="J590">
        <v>13.5</v>
      </c>
      <c r="K590">
        <f>(I590*J590)</f>
        <v>37.799999999999997</v>
      </c>
      <c r="L590" t="s">
        <v>672</v>
      </c>
    </row>
    <row r="592" spans="1:16" x14ac:dyDescent="0.2">
      <c r="F592">
        <v>0</v>
      </c>
      <c r="G592">
        <v>1</v>
      </c>
      <c r="H592">
        <v>2.9</v>
      </c>
      <c r="I592">
        <v>1.7</v>
      </c>
      <c r="J592">
        <v>7.1</v>
      </c>
      <c r="K592">
        <f>(I592*J592)</f>
        <v>12.069999999999999</v>
      </c>
      <c r="L592" t="s">
        <v>760</v>
      </c>
    </row>
    <row r="593" spans="1:18" x14ac:dyDescent="0.2">
      <c r="F593">
        <v>0</v>
      </c>
      <c r="G593">
        <v>1</v>
      </c>
      <c r="H593">
        <v>2.1</v>
      </c>
      <c r="I593">
        <v>1.6</v>
      </c>
      <c r="J593">
        <v>3.7</v>
      </c>
      <c r="K593">
        <f>(I593*J593)</f>
        <v>5.9200000000000008</v>
      </c>
      <c r="L593" t="s">
        <v>630</v>
      </c>
      <c r="M593">
        <v>1</v>
      </c>
      <c r="N593">
        <v>1</v>
      </c>
      <c r="P593">
        <v>1</v>
      </c>
      <c r="Q593">
        <v>1</v>
      </c>
      <c r="R593" s="1">
        <v>43895</v>
      </c>
    </row>
    <row r="595" spans="1:18" x14ac:dyDescent="0.2">
      <c r="A595">
        <v>81</v>
      </c>
      <c r="B595" t="s">
        <v>399</v>
      </c>
      <c r="C595" s="1">
        <v>29676</v>
      </c>
      <c r="D595" s="1">
        <v>43903</v>
      </c>
      <c r="E595" t="s">
        <v>730</v>
      </c>
      <c r="F595">
        <v>1</v>
      </c>
      <c r="G595">
        <v>0</v>
      </c>
      <c r="H595">
        <v>3.5</v>
      </c>
      <c r="I595">
        <v>2</v>
      </c>
      <c r="J595">
        <v>8.6</v>
      </c>
      <c r="K595">
        <f t="shared" ref="K595:K604" si="22">(I595*J595)</f>
        <v>17.2</v>
      </c>
      <c r="L595" t="s">
        <v>761</v>
      </c>
    </row>
    <row r="596" spans="1:18" x14ac:dyDescent="0.2">
      <c r="F596">
        <v>1</v>
      </c>
      <c r="G596">
        <v>0</v>
      </c>
      <c r="H596">
        <v>3.8</v>
      </c>
      <c r="I596">
        <v>2.1</v>
      </c>
      <c r="J596">
        <v>7.2</v>
      </c>
      <c r="K596">
        <f t="shared" si="22"/>
        <v>15.120000000000001</v>
      </c>
      <c r="L596" t="s">
        <v>626</v>
      </c>
    </row>
    <row r="597" spans="1:18" x14ac:dyDescent="0.2">
      <c r="F597">
        <v>1</v>
      </c>
      <c r="G597">
        <v>0</v>
      </c>
      <c r="H597">
        <v>3.8</v>
      </c>
      <c r="I597">
        <v>2.2999999999999998</v>
      </c>
      <c r="J597">
        <v>5</v>
      </c>
      <c r="K597">
        <f t="shared" si="22"/>
        <v>11.5</v>
      </c>
      <c r="L597" t="s">
        <v>147</v>
      </c>
    </row>
    <row r="598" spans="1:18" x14ac:dyDescent="0.2">
      <c r="F598">
        <v>1</v>
      </c>
      <c r="G598">
        <v>0</v>
      </c>
      <c r="H598">
        <v>4.0999999999999996</v>
      </c>
      <c r="I598">
        <v>2.5</v>
      </c>
      <c r="J598">
        <v>6.7</v>
      </c>
      <c r="K598">
        <f t="shared" si="22"/>
        <v>16.75</v>
      </c>
      <c r="L598" t="s">
        <v>762</v>
      </c>
    </row>
    <row r="599" spans="1:18" x14ac:dyDescent="0.2">
      <c r="F599">
        <v>1</v>
      </c>
      <c r="G599">
        <v>0</v>
      </c>
      <c r="H599">
        <v>3.6</v>
      </c>
      <c r="I599">
        <v>2.2999999999999998</v>
      </c>
      <c r="J599">
        <v>2.1</v>
      </c>
      <c r="K599">
        <f t="shared" si="22"/>
        <v>4.83</v>
      </c>
      <c r="L599" t="s">
        <v>763</v>
      </c>
    </row>
    <row r="600" spans="1:18" x14ac:dyDescent="0.2">
      <c r="F600">
        <v>1</v>
      </c>
      <c r="G600">
        <v>0</v>
      </c>
      <c r="H600">
        <v>4.0999999999999996</v>
      </c>
      <c r="I600">
        <v>2.4</v>
      </c>
      <c r="J600">
        <v>5.5</v>
      </c>
      <c r="K600">
        <f t="shared" si="22"/>
        <v>13.2</v>
      </c>
      <c r="L600" t="s">
        <v>764</v>
      </c>
    </row>
    <row r="601" spans="1:18" x14ac:dyDescent="0.2">
      <c r="F601">
        <v>1</v>
      </c>
      <c r="G601">
        <v>0</v>
      </c>
      <c r="H601">
        <v>5</v>
      </c>
      <c r="I601">
        <v>2.9</v>
      </c>
      <c r="J601">
        <v>5.4</v>
      </c>
      <c r="K601">
        <f t="shared" si="22"/>
        <v>15.66</v>
      </c>
      <c r="L601" t="s">
        <v>765</v>
      </c>
    </row>
    <row r="602" spans="1:18" x14ac:dyDescent="0.2">
      <c r="F602">
        <v>1</v>
      </c>
      <c r="G602">
        <v>0</v>
      </c>
      <c r="H602">
        <v>4.8</v>
      </c>
      <c r="I602">
        <v>3</v>
      </c>
      <c r="J602">
        <v>1.8</v>
      </c>
      <c r="K602">
        <f t="shared" si="22"/>
        <v>5.4</v>
      </c>
      <c r="L602" t="s">
        <v>766</v>
      </c>
    </row>
    <row r="603" spans="1:18" x14ac:dyDescent="0.2">
      <c r="F603">
        <v>1</v>
      </c>
      <c r="G603">
        <v>0</v>
      </c>
      <c r="H603">
        <v>2.9</v>
      </c>
      <c r="I603">
        <v>1.8</v>
      </c>
      <c r="J603">
        <v>1.4</v>
      </c>
      <c r="K603">
        <f t="shared" si="22"/>
        <v>2.52</v>
      </c>
      <c r="L603" t="s">
        <v>767</v>
      </c>
    </row>
    <row r="604" spans="1:18" x14ac:dyDescent="0.2">
      <c r="F604">
        <v>1</v>
      </c>
      <c r="G604">
        <v>0</v>
      </c>
      <c r="H604">
        <v>4.8</v>
      </c>
      <c r="I604">
        <v>2.8</v>
      </c>
      <c r="J604">
        <v>3</v>
      </c>
      <c r="K604">
        <f t="shared" si="22"/>
        <v>8.3999999999999986</v>
      </c>
      <c r="L604" t="s">
        <v>768</v>
      </c>
    </row>
    <row r="606" spans="1:18" x14ac:dyDescent="0.2">
      <c r="F606">
        <v>0</v>
      </c>
      <c r="G606">
        <v>1</v>
      </c>
      <c r="H606">
        <v>2.5</v>
      </c>
      <c r="I606">
        <v>1.6</v>
      </c>
      <c r="J606">
        <v>1.7</v>
      </c>
      <c r="K606">
        <f>(I606*J606)</f>
        <v>2.72</v>
      </c>
      <c r="L606" t="s">
        <v>769</v>
      </c>
      <c r="M606">
        <v>1</v>
      </c>
      <c r="N606">
        <v>1</v>
      </c>
      <c r="P606">
        <v>1</v>
      </c>
      <c r="Q606">
        <v>1</v>
      </c>
      <c r="R606" s="1">
        <v>43935</v>
      </c>
    </row>
    <row r="608" spans="1:18" x14ac:dyDescent="0.2">
      <c r="A608">
        <v>82</v>
      </c>
      <c r="B608" t="s">
        <v>398</v>
      </c>
      <c r="C608" s="1">
        <v>28533</v>
      </c>
      <c r="D608" s="1">
        <v>43899</v>
      </c>
      <c r="E608" t="s">
        <v>387</v>
      </c>
      <c r="F608">
        <v>0</v>
      </c>
      <c r="G608">
        <v>1</v>
      </c>
      <c r="H608">
        <v>1</v>
      </c>
      <c r="I608">
        <v>0.8</v>
      </c>
      <c r="J608">
        <v>1.4</v>
      </c>
      <c r="K608">
        <f>(I608*J608)</f>
        <v>1.1199999999999999</v>
      </c>
      <c r="L608" t="s">
        <v>629</v>
      </c>
      <c r="M608">
        <v>1</v>
      </c>
      <c r="N608">
        <v>0</v>
      </c>
      <c r="P608">
        <v>0</v>
      </c>
    </row>
    <row r="610" spans="1:18" x14ac:dyDescent="0.2">
      <c r="A610">
        <v>83</v>
      </c>
      <c r="B610" t="s">
        <v>780</v>
      </c>
      <c r="C610" s="1">
        <v>21332</v>
      </c>
      <c r="D610" s="1">
        <v>44106</v>
      </c>
      <c r="E610" t="s">
        <v>387</v>
      </c>
      <c r="F610">
        <v>1</v>
      </c>
      <c r="G610">
        <v>0</v>
      </c>
      <c r="H610">
        <v>4.4000000000000004</v>
      </c>
      <c r="I610">
        <v>2.4</v>
      </c>
      <c r="J610">
        <v>8.6</v>
      </c>
      <c r="K610">
        <f>(I610*J610)</f>
        <v>20.639999999999997</v>
      </c>
      <c r="L610" t="s">
        <v>784</v>
      </c>
    </row>
    <row r="611" spans="1:18" x14ac:dyDescent="0.2">
      <c r="F611">
        <v>1</v>
      </c>
      <c r="G611">
        <v>0</v>
      </c>
      <c r="H611">
        <v>8.4</v>
      </c>
      <c r="I611">
        <v>4.5999999999999996</v>
      </c>
      <c r="J611">
        <v>9.1</v>
      </c>
      <c r="K611">
        <f>(I611*J611)</f>
        <v>41.859999999999992</v>
      </c>
      <c r="L611" t="s">
        <v>785</v>
      </c>
    </row>
    <row r="612" spans="1:18" x14ac:dyDescent="0.2">
      <c r="F612">
        <v>1</v>
      </c>
      <c r="G612">
        <v>0</v>
      </c>
      <c r="H612">
        <v>8.9</v>
      </c>
      <c r="I612">
        <v>5.4</v>
      </c>
      <c r="J612">
        <v>22.3</v>
      </c>
      <c r="K612">
        <f>(I612*J612)</f>
        <v>120.42000000000002</v>
      </c>
      <c r="L612" t="s">
        <v>786</v>
      </c>
    </row>
    <row r="613" spans="1:18" x14ac:dyDescent="0.2">
      <c r="F613">
        <v>1</v>
      </c>
      <c r="G613">
        <v>0</v>
      </c>
      <c r="H613">
        <v>6.8</v>
      </c>
      <c r="I613">
        <v>3.9</v>
      </c>
      <c r="J613">
        <v>9.9</v>
      </c>
      <c r="K613">
        <f>(I613*J613)</f>
        <v>38.61</v>
      </c>
      <c r="L613" t="s">
        <v>787</v>
      </c>
    </row>
    <row r="614" spans="1:18" x14ac:dyDescent="0.2">
      <c r="F614">
        <v>1</v>
      </c>
      <c r="G614">
        <v>0</v>
      </c>
      <c r="H614">
        <v>10.5</v>
      </c>
      <c r="I614">
        <v>5.7</v>
      </c>
      <c r="J614">
        <v>110.5</v>
      </c>
      <c r="K614">
        <f>(I614*J614)</f>
        <v>629.85</v>
      </c>
      <c r="L614" t="s">
        <v>170</v>
      </c>
    </row>
    <row r="616" spans="1:18" x14ac:dyDescent="0.2">
      <c r="F616">
        <v>0</v>
      </c>
      <c r="G616">
        <v>1</v>
      </c>
      <c r="H616">
        <v>2.9</v>
      </c>
      <c r="I616">
        <v>2</v>
      </c>
      <c r="J616">
        <v>5.3</v>
      </c>
      <c r="K616">
        <f>(I616*J616)</f>
        <v>10.6</v>
      </c>
      <c r="L616" t="s">
        <v>501</v>
      </c>
    </row>
    <row r="617" spans="1:18" x14ac:dyDescent="0.2">
      <c r="F617">
        <v>0</v>
      </c>
      <c r="G617">
        <v>1</v>
      </c>
      <c r="H617">
        <v>2.8</v>
      </c>
      <c r="I617">
        <v>1.6</v>
      </c>
      <c r="J617">
        <v>7.8</v>
      </c>
      <c r="K617">
        <f>(I617*J617)</f>
        <v>12.48</v>
      </c>
      <c r="L617" t="s">
        <v>535</v>
      </c>
      <c r="M617">
        <v>1</v>
      </c>
      <c r="N617">
        <v>1</v>
      </c>
      <c r="P617">
        <v>1</v>
      </c>
      <c r="Q617">
        <v>3</v>
      </c>
      <c r="R617" s="1">
        <v>44092</v>
      </c>
    </row>
    <row r="619" spans="1:18" x14ac:dyDescent="0.2">
      <c r="A619">
        <v>84</v>
      </c>
      <c r="B619" t="s">
        <v>781</v>
      </c>
      <c r="C619" s="1">
        <v>22959</v>
      </c>
      <c r="D619" s="1">
        <v>44106</v>
      </c>
      <c r="E619" t="s">
        <v>13</v>
      </c>
      <c r="F619">
        <v>1</v>
      </c>
      <c r="G619">
        <v>0</v>
      </c>
      <c r="H619">
        <v>5.4</v>
      </c>
      <c r="I619">
        <v>3.6</v>
      </c>
      <c r="J619">
        <v>7.3</v>
      </c>
      <c r="K619">
        <f t="shared" ref="K619:K625" si="23">(I619*J619)</f>
        <v>26.28</v>
      </c>
      <c r="L619" t="s">
        <v>475</v>
      </c>
    </row>
    <row r="620" spans="1:18" x14ac:dyDescent="0.2">
      <c r="F620">
        <v>1</v>
      </c>
      <c r="G620">
        <v>0</v>
      </c>
      <c r="H620">
        <v>8.1</v>
      </c>
      <c r="I620">
        <v>4.7</v>
      </c>
      <c r="J620">
        <v>18.899999999999999</v>
      </c>
      <c r="K620">
        <f t="shared" si="23"/>
        <v>88.83</v>
      </c>
      <c r="L620" t="s">
        <v>567</v>
      </c>
    </row>
    <row r="621" spans="1:18" x14ac:dyDescent="0.2">
      <c r="F621">
        <v>1</v>
      </c>
      <c r="G621">
        <v>0</v>
      </c>
      <c r="H621">
        <v>5.6</v>
      </c>
      <c r="I621">
        <v>3.2</v>
      </c>
      <c r="J621">
        <v>15.2</v>
      </c>
      <c r="K621">
        <f t="shared" si="23"/>
        <v>48.64</v>
      </c>
      <c r="L621" t="s">
        <v>789</v>
      </c>
    </row>
    <row r="622" spans="1:18" x14ac:dyDescent="0.2">
      <c r="F622">
        <v>1</v>
      </c>
      <c r="G622">
        <v>0</v>
      </c>
      <c r="H622">
        <v>4.3</v>
      </c>
      <c r="I622">
        <v>2.7</v>
      </c>
      <c r="J622">
        <v>6.2</v>
      </c>
      <c r="K622">
        <f t="shared" si="23"/>
        <v>16.740000000000002</v>
      </c>
      <c r="L622" t="s">
        <v>790</v>
      </c>
    </row>
    <row r="623" spans="1:18" x14ac:dyDescent="0.2">
      <c r="F623">
        <v>1</v>
      </c>
      <c r="G623">
        <v>0</v>
      </c>
      <c r="H623">
        <v>5.6</v>
      </c>
      <c r="I623">
        <v>3.2</v>
      </c>
      <c r="J623">
        <v>15.2</v>
      </c>
      <c r="K623">
        <f t="shared" si="23"/>
        <v>48.64</v>
      </c>
      <c r="L623" t="s">
        <v>789</v>
      </c>
    </row>
    <row r="624" spans="1:18" x14ac:dyDescent="0.2">
      <c r="F624">
        <v>1</v>
      </c>
      <c r="G624">
        <v>0</v>
      </c>
      <c r="H624">
        <v>5</v>
      </c>
      <c r="I624">
        <v>2.8</v>
      </c>
      <c r="J624">
        <v>3.9</v>
      </c>
      <c r="K624">
        <f t="shared" si="23"/>
        <v>10.92</v>
      </c>
      <c r="L624" t="s">
        <v>791</v>
      </c>
    </row>
    <row r="625" spans="1:18" x14ac:dyDescent="0.2">
      <c r="F625">
        <v>1</v>
      </c>
      <c r="G625">
        <v>0</v>
      </c>
      <c r="H625">
        <v>4.2</v>
      </c>
      <c r="I625">
        <v>2.1</v>
      </c>
      <c r="J625">
        <v>2.2999999999999998</v>
      </c>
      <c r="K625">
        <f t="shared" si="23"/>
        <v>4.83</v>
      </c>
      <c r="L625" t="s">
        <v>792</v>
      </c>
    </row>
    <row r="628" spans="1:18" x14ac:dyDescent="0.2">
      <c r="F628">
        <v>0</v>
      </c>
      <c r="G628">
        <v>1</v>
      </c>
      <c r="H628">
        <v>3</v>
      </c>
      <c r="I628">
        <v>1.8</v>
      </c>
      <c r="J628">
        <v>3.4</v>
      </c>
      <c r="K628">
        <f>(I628*J628)</f>
        <v>6.12</v>
      </c>
      <c r="L628" t="s">
        <v>793</v>
      </c>
    </row>
    <row r="629" spans="1:18" x14ac:dyDescent="0.2">
      <c r="F629">
        <v>0</v>
      </c>
      <c r="G629">
        <v>1</v>
      </c>
      <c r="H629">
        <v>3.4</v>
      </c>
      <c r="I629">
        <v>2.6</v>
      </c>
      <c r="J629">
        <v>10.8</v>
      </c>
      <c r="K629">
        <f>(I629*J629)</f>
        <v>28.080000000000002</v>
      </c>
      <c r="L629" t="s">
        <v>788</v>
      </c>
    </row>
    <row r="630" spans="1:18" x14ac:dyDescent="0.2">
      <c r="F630">
        <v>0</v>
      </c>
      <c r="G630">
        <v>1</v>
      </c>
      <c r="H630">
        <v>2.9</v>
      </c>
      <c r="I630">
        <v>1.8</v>
      </c>
      <c r="J630">
        <v>3.4</v>
      </c>
      <c r="K630">
        <f>(I630*J630)</f>
        <v>6.12</v>
      </c>
      <c r="L630" t="s">
        <v>794</v>
      </c>
    </row>
    <row r="631" spans="1:18" x14ac:dyDescent="0.2">
      <c r="F631">
        <v>0</v>
      </c>
      <c r="G631">
        <v>1</v>
      </c>
      <c r="H631">
        <v>2.6</v>
      </c>
      <c r="I631">
        <v>1.6</v>
      </c>
      <c r="J631">
        <v>3.2</v>
      </c>
      <c r="K631">
        <f>(I631*J631)</f>
        <v>5.120000000000001</v>
      </c>
      <c r="L631" t="s">
        <v>795</v>
      </c>
    </row>
    <row r="632" spans="1:18" x14ac:dyDescent="0.2">
      <c r="F632">
        <v>0</v>
      </c>
      <c r="G632">
        <v>1</v>
      </c>
      <c r="H632">
        <v>3.1</v>
      </c>
      <c r="I632">
        <v>2.1</v>
      </c>
      <c r="J632">
        <v>6.4</v>
      </c>
      <c r="K632">
        <f>(I632*J632)</f>
        <v>13.440000000000001</v>
      </c>
      <c r="L632" t="s">
        <v>516</v>
      </c>
      <c r="P632">
        <v>1</v>
      </c>
      <c r="Q632">
        <v>1</v>
      </c>
      <c r="R632" s="1">
        <v>44084</v>
      </c>
    </row>
    <row r="635" spans="1:18" x14ac:dyDescent="0.2">
      <c r="A635">
        <v>85</v>
      </c>
      <c r="B635" t="s">
        <v>780</v>
      </c>
      <c r="C635" s="1">
        <v>21332</v>
      </c>
      <c r="D635" s="1">
        <v>44106</v>
      </c>
      <c r="E635" t="s">
        <v>387</v>
      </c>
      <c r="F635">
        <v>1</v>
      </c>
      <c r="G635">
        <v>0</v>
      </c>
      <c r="H635">
        <v>4.4000000000000004</v>
      </c>
      <c r="I635">
        <v>2.4</v>
      </c>
      <c r="J635">
        <v>30.7</v>
      </c>
      <c r="K635">
        <f t="shared" ref="K635:K642" si="24">(I635*J635)</f>
        <v>73.679999999999993</v>
      </c>
      <c r="L635" t="s">
        <v>106</v>
      </c>
    </row>
    <row r="636" spans="1:18" x14ac:dyDescent="0.2">
      <c r="F636">
        <v>1</v>
      </c>
      <c r="G636">
        <v>0</v>
      </c>
      <c r="H636">
        <v>3.6</v>
      </c>
      <c r="I636">
        <v>1.9</v>
      </c>
      <c r="J636">
        <v>29.3</v>
      </c>
      <c r="K636">
        <f t="shared" si="24"/>
        <v>55.67</v>
      </c>
      <c r="L636" t="s">
        <v>105</v>
      </c>
    </row>
    <row r="637" spans="1:18" x14ac:dyDescent="0.2">
      <c r="F637">
        <v>1</v>
      </c>
      <c r="G637">
        <v>0</v>
      </c>
      <c r="H637">
        <v>8.4</v>
      </c>
      <c r="I637">
        <v>4.5999999999999996</v>
      </c>
      <c r="J637">
        <v>9.1</v>
      </c>
      <c r="K637">
        <f t="shared" si="24"/>
        <v>41.859999999999992</v>
      </c>
      <c r="L637" t="s">
        <v>115</v>
      </c>
    </row>
    <row r="638" spans="1:18" x14ac:dyDescent="0.2">
      <c r="F638">
        <v>1</v>
      </c>
      <c r="G638">
        <v>0</v>
      </c>
      <c r="H638">
        <v>8.6</v>
      </c>
      <c r="I638">
        <v>5.0999999999999996</v>
      </c>
      <c r="J638">
        <v>12.5</v>
      </c>
      <c r="K638">
        <f t="shared" si="24"/>
        <v>63.749999999999993</v>
      </c>
      <c r="L638" t="s">
        <v>168</v>
      </c>
    </row>
    <row r="639" spans="1:18" x14ac:dyDescent="0.2">
      <c r="F639">
        <v>1</v>
      </c>
      <c r="G639">
        <v>0</v>
      </c>
      <c r="H639">
        <v>10.5</v>
      </c>
      <c r="I639">
        <v>5.7</v>
      </c>
      <c r="J639">
        <v>110.5</v>
      </c>
      <c r="K639">
        <f t="shared" si="24"/>
        <v>629.85</v>
      </c>
      <c r="L639" t="s">
        <v>170</v>
      </c>
    </row>
    <row r="641" spans="1:18" x14ac:dyDescent="0.2">
      <c r="F641">
        <v>0</v>
      </c>
      <c r="G641">
        <v>1</v>
      </c>
      <c r="H641">
        <v>1.9</v>
      </c>
      <c r="I641">
        <v>1.1000000000000001</v>
      </c>
      <c r="J641">
        <v>15.1</v>
      </c>
      <c r="K641">
        <f t="shared" si="24"/>
        <v>16.61</v>
      </c>
      <c r="L641" t="s">
        <v>107</v>
      </c>
    </row>
    <row r="642" spans="1:18" x14ac:dyDescent="0.2">
      <c r="F642">
        <v>0</v>
      </c>
      <c r="G642">
        <v>1</v>
      </c>
      <c r="H642">
        <v>2.6</v>
      </c>
      <c r="I642">
        <v>1.8</v>
      </c>
      <c r="J642">
        <v>1.7</v>
      </c>
      <c r="K642">
        <f t="shared" si="24"/>
        <v>3.06</v>
      </c>
      <c r="L642" t="s">
        <v>801</v>
      </c>
      <c r="M642">
        <v>1</v>
      </c>
      <c r="N642">
        <v>1</v>
      </c>
      <c r="P642">
        <v>1</v>
      </c>
      <c r="Q642">
        <v>3</v>
      </c>
      <c r="R642" s="1">
        <v>44092</v>
      </c>
    </row>
    <row r="644" spans="1:18" x14ac:dyDescent="0.2">
      <c r="A644">
        <v>86</v>
      </c>
      <c r="B644" t="s">
        <v>12</v>
      </c>
      <c r="C644" s="1">
        <v>23438</v>
      </c>
      <c r="D644" s="1">
        <v>43374</v>
      </c>
      <c r="E644" t="s">
        <v>447</v>
      </c>
      <c r="F644">
        <v>1</v>
      </c>
      <c r="G644">
        <v>0</v>
      </c>
      <c r="H644">
        <v>4.8</v>
      </c>
      <c r="I644">
        <v>2</v>
      </c>
      <c r="J644">
        <v>17.7</v>
      </c>
      <c r="K644">
        <f t="shared" ref="K644:K654" si="25">(I644*J644)</f>
        <v>35.4</v>
      </c>
      <c r="L644" t="s">
        <v>550</v>
      </c>
    </row>
    <row r="645" spans="1:18" x14ac:dyDescent="0.2">
      <c r="F645">
        <v>1</v>
      </c>
      <c r="G645">
        <v>0</v>
      </c>
      <c r="H645">
        <v>13.9</v>
      </c>
      <c r="I645">
        <v>7.2</v>
      </c>
      <c r="J645">
        <v>14.4</v>
      </c>
      <c r="K645">
        <f t="shared" si="25"/>
        <v>103.68</v>
      </c>
      <c r="L645" t="s">
        <v>516</v>
      </c>
    </row>
    <row r="646" spans="1:18" x14ac:dyDescent="0.2">
      <c r="F646">
        <v>1</v>
      </c>
      <c r="G646">
        <v>0</v>
      </c>
      <c r="H646">
        <v>10.199999999999999</v>
      </c>
      <c r="I646">
        <v>6</v>
      </c>
      <c r="J646">
        <v>0.9</v>
      </c>
      <c r="K646">
        <f t="shared" si="25"/>
        <v>5.4</v>
      </c>
      <c r="L646" t="s">
        <v>820</v>
      </c>
    </row>
    <row r="647" spans="1:18" x14ac:dyDescent="0.2">
      <c r="F647">
        <v>1</v>
      </c>
      <c r="G647">
        <v>0</v>
      </c>
      <c r="H647">
        <v>10</v>
      </c>
      <c r="I647">
        <v>5.3</v>
      </c>
      <c r="J647">
        <v>3</v>
      </c>
      <c r="K647">
        <f t="shared" si="25"/>
        <v>15.899999999999999</v>
      </c>
      <c r="L647" t="s">
        <v>591</v>
      </c>
    </row>
    <row r="648" spans="1:18" x14ac:dyDescent="0.2">
      <c r="F648">
        <v>1</v>
      </c>
      <c r="G648">
        <v>0</v>
      </c>
      <c r="H648">
        <v>10</v>
      </c>
      <c r="I648">
        <v>5</v>
      </c>
      <c r="J648">
        <v>3.9</v>
      </c>
      <c r="K648">
        <f t="shared" si="25"/>
        <v>19.5</v>
      </c>
      <c r="L648" t="s">
        <v>570</v>
      </c>
    </row>
    <row r="649" spans="1:18" x14ac:dyDescent="0.2">
      <c r="F649">
        <v>1</v>
      </c>
      <c r="G649">
        <v>0</v>
      </c>
      <c r="H649">
        <v>8.8000000000000007</v>
      </c>
      <c r="I649">
        <v>5.8</v>
      </c>
      <c r="J649">
        <v>2.1</v>
      </c>
      <c r="K649">
        <f t="shared" si="25"/>
        <v>12.18</v>
      </c>
      <c r="L649" t="s">
        <v>552</v>
      </c>
    </row>
    <row r="650" spans="1:18" x14ac:dyDescent="0.2">
      <c r="F650">
        <v>1</v>
      </c>
      <c r="G650">
        <v>0</v>
      </c>
      <c r="H650">
        <v>10.199999999999999</v>
      </c>
      <c r="I650">
        <v>6</v>
      </c>
      <c r="J650">
        <v>2.2999999999999998</v>
      </c>
      <c r="K650">
        <f t="shared" si="25"/>
        <v>13.799999999999999</v>
      </c>
      <c r="L650" t="s">
        <v>821</v>
      </c>
    </row>
    <row r="651" spans="1:18" x14ac:dyDescent="0.2">
      <c r="F651">
        <v>1</v>
      </c>
      <c r="G651">
        <v>0</v>
      </c>
      <c r="H651">
        <v>6.1</v>
      </c>
      <c r="I651">
        <v>3.6</v>
      </c>
      <c r="J651">
        <v>5.7</v>
      </c>
      <c r="K651">
        <f t="shared" si="25"/>
        <v>20.52</v>
      </c>
      <c r="L651" t="s">
        <v>789</v>
      </c>
    </row>
    <row r="652" spans="1:18" x14ac:dyDescent="0.2">
      <c r="F652">
        <v>1</v>
      </c>
      <c r="G652">
        <v>0</v>
      </c>
      <c r="H652">
        <v>8.4</v>
      </c>
      <c r="I652">
        <v>4.7</v>
      </c>
      <c r="J652">
        <v>3.1</v>
      </c>
      <c r="K652">
        <f t="shared" si="25"/>
        <v>14.57</v>
      </c>
      <c r="L652" t="s">
        <v>314</v>
      </c>
    </row>
    <row r="653" spans="1:18" x14ac:dyDescent="0.2">
      <c r="F653">
        <v>1</v>
      </c>
      <c r="G653">
        <v>0</v>
      </c>
      <c r="H653">
        <v>7.7</v>
      </c>
      <c r="I653">
        <v>4.4000000000000004</v>
      </c>
      <c r="J653">
        <v>1.7</v>
      </c>
      <c r="K653">
        <f t="shared" si="25"/>
        <v>7.48</v>
      </c>
      <c r="L653" t="s">
        <v>315</v>
      </c>
    </row>
    <row r="654" spans="1:18" x14ac:dyDescent="0.2">
      <c r="F654">
        <v>1</v>
      </c>
      <c r="G654">
        <v>0</v>
      </c>
      <c r="H654">
        <v>4.0999999999999996</v>
      </c>
      <c r="I654">
        <v>2.5</v>
      </c>
      <c r="J654">
        <v>1.1000000000000001</v>
      </c>
      <c r="K654">
        <f t="shared" si="25"/>
        <v>2.75</v>
      </c>
      <c r="L654" t="s">
        <v>823</v>
      </c>
    </row>
    <row r="656" spans="1:18" x14ac:dyDescent="0.2">
      <c r="F656">
        <v>0</v>
      </c>
      <c r="G656">
        <v>1</v>
      </c>
      <c r="H656">
        <v>3.2</v>
      </c>
      <c r="I656">
        <v>2.2000000000000002</v>
      </c>
      <c r="J656">
        <v>0.7</v>
      </c>
      <c r="K656">
        <f>(I656*J656)</f>
        <v>1.54</v>
      </c>
      <c r="L656" t="s">
        <v>822</v>
      </c>
      <c r="M656">
        <v>1</v>
      </c>
      <c r="N656">
        <v>1</v>
      </c>
      <c r="P656">
        <v>0</v>
      </c>
    </row>
    <row r="659" spans="1:18" x14ac:dyDescent="0.2">
      <c r="A659">
        <v>87</v>
      </c>
      <c r="B659" t="s">
        <v>782</v>
      </c>
      <c r="C659" s="1">
        <v>26584</v>
      </c>
      <c r="D659" s="1">
        <v>44109</v>
      </c>
      <c r="E659" t="s">
        <v>35</v>
      </c>
      <c r="F659">
        <v>1</v>
      </c>
      <c r="G659">
        <v>0</v>
      </c>
      <c r="H659">
        <v>4.5</v>
      </c>
      <c r="I659">
        <v>2.4</v>
      </c>
      <c r="J659">
        <v>19</v>
      </c>
      <c r="K659">
        <f t="shared" ref="K659:K731" si="26">(I659*J659)</f>
        <v>45.6</v>
      </c>
      <c r="L659" t="s">
        <v>802</v>
      </c>
    </row>
    <row r="660" spans="1:18" x14ac:dyDescent="0.2">
      <c r="F660">
        <v>1</v>
      </c>
      <c r="G660">
        <v>0</v>
      </c>
      <c r="H660">
        <v>4.5</v>
      </c>
      <c r="I660">
        <v>2.7</v>
      </c>
      <c r="J660">
        <v>22.7</v>
      </c>
      <c r="K660">
        <f t="shared" si="26"/>
        <v>61.29</v>
      </c>
      <c r="L660" t="s">
        <v>547</v>
      </c>
    </row>
    <row r="661" spans="1:18" x14ac:dyDescent="0.2">
      <c r="F661">
        <v>1</v>
      </c>
      <c r="G661">
        <v>0</v>
      </c>
      <c r="H661">
        <v>4.8</v>
      </c>
      <c r="I661">
        <v>2.8</v>
      </c>
      <c r="J661">
        <v>20.399999999999999</v>
      </c>
      <c r="K661">
        <f t="shared" si="26"/>
        <v>57.11999999999999</v>
      </c>
      <c r="L661" t="s">
        <v>571</v>
      </c>
    </row>
    <row r="662" spans="1:18" x14ac:dyDescent="0.2">
      <c r="F662">
        <v>1</v>
      </c>
      <c r="G662">
        <v>0</v>
      </c>
      <c r="H662">
        <v>4.2</v>
      </c>
      <c r="I662">
        <v>2.5</v>
      </c>
      <c r="J662">
        <v>7.2</v>
      </c>
      <c r="K662">
        <f t="shared" si="26"/>
        <v>18</v>
      </c>
      <c r="L662" t="s">
        <v>803</v>
      </c>
    </row>
    <row r="663" spans="1:18" x14ac:dyDescent="0.2">
      <c r="F663">
        <v>1</v>
      </c>
      <c r="G663">
        <v>0</v>
      </c>
      <c r="H663">
        <v>4.3</v>
      </c>
      <c r="I663">
        <v>2.2000000000000002</v>
      </c>
      <c r="J663">
        <v>23.8</v>
      </c>
      <c r="K663">
        <f t="shared" si="26"/>
        <v>52.360000000000007</v>
      </c>
      <c r="L663" t="s">
        <v>804</v>
      </c>
    </row>
    <row r="664" spans="1:18" x14ac:dyDescent="0.2">
      <c r="F664">
        <v>1</v>
      </c>
      <c r="G664">
        <v>0</v>
      </c>
      <c r="H664">
        <v>4.2</v>
      </c>
      <c r="I664">
        <v>2.2000000000000002</v>
      </c>
      <c r="J664">
        <v>23.8</v>
      </c>
      <c r="K664">
        <f t="shared" si="26"/>
        <v>52.360000000000007</v>
      </c>
      <c r="L664" t="s">
        <v>808</v>
      </c>
    </row>
    <row r="665" spans="1:18" x14ac:dyDescent="0.2">
      <c r="F665">
        <v>1</v>
      </c>
      <c r="G665">
        <v>0</v>
      </c>
      <c r="H665">
        <v>5.6</v>
      </c>
      <c r="I665">
        <v>3.4</v>
      </c>
      <c r="J665">
        <v>10.6</v>
      </c>
      <c r="K665">
        <f t="shared" si="26"/>
        <v>36.04</v>
      </c>
      <c r="L665" t="s">
        <v>805</v>
      </c>
    </row>
    <row r="666" spans="1:18" x14ac:dyDescent="0.2">
      <c r="F666">
        <v>1</v>
      </c>
      <c r="G666">
        <v>0</v>
      </c>
      <c r="H666">
        <v>5.6</v>
      </c>
      <c r="I666">
        <v>3.3</v>
      </c>
      <c r="J666">
        <v>20.8</v>
      </c>
      <c r="K666">
        <f t="shared" si="26"/>
        <v>68.64</v>
      </c>
      <c r="L666" t="s">
        <v>806</v>
      </c>
    </row>
    <row r="667" spans="1:18" x14ac:dyDescent="0.2">
      <c r="F667">
        <v>1</v>
      </c>
      <c r="G667">
        <v>0</v>
      </c>
      <c r="H667">
        <v>4.2</v>
      </c>
      <c r="I667">
        <v>2.5</v>
      </c>
      <c r="J667">
        <v>6.2</v>
      </c>
      <c r="K667">
        <f t="shared" si="26"/>
        <v>15.5</v>
      </c>
      <c r="L667" t="s">
        <v>807</v>
      </c>
    </row>
    <row r="669" spans="1:18" x14ac:dyDescent="0.2">
      <c r="F669">
        <v>0</v>
      </c>
      <c r="G669">
        <v>1</v>
      </c>
      <c r="H669">
        <v>2.8</v>
      </c>
      <c r="I669">
        <v>1.2</v>
      </c>
      <c r="J669">
        <v>2.6</v>
      </c>
      <c r="K669">
        <f t="shared" si="26"/>
        <v>3.12</v>
      </c>
      <c r="L669" t="s">
        <v>501</v>
      </c>
    </row>
    <row r="670" spans="1:18" x14ac:dyDescent="0.2">
      <c r="F670">
        <v>0</v>
      </c>
      <c r="G670">
        <v>1</v>
      </c>
      <c r="H670">
        <v>2.9</v>
      </c>
      <c r="I670">
        <v>1.3</v>
      </c>
      <c r="J670">
        <v>2.7</v>
      </c>
      <c r="K670">
        <f t="shared" si="26"/>
        <v>3.5100000000000002</v>
      </c>
      <c r="L670" t="s">
        <v>502</v>
      </c>
      <c r="M670">
        <v>1</v>
      </c>
      <c r="N670">
        <v>1</v>
      </c>
      <c r="P670">
        <v>1</v>
      </c>
      <c r="Q670">
        <v>6</v>
      </c>
      <c r="R670" s="1">
        <v>44148</v>
      </c>
    </row>
    <row r="672" spans="1:18" x14ac:dyDescent="0.2">
      <c r="A672">
        <v>88</v>
      </c>
      <c r="B672" t="s">
        <v>783</v>
      </c>
      <c r="C672" s="1">
        <v>27777</v>
      </c>
      <c r="D672" s="1">
        <v>44109</v>
      </c>
      <c r="E672" t="s">
        <v>35</v>
      </c>
      <c r="F672">
        <v>0</v>
      </c>
      <c r="G672">
        <v>1</v>
      </c>
      <c r="H672">
        <v>2.6</v>
      </c>
      <c r="I672">
        <v>1.8</v>
      </c>
      <c r="J672">
        <v>2.8</v>
      </c>
      <c r="K672">
        <f t="shared" si="26"/>
        <v>5.04</v>
      </c>
      <c r="L672" t="s">
        <v>501</v>
      </c>
    </row>
    <row r="673" spans="1:18" x14ac:dyDescent="0.2">
      <c r="F673">
        <v>0</v>
      </c>
      <c r="G673">
        <v>1</v>
      </c>
      <c r="H673">
        <v>2.4</v>
      </c>
      <c r="I673">
        <v>1.7</v>
      </c>
      <c r="J673">
        <v>1.6</v>
      </c>
      <c r="K673">
        <f t="shared" si="26"/>
        <v>2.72</v>
      </c>
      <c r="L673" t="s">
        <v>502</v>
      </c>
      <c r="M673">
        <v>1</v>
      </c>
      <c r="N673">
        <v>0</v>
      </c>
      <c r="P673">
        <v>0</v>
      </c>
    </row>
    <row r="675" spans="1:18" x14ac:dyDescent="0.2">
      <c r="A675">
        <v>89</v>
      </c>
      <c r="B675" t="s">
        <v>796</v>
      </c>
      <c r="C675" s="1">
        <v>21999</v>
      </c>
      <c r="D675" s="1">
        <v>44120</v>
      </c>
      <c r="E675" t="s">
        <v>13</v>
      </c>
      <c r="F675">
        <v>1</v>
      </c>
      <c r="G675">
        <v>0</v>
      </c>
      <c r="H675">
        <v>5.4</v>
      </c>
      <c r="I675">
        <v>3.2</v>
      </c>
      <c r="J675">
        <v>2.1</v>
      </c>
      <c r="K675">
        <f t="shared" si="26"/>
        <v>6.7200000000000006</v>
      </c>
      <c r="L675" t="s">
        <v>551</v>
      </c>
    </row>
    <row r="676" spans="1:18" x14ac:dyDescent="0.2">
      <c r="C676" s="1"/>
      <c r="D676" s="1"/>
      <c r="F676">
        <v>1</v>
      </c>
      <c r="G676">
        <v>0</v>
      </c>
      <c r="H676">
        <v>6.7</v>
      </c>
      <c r="I676">
        <v>3.7</v>
      </c>
      <c r="J676">
        <v>15.8</v>
      </c>
      <c r="K676">
        <f t="shared" si="26"/>
        <v>58.460000000000008</v>
      </c>
      <c r="L676" t="s">
        <v>819</v>
      </c>
    </row>
    <row r="678" spans="1:18" x14ac:dyDescent="0.2">
      <c r="F678">
        <v>0</v>
      </c>
      <c r="G678">
        <v>1</v>
      </c>
      <c r="H678">
        <v>3.8</v>
      </c>
      <c r="I678">
        <v>2.1</v>
      </c>
      <c r="J678">
        <v>32.799999999999997</v>
      </c>
      <c r="K678">
        <f t="shared" si="26"/>
        <v>68.88</v>
      </c>
      <c r="L678" t="s">
        <v>571</v>
      </c>
    </row>
    <row r="679" spans="1:18" x14ac:dyDescent="0.2">
      <c r="F679">
        <v>0</v>
      </c>
      <c r="G679">
        <v>1</v>
      </c>
      <c r="H679">
        <v>6.7</v>
      </c>
      <c r="I679">
        <v>3.7</v>
      </c>
      <c r="J679">
        <v>15.8</v>
      </c>
      <c r="K679">
        <f t="shared" si="26"/>
        <v>58.460000000000008</v>
      </c>
      <c r="L679" t="s">
        <v>809</v>
      </c>
      <c r="M679">
        <v>1</v>
      </c>
      <c r="N679">
        <v>1</v>
      </c>
      <c r="P679">
        <v>0</v>
      </c>
    </row>
    <row r="681" spans="1:18" x14ac:dyDescent="0.2">
      <c r="A681">
        <v>90</v>
      </c>
      <c r="B681" t="s">
        <v>797</v>
      </c>
      <c r="C681" s="1">
        <v>27568</v>
      </c>
      <c r="D681" s="1">
        <v>44123</v>
      </c>
      <c r="E681" t="s">
        <v>387</v>
      </c>
      <c r="F681">
        <v>1</v>
      </c>
      <c r="G681">
        <v>0</v>
      </c>
      <c r="H681">
        <v>3.7</v>
      </c>
      <c r="I681">
        <v>2.1</v>
      </c>
      <c r="J681">
        <v>5.2</v>
      </c>
      <c r="K681">
        <f t="shared" si="26"/>
        <v>10.920000000000002</v>
      </c>
      <c r="L681" t="s">
        <v>810</v>
      </c>
      <c r="M681">
        <v>0</v>
      </c>
      <c r="N681">
        <v>1</v>
      </c>
      <c r="P681">
        <v>0</v>
      </c>
    </row>
    <row r="683" spans="1:18" x14ac:dyDescent="0.2">
      <c r="A683">
        <v>91</v>
      </c>
      <c r="B683" t="s">
        <v>798</v>
      </c>
      <c r="C683" s="1">
        <v>24469</v>
      </c>
      <c r="D683" s="1">
        <v>44123</v>
      </c>
      <c r="E683" t="s">
        <v>387</v>
      </c>
      <c r="F683">
        <v>1</v>
      </c>
      <c r="G683">
        <v>0</v>
      </c>
      <c r="H683">
        <v>4.5</v>
      </c>
      <c r="I683">
        <v>3.2</v>
      </c>
      <c r="J683">
        <v>2.2000000000000002</v>
      </c>
      <c r="K683">
        <f t="shared" si="26"/>
        <v>7.0400000000000009</v>
      </c>
      <c r="L683" t="s">
        <v>811</v>
      </c>
    </row>
    <row r="684" spans="1:18" x14ac:dyDescent="0.2">
      <c r="F684">
        <v>1</v>
      </c>
      <c r="G684">
        <v>0</v>
      </c>
      <c r="H684">
        <v>5.2</v>
      </c>
      <c r="I684">
        <v>3</v>
      </c>
      <c r="J684">
        <v>3.9</v>
      </c>
      <c r="K684">
        <f t="shared" si="26"/>
        <v>11.7</v>
      </c>
      <c r="L684" t="s">
        <v>812</v>
      </c>
    </row>
    <row r="685" spans="1:18" x14ac:dyDescent="0.2">
      <c r="F685">
        <v>1</v>
      </c>
      <c r="G685">
        <v>0</v>
      </c>
      <c r="H685">
        <v>4.3</v>
      </c>
      <c r="I685">
        <v>3.8</v>
      </c>
      <c r="J685">
        <v>3.3</v>
      </c>
      <c r="K685">
        <f t="shared" si="26"/>
        <v>12.54</v>
      </c>
      <c r="L685" t="s">
        <v>813</v>
      </c>
    </row>
    <row r="686" spans="1:18" x14ac:dyDescent="0.2">
      <c r="F686">
        <v>1</v>
      </c>
      <c r="G686">
        <v>0</v>
      </c>
      <c r="H686">
        <v>4.0999999999999996</v>
      </c>
      <c r="I686">
        <v>2.5</v>
      </c>
      <c r="J686">
        <v>3.9</v>
      </c>
      <c r="K686">
        <f t="shared" si="26"/>
        <v>9.75</v>
      </c>
      <c r="L686" t="s">
        <v>1079</v>
      </c>
      <c r="M686">
        <v>0</v>
      </c>
      <c r="N686">
        <v>1</v>
      </c>
      <c r="P686">
        <v>1</v>
      </c>
      <c r="Q686">
        <v>3</v>
      </c>
      <c r="R686" s="1">
        <v>44006</v>
      </c>
    </row>
    <row r="688" spans="1:18" x14ac:dyDescent="0.2">
      <c r="A688">
        <v>92</v>
      </c>
      <c r="B688" t="s">
        <v>799</v>
      </c>
      <c r="C688" s="1">
        <v>21180</v>
      </c>
      <c r="D688" s="1">
        <v>44127</v>
      </c>
      <c r="E688" t="s">
        <v>387</v>
      </c>
      <c r="F688">
        <v>1</v>
      </c>
      <c r="G688">
        <v>0</v>
      </c>
      <c r="H688">
        <v>4.3</v>
      </c>
      <c r="I688">
        <v>3.4</v>
      </c>
      <c r="J688">
        <v>3.3</v>
      </c>
      <c r="K688">
        <f t="shared" si="26"/>
        <v>11.219999999999999</v>
      </c>
      <c r="L688" t="s">
        <v>814</v>
      </c>
    </row>
    <row r="689" spans="1:18" x14ac:dyDescent="0.2">
      <c r="F689">
        <v>1</v>
      </c>
      <c r="G689">
        <v>0</v>
      </c>
      <c r="H689">
        <v>4.5</v>
      </c>
      <c r="I689">
        <v>3.6</v>
      </c>
      <c r="J689">
        <v>3.2</v>
      </c>
      <c r="K689">
        <f t="shared" si="26"/>
        <v>11.520000000000001</v>
      </c>
      <c r="L689" t="s">
        <v>815</v>
      </c>
      <c r="M689">
        <v>0</v>
      </c>
      <c r="N689">
        <v>1</v>
      </c>
      <c r="P689">
        <v>1</v>
      </c>
      <c r="Q689">
        <v>3</v>
      </c>
      <c r="R689" s="1">
        <v>44018</v>
      </c>
    </row>
    <row r="690" spans="1:18" x14ac:dyDescent="0.2">
      <c r="D690" s="1"/>
    </row>
    <row r="691" spans="1:18" x14ac:dyDescent="0.2">
      <c r="A691">
        <v>93</v>
      </c>
      <c r="B691" t="s">
        <v>800</v>
      </c>
      <c r="C691" s="1">
        <v>32031</v>
      </c>
      <c r="D691" s="1">
        <v>44127</v>
      </c>
      <c r="E691" t="s">
        <v>35</v>
      </c>
      <c r="F691">
        <v>1</v>
      </c>
      <c r="G691">
        <v>0</v>
      </c>
      <c r="H691">
        <v>6.7</v>
      </c>
      <c r="I691">
        <v>3.6</v>
      </c>
      <c r="J691">
        <v>8</v>
      </c>
      <c r="K691">
        <f t="shared" si="26"/>
        <v>28.8</v>
      </c>
      <c r="L691" t="s">
        <v>795</v>
      </c>
    </row>
    <row r="692" spans="1:18" x14ac:dyDescent="0.2">
      <c r="F692">
        <v>1</v>
      </c>
      <c r="G692">
        <v>0</v>
      </c>
      <c r="H692">
        <v>5.0999999999999996</v>
      </c>
      <c r="I692">
        <v>2.9</v>
      </c>
      <c r="J692">
        <v>5.6</v>
      </c>
      <c r="K692">
        <f t="shared" si="26"/>
        <v>16.239999999999998</v>
      </c>
      <c r="L692" t="s">
        <v>816</v>
      </c>
    </row>
    <row r="693" spans="1:18" x14ac:dyDescent="0.2">
      <c r="F693">
        <v>1</v>
      </c>
      <c r="G693">
        <v>0</v>
      </c>
      <c r="H693">
        <v>6.3</v>
      </c>
      <c r="I693">
        <v>3.4</v>
      </c>
      <c r="J693">
        <v>29.6</v>
      </c>
      <c r="K693">
        <f t="shared" si="26"/>
        <v>100.64</v>
      </c>
      <c r="L693" t="s">
        <v>817</v>
      </c>
    </row>
    <row r="694" spans="1:18" x14ac:dyDescent="0.2">
      <c r="F694">
        <v>1</v>
      </c>
      <c r="G694">
        <v>0</v>
      </c>
      <c r="H694">
        <v>11.8</v>
      </c>
      <c r="I694">
        <v>6.3</v>
      </c>
      <c r="J694">
        <v>12.1</v>
      </c>
      <c r="K694">
        <f t="shared" si="26"/>
        <v>76.22999999999999</v>
      </c>
      <c r="L694" t="s">
        <v>477</v>
      </c>
    </row>
    <row r="695" spans="1:18" x14ac:dyDescent="0.2">
      <c r="F695">
        <v>1</v>
      </c>
      <c r="G695">
        <v>0</v>
      </c>
      <c r="H695">
        <v>10.5</v>
      </c>
      <c r="I695">
        <v>6</v>
      </c>
      <c r="J695">
        <v>35.9</v>
      </c>
      <c r="K695">
        <f t="shared" si="26"/>
        <v>215.39999999999998</v>
      </c>
      <c r="L695" t="s">
        <v>476</v>
      </c>
    </row>
    <row r="696" spans="1:18" x14ac:dyDescent="0.2">
      <c r="F696">
        <v>1</v>
      </c>
      <c r="G696">
        <v>0</v>
      </c>
      <c r="H696">
        <v>4.9000000000000004</v>
      </c>
      <c r="I696">
        <v>3.2</v>
      </c>
      <c r="J696">
        <v>8</v>
      </c>
      <c r="K696">
        <f t="shared" si="26"/>
        <v>25.6</v>
      </c>
      <c r="L696" t="s">
        <v>818</v>
      </c>
      <c r="M696">
        <v>0</v>
      </c>
      <c r="N696">
        <v>1</v>
      </c>
      <c r="P696">
        <v>1</v>
      </c>
      <c r="Q696">
        <v>3</v>
      </c>
      <c r="R696" s="1">
        <v>44084</v>
      </c>
    </row>
    <row r="698" spans="1:18" x14ac:dyDescent="0.2">
      <c r="A698">
        <v>94</v>
      </c>
      <c r="B698" t="s">
        <v>12</v>
      </c>
      <c r="C698" s="1">
        <v>23438</v>
      </c>
      <c r="D698" s="1">
        <v>43374</v>
      </c>
      <c r="E698" t="s">
        <v>13</v>
      </c>
      <c r="F698">
        <v>1</v>
      </c>
      <c r="G698">
        <v>0</v>
      </c>
      <c r="H698">
        <v>4.8</v>
      </c>
      <c r="I698">
        <v>2</v>
      </c>
      <c r="J698">
        <v>17.7</v>
      </c>
      <c r="K698">
        <f t="shared" si="26"/>
        <v>35.4</v>
      </c>
      <c r="L698" t="s">
        <v>550</v>
      </c>
    </row>
    <row r="699" spans="1:18" x14ac:dyDescent="0.2">
      <c r="F699">
        <v>1</v>
      </c>
      <c r="G699">
        <v>0</v>
      </c>
      <c r="H699">
        <v>13.9</v>
      </c>
      <c r="I699">
        <v>7.2</v>
      </c>
      <c r="J699">
        <v>14.4</v>
      </c>
      <c r="K699">
        <f t="shared" si="26"/>
        <v>103.68</v>
      </c>
      <c r="L699" t="s">
        <v>516</v>
      </c>
    </row>
    <row r="700" spans="1:18" x14ac:dyDescent="0.2">
      <c r="F700">
        <v>1</v>
      </c>
      <c r="G700">
        <v>0</v>
      </c>
      <c r="H700">
        <v>10.199999999999999</v>
      </c>
      <c r="I700">
        <v>6</v>
      </c>
      <c r="J700">
        <v>0.9</v>
      </c>
      <c r="K700">
        <f t="shared" si="26"/>
        <v>5.4</v>
      </c>
      <c r="L700" t="s">
        <v>820</v>
      </c>
    </row>
    <row r="701" spans="1:18" x14ac:dyDescent="0.2">
      <c r="F701">
        <v>1</v>
      </c>
      <c r="G701">
        <v>0</v>
      </c>
      <c r="H701">
        <v>10</v>
      </c>
      <c r="I701">
        <v>5.3</v>
      </c>
      <c r="J701">
        <v>3</v>
      </c>
      <c r="K701">
        <f t="shared" si="26"/>
        <v>15.899999999999999</v>
      </c>
      <c r="L701" t="s">
        <v>591</v>
      </c>
    </row>
    <row r="702" spans="1:18" x14ac:dyDescent="0.2">
      <c r="F702">
        <v>1</v>
      </c>
      <c r="G702">
        <v>0</v>
      </c>
      <c r="H702">
        <v>10</v>
      </c>
      <c r="I702">
        <v>5</v>
      </c>
      <c r="J702">
        <v>3.9</v>
      </c>
      <c r="K702">
        <f t="shared" si="26"/>
        <v>19.5</v>
      </c>
      <c r="L702" t="s">
        <v>570</v>
      </c>
    </row>
    <row r="703" spans="1:18" x14ac:dyDescent="0.2">
      <c r="F703">
        <v>1</v>
      </c>
      <c r="G703">
        <v>0</v>
      </c>
      <c r="H703">
        <v>8.8000000000000007</v>
      </c>
      <c r="I703">
        <v>5.8</v>
      </c>
      <c r="J703">
        <v>2.1</v>
      </c>
      <c r="K703">
        <f t="shared" si="26"/>
        <v>12.18</v>
      </c>
      <c r="L703" t="s">
        <v>552</v>
      </c>
    </row>
    <row r="704" spans="1:18" x14ac:dyDescent="0.2">
      <c r="F704">
        <v>1</v>
      </c>
      <c r="G704">
        <v>0</v>
      </c>
      <c r="H704">
        <v>10.199999999999999</v>
      </c>
      <c r="I704">
        <v>6</v>
      </c>
      <c r="J704">
        <v>2.2999999999999998</v>
      </c>
      <c r="K704">
        <f t="shared" si="26"/>
        <v>13.799999999999999</v>
      </c>
      <c r="L704" t="s">
        <v>821</v>
      </c>
    </row>
    <row r="705" spans="1:16" x14ac:dyDescent="0.2">
      <c r="F705">
        <v>1</v>
      </c>
      <c r="G705">
        <v>0</v>
      </c>
      <c r="H705">
        <v>6.1</v>
      </c>
      <c r="I705">
        <v>3.6</v>
      </c>
      <c r="J705">
        <v>5.7</v>
      </c>
      <c r="K705">
        <f t="shared" si="26"/>
        <v>20.52</v>
      </c>
      <c r="L705" t="s">
        <v>789</v>
      </c>
    </row>
    <row r="706" spans="1:16" x14ac:dyDescent="0.2">
      <c r="F706">
        <v>1</v>
      </c>
      <c r="G706">
        <v>0</v>
      </c>
      <c r="H706">
        <v>8.4</v>
      </c>
      <c r="I706">
        <v>4.7</v>
      </c>
      <c r="J706">
        <v>3.1</v>
      </c>
      <c r="K706">
        <f t="shared" si="26"/>
        <v>14.57</v>
      </c>
      <c r="L706" t="s">
        <v>314</v>
      </c>
    </row>
    <row r="707" spans="1:16" x14ac:dyDescent="0.2">
      <c r="F707">
        <v>1</v>
      </c>
      <c r="G707">
        <v>0</v>
      </c>
      <c r="H707">
        <v>7.7</v>
      </c>
      <c r="I707">
        <v>4.4000000000000004</v>
      </c>
      <c r="J707">
        <v>1.7</v>
      </c>
      <c r="K707">
        <f t="shared" si="26"/>
        <v>7.48</v>
      </c>
      <c r="L707" t="s">
        <v>315</v>
      </c>
    </row>
    <row r="708" spans="1:16" x14ac:dyDescent="0.2">
      <c r="F708">
        <v>1</v>
      </c>
      <c r="G708">
        <v>0</v>
      </c>
      <c r="H708">
        <v>4.0999999999999996</v>
      </c>
      <c r="I708">
        <v>2.5</v>
      </c>
      <c r="J708">
        <v>1.1000000000000001</v>
      </c>
      <c r="K708">
        <f t="shared" si="26"/>
        <v>2.75</v>
      </c>
      <c r="L708" t="s">
        <v>823</v>
      </c>
    </row>
    <row r="710" spans="1:16" x14ac:dyDescent="0.2">
      <c r="F710">
        <v>0</v>
      </c>
      <c r="G710">
        <v>1</v>
      </c>
      <c r="H710">
        <v>3.2</v>
      </c>
      <c r="I710">
        <v>2.2000000000000002</v>
      </c>
      <c r="J710">
        <v>0.7</v>
      </c>
      <c r="K710">
        <f t="shared" si="26"/>
        <v>1.54</v>
      </c>
      <c r="L710" t="s">
        <v>822</v>
      </c>
      <c r="M710">
        <v>1</v>
      </c>
      <c r="N710">
        <v>1</v>
      </c>
      <c r="P710">
        <v>0</v>
      </c>
    </row>
    <row r="712" spans="1:16" x14ac:dyDescent="0.2">
      <c r="A712">
        <v>95</v>
      </c>
      <c r="B712" s="17" t="s">
        <v>404</v>
      </c>
      <c r="C712" s="1">
        <v>26611</v>
      </c>
      <c r="D712" s="1">
        <v>43941</v>
      </c>
      <c r="E712" t="s">
        <v>35</v>
      </c>
      <c r="F712">
        <v>1</v>
      </c>
      <c r="G712">
        <v>0</v>
      </c>
      <c r="H712">
        <v>4.0999999999999996</v>
      </c>
      <c r="I712">
        <v>2.2999999999999998</v>
      </c>
      <c r="J712">
        <v>4.9000000000000004</v>
      </c>
      <c r="K712">
        <f t="shared" si="26"/>
        <v>11.27</v>
      </c>
      <c r="L712" t="s">
        <v>833</v>
      </c>
    </row>
    <row r="713" spans="1:16" x14ac:dyDescent="0.2">
      <c r="F713">
        <v>1</v>
      </c>
      <c r="G713">
        <v>0</v>
      </c>
      <c r="H713">
        <v>5.2</v>
      </c>
      <c r="I713">
        <v>2.8</v>
      </c>
      <c r="J713">
        <v>59.8</v>
      </c>
      <c r="K713">
        <f t="shared" si="26"/>
        <v>167.43999999999997</v>
      </c>
      <c r="L713" t="s">
        <v>834</v>
      </c>
    </row>
    <row r="714" spans="1:16" x14ac:dyDescent="0.2">
      <c r="F714">
        <v>1</v>
      </c>
      <c r="G714">
        <v>0</v>
      </c>
      <c r="H714">
        <v>5.4</v>
      </c>
      <c r="I714">
        <v>3</v>
      </c>
      <c r="J714">
        <v>14.2</v>
      </c>
      <c r="K714">
        <f t="shared" si="26"/>
        <v>42.599999999999994</v>
      </c>
      <c r="L714" t="s">
        <v>835</v>
      </c>
    </row>
    <row r="715" spans="1:16" x14ac:dyDescent="0.2">
      <c r="F715">
        <v>1</v>
      </c>
      <c r="G715">
        <v>0</v>
      </c>
      <c r="H715">
        <v>6.1</v>
      </c>
      <c r="I715">
        <v>3.1</v>
      </c>
      <c r="J715">
        <v>13</v>
      </c>
      <c r="K715">
        <f t="shared" si="26"/>
        <v>40.300000000000004</v>
      </c>
      <c r="L715" t="s">
        <v>547</v>
      </c>
    </row>
    <row r="716" spans="1:16" x14ac:dyDescent="0.2">
      <c r="F716">
        <v>1</v>
      </c>
      <c r="G716">
        <v>0</v>
      </c>
      <c r="H716">
        <v>5.7</v>
      </c>
      <c r="I716">
        <v>3.4</v>
      </c>
      <c r="J716">
        <v>14.2</v>
      </c>
      <c r="K716">
        <f t="shared" si="26"/>
        <v>48.279999999999994</v>
      </c>
      <c r="L716" t="s">
        <v>571</v>
      </c>
    </row>
    <row r="717" spans="1:16" x14ac:dyDescent="0.2">
      <c r="F717">
        <v>1</v>
      </c>
      <c r="G717">
        <v>0</v>
      </c>
      <c r="H717">
        <v>10.9</v>
      </c>
      <c r="I717">
        <v>6</v>
      </c>
      <c r="J717">
        <v>11.6</v>
      </c>
      <c r="K717">
        <f t="shared" si="26"/>
        <v>69.599999999999994</v>
      </c>
      <c r="L717" t="s">
        <v>567</v>
      </c>
    </row>
    <row r="718" spans="1:16" x14ac:dyDescent="0.2">
      <c r="F718">
        <v>1</v>
      </c>
      <c r="G718">
        <v>0</v>
      </c>
      <c r="H718">
        <v>9.4</v>
      </c>
      <c r="I718">
        <v>5.5</v>
      </c>
      <c r="J718">
        <v>18.399999999999999</v>
      </c>
      <c r="K718">
        <f t="shared" si="26"/>
        <v>101.19999999999999</v>
      </c>
      <c r="L718" t="s">
        <v>837</v>
      </c>
    </row>
    <row r="719" spans="1:16" x14ac:dyDescent="0.2">
      <c r="F719">
        <v>1</v>
      </c>
      <c r="G719">
        <v>0</v>
      </c>
      <c r="H719">
        <v>7.8</v>
      </c>
      <c r="I719">
        <v>4.7</v>
      </c>
      <c r="J719">
        <v>3.7</v>
      </c>
      <c r="K719">
        <f t="shared" si="26"/>
        <v>17.39</v>
      </c>
      <c r="L719" t="s">
        <v>518</v>
      </c>
    </row>
    <row r="720" spans="1:16" x14ac:dyDescent="0.2">
      <c r="F720">
        <v>1</v>
      </c>
      <c r="G720">
        <v>0</v>
      </c>
      <c r="H720">
        <v>8</v>
      </c>
      <c r="I720">
        <v>5.6</v>
      </c>
      <c r="J720">
        <v>3.7</v>
      </c>
      <c r="K720">
        <f t="shared" si="26"/>
        <v>20.72</v>
      </c>
      <c r="L720" t="s">
        <v>838</v>
      </c>
    </row>
    <row r="721" spans="1:18" x14ac:dyDescent="0.2">
      <c r="F721">
        <v>1</v>
      </c>
      <c r="G721">
        <v>0</v>
      </c>
      <c r="H721">
        <v>7.9</v>
      </c>
      <c r="I721">
        <v>4.5</v>
      </c>
      <c r="J721">
        <v>3.3</v>
      </c>
      <c r="K721">
        <f t="shared" si="26"/>
        <v>14.85</v>
      </c>
      <c r="L721" t="s">
        <v>839</v>
      </c>
    </row>
    <row r="722" spans="1:18" x14ac:dyDescent="0.2">
      <c r="F722">
        <v>1</v>
      </c>
      <c r="G722">
        <v>0</v>
      </c>
      <c r="H722">
        <v>10.6</v>
      </c>
      <c r="I722">
        <v>6.1</v>
      </c>
      <c r="J722">
        <v>10.3</v>
      </c>
      <c r="K722">
        <f t="shared" si="26"/>
        <v>62.83</v>
      </c>
      <c r="L722" t="s">
        <v>789</v>
      </c>
    </row>
    <row r="723" spans="1:18" x14ac:dyDescent="0.2">
      <c r="F723">
        <v>1</v>
      </c>
      <c r="G723">
        <v>0</v>
      </c>
      <c r="H723">
        <v>8.3000000000000007</v>
      </c>
      <c r="I723">
        <v>5</v>
      </c>
      <c r="J723">
        <v>17.600000000000001</v>
      </c>
      <c r="K723">
        <f t="shared" si="26"/>
        <v>88</v>
      </c>
      <c r="L723" t="s">
        <v>840</v>
      </c>
    </row>
    <row r="724" spans="1:18" x14ac:dyDescent="0.2">
      <c r="F724">
        <v>1</v>
      </c>
      <c r="G724">
        <v>0</v>
      </c>
      <c r="H724">
        <v>10</v>
      </c>
      <c r="I724">
        <v>6.1</v>
      </c>
      <c r="J724">
        <v>5.4</v>
      </c>
      <c r="K724">
        <f t="shared" si="26"/>
        <v>32.94</v>
      </c>
      <c r="L724" t="s">
        <v>841</v>
      </c>
    </row>
    <row r="725" spans="1:18" x14ac:dyDescent="0.2">
      <c r="F725">
        <v>1</v>
      </c>
      <c r="G725">
        <v>0</v>
      </c>
      <c r="H725">
        <v>7.2</v>
      </c>
      <c r="I725">
        <v>4.4000000000000004</v>
      </c>
      <c r="J725">
        <v>2.2000000000000002</v>
      </c>
      <c r="K725">
        <f t="shared" si="26"/>
        <v>9.6800000000000015</v>
      </c>
      <c r="L725" t="s">
        <v>791</v>
      </c>
    </row>
    <row r="726" spans="1:18" x14ac:dyDescent="0.2">
      <c r="F726">
        <v>1</v>
      </c>
      <c r="G726">
        <v>0</v>
      </c>
      <c r="H726">
        <v>6.8</v>
      </c>
      <c r="I726">
        <v>4</v>
      </c>
      <c r="J726">
        <v>3.9</v>
      </c>
      <c r="K726">
        <f t="shared" si="26"/>
        <v>15.6</v>
      </c>
      <c r="L726" t="s">
        <v>519</v>
      </c>
    </row>
    <row r="728" spans="1:18" x14ac:dyDescent="0.2">
      <c r="F728">
        <v>0</v>
      </c>
      <c r="G728">
        <v>1</v>
      </c>
      <c r="H728">
        <v>2.7</v>
      </c>
      <c r="I728">
        <v>1.8</v>
      </c>
      <c r="J728">
        <v>11.6</v>
      </c>
      <c r="K728">
        <f t="shared" si="26"/>
        <v>20.88</v>
      </c>
      <c r="L728" t="s">
        <v>836</v>
      </c>
    </row>
    <row r="729" spans="1:18" x14ac:dyDescent="0.2">
      <c r="F729">
        <v>0</v>
      </c>
      <c r="G729">
        <v>1</v>
      </c>
      <c r="H729">
        <v>3</v>
      </c>
      <c r="I729">
        <v>1.7</v>
      </c>
      <c r="J729">
        <v>8.9</v>
      </c>
      <c r="K729">
        <f t="shared" si="26"/>
        <v>15.13</v>
      </c>
      <c r="L729" t="s">
        <v>502</v>
      </c>
      <c r="M729">
        <v>1</v>
      </c>
      <c r="N729">
        <v>1</v>
      </c>
      <c r="P729">
        <v>1</v>
      </c>
      <c r="Q729">
        <v>1</v>
      </c>
      <c r="R729" t="s">
        <v>1089</v>
      </c>
    </row>
    <row r="731" spans="1:18" x14ac:dyDescent="0.2">
      <c r="A731">
        <v>96</v>
      </c>
      <c r="B731" t="s">
        <v>407</v>
      </c>
      <c r="C731" s="1">
        <v>22680</v>
      </c>
      <c r="D731" s="1">
        <v>43990</v>
      </c>
      <c r="E731" t="s">
        <v>35</v>
      </c>
      <c r="F731">
        <v>1</v>
      </c>
      <c r="G731">
        <v>0</v>
      </c>
      <c r="H731">
        <v>5.3</v>
      </c>
      <c r="I731">
        <v>3.1</v>
      </c>
      <c r="J731">
        <v>11.7</v>
      </c>
      <c r="K731">
        <f t="shared" si="26"/>
        <v>36.269999999999996</v>
      </c>
      <c r="L731" t="s">
        <v>845</v>
      </c>
    </row>
    <row r="733" spans="1:18" x14ac:dyDescent="0.2">
      <c r="F733">
        <v>0</v>
      </c>
      <c r="G733">
        <v>1</v>
      </c>
      <c r="H733">
        <v>2.8</v>
      </c>
      <c r="I733">
        <v>1.7</v>
      </c>
      <c r="J733">
        <v>5.4</v>
      </c>
      <c r="K733">
        <f t="shared" ref="K733:K742" si="27">(I733*J733)</f>
        <v>9.18</v>
      </c>
      <c r="L733" t="s">
        <v>846</v>
      </c>
    </row>
    <row r="734" spans="1:18" x14ac:dyDescent="0.2">
      <c r="F734">
        <v>0</v>
      </c>
      <c r="G734">
        <v>1</v>
      </c>
      <c r="H734">
        <v>2.4</v>
      </c>
      <c r="I734">
        <v>1.3</v>
      </c>
      <c r="J734">
        <v>4.5</v>
      </c>
      <c r="K734">
        <f t="shared" si="27"/>
        <v>5.8500000000000005</v>
      </c>
      <c r="L734" t="s">
        <v>847</v>
      </c>
      <c r="M734">
        <v>1</v>
      </c>
      <c r="N734">
        <v>1</v>
      </c>
      <c r="P734">
        <v>1</v>
      </c>
      <c r="Q734">
        <v>1</v>
      </c>
      <c r="R734" s="1">
        <v>43976</v>
      </c>
    </row>
    <row r="736" spans="1:18" x14ac:dyDescent="0.2">
      <c r="A736">
        <v>97</v>
      </c>
      <c r="B736" t="s">
        <v>413</v>
      </c>
      <c r="C736" s="1">
        <v>35535</v>
      </c>
      <c r="D736" s="1">
        <v>44032</v>
      </c>
      <c r="E736" t="s">
        <v>387</v>
      </c>
      <c r="F736">
        <v>1</v>
      </c>
      <c r="G736">
        <v>0</v>
      </c>
      <c r="H736">
        <v>4.2</v>
      </c>
      <c r="I736">
        <v>2.1</v>
      </c>
      <c r="J736">
        <v>1.8</v>
      </c>
      <c r="K736">
        <f t="shared" si="27"/>
        <v>3.7800000000000002</v>
      </c>
      <c r="L736" t="s">
        <v>848</v>
      </c>
    </row>
    <row r="737" spans="1:18" x14ac:dyDescent="0.2">
      <c r="F737">
        <v>1</v>
      </c>
      <c r="G737">
        <v>0</v>
      </c>
      <c r="H737">
        <v>5.7</v>
      </c>
      <c r="I737">
        <v>3.3</v>
      </c>
      <c r="J737">
        <v>9.1</v>
      </c>
      <c r="K737">
        <f t="shared" si="27"/>
        <v>30.029999999999998</v>
      </c>
      <c r="L737" t="s">
        <v>435</v>
      </c>
      <c r="M737">
        <v>0</v>
      </c>
      <c r="N737">
        <v>1</v>
      </c>
      <c r="P737">
        <v>0</v>
      </c>
    </row>
    <row r="739" spans="1:18" x14ac:dyDescent="0.2">
      <c r="A739">
        <v>98</v>
      </c>
      <c r="B739" t="s">
        <v>849</v>
      </c>
      <c r="C739" s="1">
        <v>22275</v>
      </c>
      <c r="D739" s="1">
        <v>44137</v>
      </c>
      <c r="E739" t="s">
        <v>35</v>
      </c>
      <c r="F739">
        <v>1</v>
      </c>
      <c r="G739">
        <v>0</v>
      </c>
      <c r="H739">
        <v>4.5</v>
      </c>
      <c r="I739">
        <v>2.7</v>
      </c>
      <c r="J739">
        <v>11.2</v>
      </c>
      <c r="K739">
        <f t="shared" si="27"/>
        <v>30.24</v>
      </c>
      <c r="L739" t="s">
        <v>850</v>
      </c>
    </row>
    <row r="740" spans="1:18" x14ac:dyDescent="0.2">
      <c r="F740">
        <v>1</v>
      </c>
      <c r="G740">
        <v>0</v>
      </c>
      <c r="H740">
        <v>5.4</v>
      </c>
      <c r="I740">
        <v>3.1</v>
      </c>
      <c r="J740">
        <v>9.1</v>
      </c>
      <c r="K740">
        <f t="shared" si="27"/>
        <v>28.21</v>
      </c>
      <c r="L740" t="s">
        <v>851</v>
      </c>
    </row>
    <row r="741" spans="1:18" x14ac:dyDescent="0.2">
      <c r="F741">
        <v>1</v>
      </c>
      <c r="G741">
        <v>0</v>
      </c>
      <c r="H741">
        <v>5.3</v>
      </c>
      <c r="I741">
        <v>3.1</v>
      </c>
      <c r="J741">
        <v>27.3</v>
      </c>
      <c r="K741">
        <f t="shared" si="27"/>
        <v>84.63000000000001</v>
      </c>
      <c r="L741" t="s">
        <v>592</v>
      </c>
    </row>
    <row r="742" spans="1:18" x14ac:dyDescent="0.2">
      <c r="F742">
        <v>1</v>
      </c>
      <c r="G742">
        <v>0</v>
      </c>
      <c r="H742">
        <v>4.7</v>
      </c>
      <c r="I742">
        <v>2.9</v>
      </c>
      <c r="J742">
        <v>4.3</v>
      </c>
      <c r="K742">
        <f t="shared" si="27"/>
        <v>12.469999999999999</v>
      </c>
      <c r="L742" t="s">
        <v>791</v>
      </c>
    </row>
    <row r="744" spans="1:18" x14ac:dyDescent="0.2">
      <c r="F744">
        <v>0</v>
      </c>
      <c r="G744">
        <v>1</v>
      </c>
      <c r="H744">
        <v>2.8</v>
      </c>
      <c r="I744">
        <v>1.8</v>
      </c>
      <c r="J744">
        <v>2.5</v>
      </c>
      <c r="K744">
        <f t="shared" ref="K744:K769" si="28">(I744*J744)</f>
        <v>4.5</v>
      </c>
      <c r="L744" t="s">
        <v>464</v>
      </c>
    </row>
    <row r="745" spans="1:18" x14ac:dyDescent="0.2">
      <c r="F745">
        <v>0</v>
      </c>
      <c r="G745">
        <v>1</v>
      </c>
      <c r="H745">
        <v>2.8</v>
      </c>
      <c r="I745">
        <v>1.8</v>
      </c>
      <c r="J745">
        <v>2.6</v>
      </c>
      <c r="K745">
        <f t="shared" si="28"/>
        <v>4.6800000000000006</v>
      </c>
      <c r="L745" t="s">
        <v>503</v>
      </c>
      <c r="M745">
        <v>1</v>
      </c>
      <c r="N745">
        <v>1</v>
      </c>
      <c r="P745">
        <v>0</v>
      </c>
    </row>
    <row r="747" spans="1:18" x14ac:dyDescent="0.2">
      <c r="A747">
        <v>99</v>
      </c>
      <c r="B747" t="s">
        <v>853</v>
      </c>
      <c r="C747" s="1">
        <v>24503</v>
      </c>
      <c r="D747" s="1">
        <v>44144</v>
      </c>
      <c r="E747" t="s">
        <v>35</v>
      </c>
      <c r="F747">
        <v>1</v>
      </c>
      <c r="G747">
        <v>0</v>
      </c>
      <c r="H747">
        <v>5.4</v>
      </c>
      <c r="I747">
        <v>3.1</v>
      </c>
      <c r="J747">
        <v>9.6</v>
      </c>
      <c r="K747">
        <f t="shared" si="28"/>
        <v>29.759999999999998</v>
      </c>
      <c r="L747" t="s">
        <v>502</v>
      </c>
    </row>
    <row r="748" spans="1:18" x14ac:dyDescent="0.2">
      <c r="F748">
        <v>1</v>
      </c>
      <c r="G748">
        <v>0</v>
      </c>
      <c r="H748">
        <v>4.9000000000000004</v>
      </c>
      <c r="I748">
        <v>2.9</v>
      </c>
      <c r="J748">
        <v>3.5</v>
      </c>
      <c r="K748">
        <f t="shared" si="28"/>
        <v>10.15</v>
      </c>
      <c r="L748" t="s">
        <v>571</v>
      </c>
    </row>
    <row r="749" spans="1:18" x14ac:dyDescent="0.2">
      <c r="F749">
        <v>1</v>
      </c>
      <c r="G749">
        <v>0</v>
      </c>
      <c r="H749">
        <v>9.1</v>
      </c>
      <c r="I749">
        <v>5.4</v>
      </c>
      <c r="J749">
        <v>23.9</v>
      </c>
      <c r="K749">
        <f t="shared" si="28"/>
        <v>129.06</v>
      </c>
      <c r="L749" t="s">
        <v>854</v>
      </c>
    </row>
    <row r="750" spans="1:18" x14ac:dyDescent="0.2">
      <c r="F750">
        <v>1</v>
      </c>
      <c r="G750">
        <v>0</v>
      </c>
      <c r="H750">
        <v>6.7</v>
      </c>
      <c r="I750">
        <v>4</v>
      </c>
      <c r="J750">
        <v>14</v>
      </c>
      <c r="K750">
        <f t="shared" si="28"/>
        <v>56</v>
      </c>
      <c r="L750" t="s">
        <v>855</v>
      </c>
    </row>
    <row r="752" spans="1:18" x14ac:dyDescent="0.2">
      <c r="F752">
        <v>0</v>
      </c>
      <c r="G752">
        <v>1</v>
      </c>
      <c r="H752">
        <v>3.1</v>
      </c>
      <c r="I752">
        <v>2.1</v>
      </c>
      <c r="J752">
        <v>7</v>
      </c>
      <c r="K752">
        <f t="shared" si="28"/>
        <v>14.700000000000001</v>
      </c>
      <c r="L752" t="s">
        <v>550</v>
      </c>
      <c r="M752">
        <v>1</v>
      </c>
      <c r="N752">
        <v>1</v>
      </c>
      <c r="P752">
        <v>1</v>
      </c>
      <c r="Q752">
        <v>1.2</v>
      </c>
      <c r="R752" s="1">
        <v>44123</v>
      </c>
    </row>
    <row r="754" spans="1:18" x14ac:dyDescent="0.2">
      <c r="A754">
        <v>100</v>
      </c>
      <c r="B754" t="s">
        <v>856</v>
      </c>
      <c r="C754" s="1">
        <v>21626</v>
      </c>
      <c r="D754" s="1">
        <v>44148</v>
      </c>
      <c r="E754" t="s">
        <v>387</v>
      </c>
      <c r="F754">
        <v>1</v>
      </c>
      <c r="G754">
        <v>0</v>
      </c>
      <c r="H754">
        <v>4</v>
      </c>
      <c r="I754">
        <v>2.1</v>
      </c>
      <c r="J754">
        <v>14.4</v>
      </c>
      <c r="K754">
        <f t="shared" si="28"/>
        <v>30.240000000000002</v>
      </c>
      <c r="L754" t="s">
        <v>857</v>
      </c>
    </row>
    <row r="755" spans="1:18" x14ac:dyDescent="0.2">
      <c r="F755">
        <v>1</v>
      </c>
      <c r="G755">
        <v>0</v>
      </c>
      <c r="H755">
        <v>4</v>
      </c>
      <c r="I755">
        <v>2.1</v>
      </c>
      <c r="J755">
        <v>2.6</v>
      </c>
      <c r="K755">
        <f t="shared" si="28"/>
        <v>5.4600000000000009</v>
      </c>
      <c r="L755" t="s">
        <v>813</v>
      </c>
    </row>
    <row r="756" spans="1:18" x14ac:dyDescent="0.2">
      <c r="F756">
        <v>1</v>
      </c>
      <c r="G756">
        <v>0</v>
      </c>
      <c r="H756">
        <v>4.2</v>
      </c>
      <c r="I756">
        <v>2.4</v>
      </c>
      <c r="J756">
        <v>22.8</v>
      </c>
      <c r="K756">
        <f t="shared" si="28"/>
        <v>54.72</v>
      </c>
      <c r="L756" t="s">
        <v>858</v>
      </c>
    </row>
    <row r="758" spans="1:18" x14ac:dyDescent="0.2">
      <c r="F758">
        <v>0</v>
      </c>
      <c r="G758">
        <v>1</v>
      </c>
      <c r="H758">
        <v>3.3</v>
      </c>
      <c r="I758">
        <v>1.9</v>
      </c>
      <c r="J758">
        <v>16.8</v>
      </c>
      <c r="K758">
        <f t="shared" si="28"/>
        <v>31.919999999999998</v>
      </c>
      <c r="L758" t="s">
        <v>859</v>
      </c>
    </row>
    <row r="759" spans="1:18" x14ac:dyDescent="0.2">
      <c r="F759">
        <v>0</v>
      </c>
      <c r="G759">
        <v>1</v>
      </c>
      <c r="H759">
        <v>3.4</v>
      </c>
      <c r="I759">
        <v>2</v>
      </c>
      <c r="J759">
        <v>3.6</v>
      </c>
      <c r="K759">
        <f t="shared" si="28"/>
        <v>7.2</v>
      </c>
      <c r="L759" t="s">
        <v>544</v>
      </c>
      <c r="M759">
        <v>1</v>
      </c>
      <c r="N759">
        <v>1</v>
      </c>
      <c r="P759">
        <v>1</v>
      </c>
      <c r="Q759">
        <v>3</v>
      </c>
      <c r="R759" s="1">
        <v>43930</v>
      </c>
    </row>
    <row r="761" spans="1:18" x14ac:dyDescent="0.2">
      <c r="A761">
        <v>101</v>
      </c>
      <c r="B761" t="s">
        <v>860</v>
      </c>
      <c r="C761" s="1">
        <v>19170</v>
      </c>
      <c r="D761" s="1">
        <v>44148</v>
      </c>
      <c r="E761" t="s">
        <v>35</v>
      </c>
      <c r="F761">
        <v>1</v>
      </c>
      <c r="G761">
        <v>0</v>
      </c>
      <c r="H761">
        <v>5.7</v>
      </c>
      <c r="I761">
        <v>3.1</v>
      </c>
      <c r="J761">
        <v>16.2</v>
      </c>
      <c r="K761">
        <f t="shared" si="28"/>
        <v>50.22</v>
      </c>
      <c r="L761" t="s">
        <v>591</v>
      </c>
    </row>
    <row r="762" spans="1:18" x14ac:dyDescent="0.2">
      <c r="F762">
        <v>1</v>
      </c>
      <c r="G762">
        <v>0</v>
      </c>
      <c r="H762">
        <v>6.9</v>
      </c>
      <c r="I762">
        <v>4.0999999999999996</v>
      </c>
      <c r="J762">
        <v>7.9</v>
      </c>
      <c r="K762">
        <f t="shared" si="28"/>
        <v>32.39</v>
      </c>
      <c r="L762" t="s">
        <v>570</v>
      </c>
    </row>
    <row r="763" spans="1:18" x14ac:dyDescent="0.2">
      <c r="F763">
        <v>1</v>
      </c>
      <c r="G763">
        <v>0</v>
      </c>
      <c r="H763">
        <v>6.5</v>
      </c>
      <c r="I763">
        <v>3.4</v>
      </c>
      <c r="J763">
        <v>76.400000000000006</v>
      </c>
      <c r="K763">
        <f t="shared" si="28"/>
        <v>259.76</v>
      </c>
      <c r="L763" t="s">
        <v>516</v>
      </c>
    </row>
    <row r="765" spans="1:18" x14ac:dyDescent="0.2">
      <c r="F765">
        <v>0</v>
      </c>
      <c r="G765">
        <v>1</v>
      </c>
      <c r="H765">
        <v>3.4</v>
      </c>
      <c r="I765">
        <v>1.9</v>
      </c>
      <c r="J765">
        <v>18.2</v>
      </c>
      <c r="K765">
        <f t="shared" si="28"/>
        <v>34.58</v>
      </c>
      <c r="L765" t="s">
        <v>571</v>
      </c>
    </row>
    <row r="766" spans="1:18" x14ac:dyDescent="0.2">
      <c r="F766">
        <v>0</v>
      </c>
      <c r="G766">
        <v>1</v>
      </c>
      <c r="H766">
        <v>3.5</v>
      </c>
      <c r="I766">
        <v>2.2999999999999998</v>
      </c>
      <c r="J766">
        <v>9.4</v>
      </c>
      <c r="K766">
        <f t="shared" si="28"/>
        <v>21.619999999999997</v>
      </c>
      <c r="L766" t="s">
        <v>861</v>
      </c>
      <c r="M766">
        <v>1</v>
      </c>
      <c r="N766">
        <v>1</v>
      </c>
      <c r="P766">
        <v>1</v>
      </c>
      <c r="Q766">
        <v>2</v>
      </c>
      <c r="R766" s="1">
        <v>44154</v>
      </c>
    </row>
    <row r="768" spans="1:18" x14ac:dyDescent="0.2">
      <c r="A768">
        <v>102</v>
      </c>
      <c r="B768" t="s">
        <v>986</v>
      </c>
      <c r="C768" s="1">
        <v>28867</v>
      </c>
      <c r="D768" s="1">
        <v>44155</v>
      </c>
      <c r="E768" t="s">
        <v>387</v>
      </c>
      <c r="F768">
        <v>0</v>
      </c>
      <c r="G768">
        <v>1</v>
      </c>
      <c r="H768">
        <v>1.4</v>
      </c>
      <c r="I768">
        <v>0.8</v>
      </c>
      <c r="J768">
        <v>0.8</v>
      </c>
      <c r="K768">
        <f t="shared" si="28"/>
        <v>0.64000000000000012</v>
      </c>
      <c r="L768" t="s">
        <v>501</v>
      </c>
    </row>
    <row r="769" spans="1:18" x14ac:dyDescent="0.2">
      <c r="F769">
        <v>0</v>
      </c>
      <c r="G769">
        <v>1</v>
      </c>
      <c r="H769">
        <v>1.6</v>
      </c>
      <c r="I769">
        <v>0.9</v>
      </c>
      <c r="J769">
        <v>0.8</v>
      </c>
      <c r="K769">
        <f t="shared" si="28"/>
        <v>0.72000000000000008</v>
      </c>
      <c r="L769" t="s">
        <v>502</v>
      </c>
      <c r="M769">
        <v>1</v>
      </c>
      <c r="N769">
        <v>0</v>
      </c>
      <c r="P769">
        <v>0</v>
      </c>
    </row>
    <row r="771" spans="1:18" x14ac:dyDescent="0.2">
      <c r="A771">
        <v>103</v>
      </c>
      <c r="B771" t="s">
        <v>989</v>
      </c>
      <c r="C771" s="1">
        <v>23518</v>
      </c>
      <c r="D771" s="1">
        <v>44162</v>
      </c>
      <c r="E771" t="s">
        <v>35</v>
      </c>
      <c r="F771">
        <v>0</v>
      </c>
      <c r="G771">
        <v>1</v>
      </c>
      <c r="H771">
        <v>2.8</v>
      </c>
      <c r="I771">
        <v>1.9</v>
      </c>
      <c r="J771">
        <v>18.3</v>
      </c>
      <c r="K771">
        <f t="shared" ref="K771:K836" si="29">(I771*J771)</f>
        <v>34.770000000000003</v>
      </c>
      <c r="L771" t="s">
        <v>502</v>
      </c>
    </row>
    <row r="772" spans="1:18" x14ac:dyDescent="0.2">
      <c r="F772">
        <v>0</v>
      </c>
      <c r="G772">
        <v>1</v>
      </c>
      <c r="H772">
        <v>2.7</v>
      </c>
      <c r="I772">
        <v>2.2999999999999998</v>
      </c>
      <c r="J772">
        <v>23.4</v>
      </c>
      <c r="K772">
        <f t="shared" si="29"/>
        <v>53.819999999999993</v>
      </c>
      <c r="L772" t="s">
        <v>997</v>
      </c>
    </row>
    <row r="773" spans="1:18" x14ac:dyDescent="0.2">
      <c r="F773">
        <v>0</v>
      </c>
      <c r="G773">
        <v>1</v>
      </c>
      <c r="H773">
        <v>2.8</v>
      </c>
      <c r="I773">
        <v>1.9</v>
      </c>
      <c r="J773">
        <v>32.700000000000003</v>
      </c>
      <c r="K773">
        <f t="shared" si="29"/>
        <v>62.13</v>
      </c>
      <c r="L773" t="s">
        <v>476</v>
      </c>
    </row>
    <row r="774" spans="1:18" x14ac:dyDescent="0.2">
      <c r="F774">
        <v>0</v>
      </c>
      <c r="G774">
        <v>1</v>
      </c>
      <c r="H774">
        <v>2.7</v>
      </c>
      <c r="I774">
        <v>1.8</v>
      </c>
      <c r="J774">
        <v>17.600000000000001</v>
      </c>
      <c r="K774">
        <f t="shared" si="29"/>
        <v>31.680000000000003</v>
      </c>
      <c r="L774" t="s">
        <v>998</v>
      </c>
    </row>
    <row r="775" spans="1:18" x14ac:dyDescent="0.2">
      <c r="F775">
        <v>0</v>
      </c>
      <c r="G775">
        <v>1</v>
      </c>
      <c r="H775">
        <v>3.7</v>
      </c>
      <c r="I775">
        <v>2.8</v>
      </c>
      <c r="J775">
        <v>16.399999999999999</v>
      </c>
      <c r="K775">
        <f t="shared" si="29"/>
        <v>45.919999999999995</v>
      </c>
      <c r="L775" t="s">
        <v>771</v>
      </c>
    </row>
    <row r="776" spans="1:18" x14ac:dyDescent="0.2">
      <c r="F776">
        <v>0</v>
      </c>
      <c r="G776">
        <v>1</v>
      </c>
      <c r="H776">
        <v>3.9</v>
      </c>
      <c r="I776">
        <v>2.7</v>
      </c>
      <c r="J776">
        <v>4.4000000000000004</v>
      </c>
      <c r="K776">
        <f t="shared" si="29"/>
        <v>11.880000000000003</v>
      </c>
      <c r="L776" t="s">
        <v>999</v>
      </c>
    </row>
    <row r="777" spans="1:18" x14ac:dyDescent="0.2">
      <c r="F777">
        <v>0</v>
      </c>
      <c r="G777">
        <v>1</v>
      </c>
      <c r="H777">
        <v>3</v>
      </c>
      <c r="I777">
        <v>2.1</v>
      </c>
      <c r="J777">
        <v>1.5</v>
      </c>
      <c r="K777">
        <f t="shared" si="29"/>
        <v>3.1500000000000004</v>
      </c>
      <c r="L777" t="s">
        <v>1000</v>
      </c>
      <c r="M777">
        <v>1</v>
      </c>
      <c r="N777">
        <v>0</v>
      </c>
      <c r="P777">
        <v>0</v>
      </c>
    </row>
    <row r="779" spans="1:18" x14ac:dyDescent="0.2">
      <c r="A779">
        <v>104</v>
      </c>
      <c r="B779" t="s">
        <v>888</v>
      </c>
      <c r="C779" s="1">
        <v>34047</v>
      </c>
      <c r="D779" s="1">
        <v>44053</v>
      </c>
      <c r="E779" t="s">
        <v>387</v>
      </c>
      <c r="F779">
        <v>1</v>
      </c>
      <c r="G779">
        <v>0</v>
      </c>
      <c r="H779">
        <v>4.3</v>
      </c>
      <c r="I779">
        <v>3.2</v>
      </c>
      <c r="J779">
        <v>2.2000000000000002</v>
      </c>
      <c r="K779">
        <f t="shared" si="29"/>
        <v>7.0400000000000009</v>
      </c>
      <c r="L779" t="s">
        <v>1001</v>
      </c>
    </row>
    <row r="780" spans="1:18" x14ac:dyDescent="0.2">
      <c r="F780">
        <v>1</v>
      </c>
      <c r="G780">
        <v>0</v>
      </c>
      <c r="H780">
        <v>4.2</v>
      </c>
      <c r="I780">
        <v>3.1</v>
      </c>
      <c r="J780">
        <v>2.1</v>
      </c>
      <c r="K780">
        <f t="shared" si="29"/>
        <v>6.5100000000000007</v>
      </c>
      <c r="L780" t="s">
        <v>1002</v>
      </c>
    </row>
    <row r="781" spans="1:18" x14ac:dyDescent="0.2">
      <c r="F781">
        <v>1</v>
      </c>
      <c r="G781">
        <v>0</v>
      </c>
      <c r="H781">
        <v>4.0999999999999996</v>
      </c>
      <c r="I781">
        <v>3</v>
      </c>
      <c r="J781">
        <v>2</v>
      </c>
      <c r="K781">
        <f t="shared" si="29"/>
        <v>6</v>
      </c>
      <c r="L781" t="s">
        <v>1003</v>
      </c>
    </row>
    <row r="782" spans="1:18" x14ac:dyDescent="0.2">
      <c r="F782">
        <v>1</v>
      </c>
      <c r="G782">
        <v>0</v>
      </c>
      <c r="H782">
        <v>4.4000000000000004</v>
      </c>
      <c r="I782">
        <v>2.2999999999999998</v>
      </c>
      <c r="J782">
        <v>10.8</v>
      </c>
      <c r="K782">
        <f t="shared" si="29"/>
        <v>24.84</v>
      </c>
      <c r="L782" t="s">
        <v>191</v>
      </c>
      <c r="M782">
        <v>0</v>
      </c>
      <c r="N782">
        <v>1</v>
      </c>
      <c r="P782">
        <v>1</v>
      </c>
      <c r="Q782">
        <v>3</v>
      </c>
      <c r="R782" s="1">
        <v>44097</v>
      </c>
    </row>
    <row r="784" spans="1:18" x14ac:dyDescent="0.2">
      <c r="A784">
        <v>105</v>
      </c>
      <c r="B784" t="s">
        <v>990</v>
      </c>
      <c r="C784" s="1">
        <v>30626</v>
      </c>
      <c r="D784" s="1">
        <v>44169</v>
      </c>
      <c r="E784" t="s">
        <v>13</v>
      </c>
      <c r="F784">
        <v>1</v>
      </c>
      <c r="G784">
        <v>0</v>
      </c>
      <c r="H784">
        <v>11.4</v>
      </c>
      <c r="I784">
        <v>6.1</v>
      </c>
      <c r="J784">
        <v>57.5</v>
      </c>
      <c r="K784">
        <f t="shared" si="29"/>
        <v>350.75</v>
      </c>
      <c r="L784" t="s">
        <v>516</v>
      </c>
    </row>
    <row r="785" spans="1:18" x14ac:dyDescent="0.2">
      <c r="F785">
        <v>1</v>
      </c>
      <c r="G785">
        <v>0</v>
      </c>
      <c r="H785">
        <v>10.5</v>
      </c>
      <c r="I785">
        <v>5.6</v>
      </c>
      <c r="J785">
        <v>54.9</v>
      </c>
      <c r="K785">
        <f t="shared" si="29"/>
        <v>307.44</v>
      </c>
      <c r="L785" t="s">
        <v>544</v>
      </c>
    </row>
    <row r="786" spans="1:18" x14ac:dyDescent="0.2">
      <c r="F786">
        <v>1</v>
      </c>
      <c r="G786">
        <v>0</v>
      </c>
      <c r="H786">
        <v>7.6</v>
      </c>
      <c r="I786">
        <v>4.5</v>
      </c>
      <c r="J786">
        <v>13.5</v>
      </c>
      <c r="K786">
        <f t="shared" si="29"/>
        <v>60.75</v>
      </c>
      <c r="L786" t="s">
        <v>1004</v>
      </c>
    </row>
    <row r="787" spans="1:18" x14ac:dyDescent="0.2">
      <c r="F787">
        <v>1</v>
      </c>
      <c r="G787">
        <v>0</v>
      </c>
      <c r="H787">
        <v>4.0999999999999996</v>
      </c>
      <c r="I787">
        <v>2.2999999999999998</v>
      </c>
      <c r="J787">
        <v>2.1</v>
      </c>
      <c r="K787">
        <f t="shared" si="29"/>
        <v>4.83</v>
      </c>
      <c r="L787" t="s">
        <v>1005</v>
      </c>
    </row>
    <row r="788" spans="1:18" x14ac:dyDescent="0.2">
      <c r="F788">
        <v>1</v>
      </c>
      <c r="G788">
        <v>0</v>
      </c>
      <c r="H788">
        <v>5.9</v>
      </c>
      <c r="I788">
        <v>3.3</v>
      </c>
      <c r="J788">
        <v>13.9</v>
      </c>
      <c r="K788">
        <f t="shared" si="29"/>
        <v>45.87</v>
      </c>
      <c r="L788" t="s">
        <v>1006</v>
      </c>
    </row>
    <row r="790" spans="1:18" x14ac:dyDescent="0.2">
      <c r="F790">
        <v>0</v>
      </c>
      <c r="G790">
        <v>1</v>
      </c>
      <c r="H790">
        <v>2.9</v>
      </c>
      <c r="I790">
        <v>1.7</v>
      </c>
      <c r="J790">
        <v>3.5</v>
      </c>
      <c r="K790">
        <f t="shared" si="29"/>
        <v>5.95</v>
      </c>
      <c r="L790" t="s">
        <v>553</v>
      </c>
    </row>
    <row r="791" spans="1:18" x14ac:dyDescent="0.2">
      <c r="F791">
        <v>0</v>
      </c>
      <c r="G791">
        <v>1</v>
      </c>
      <c r="H791">
        <v>2.1</v>
      </c>
      <c r="I791">
        <v>1</v>
      </c>
      <c r="J791">
        <v>1.6</v>
      </c>
      <c r="K791">
        <f t="shared" si="29"/>
        <v>1.6</v>
      </c>
      <c r="L791" t="s">
        <v>501</v>
      </c>
      <c r="M791">
        <v>1</v>
      </c>
      <c r="N791">
        <v>1</v>
      </c>
      <c r="P791">
        <v>0</v>
      </c>
    </row>
    <row r="793" spans="1:18" x14ac:dyDescent="0.2">
      <c r="A793">
        <v>106</v>
      </c>
      <c r="B793" t="s">
        <v>991</v>
      </c>
      <c r="C793" s="1">
        <v>23140</v>
      </c>
      <c r="D793" s="1">
        <v>44172</v>
      </c>
      <c r="E793" t="s">
        <v>387</v>
      </c>
      <c r="F793">
        <v>1</v>
      </c>
      <c r="G793">
        <v>0</v>
      </c>
      <c r="H793">
        <v>4.3</v>
      </c>
      <c r="I793">
        <v>2.1</v>
      </c>
      <c r="J793">
        <v>11.5</v>
      </c>
      <c r="K793">
        <f t="shared" si="29"/>
        <v>24.150000000000002</v>
      </c>
      <c r="L793" t="s">
        <v>1007</v>
      </c>
    </row>
    <row r="794" spans="1:18" x14ac:dyDescent="0.2">
      <c r="F794">
        <v>1</v>
      </c>
      <c r="G794">
        <v>0</v>
      </c>
      <c r="H794">
        <v>5</v>
      </c>
      <c r="I794">
        <v>2.8</v>
      </c>
      <c r="J794">
        <v>17.8</v>
      </c>
      <c r="K794">
        <f t="shared" si="29"/>
        <v>49.839999999999996</v>
      </c>
      <c r="L794" t="s">
        <v>1008</v>
      </c>
    </row>
    <row r="795" spans="1:18" x14ac:dyDescent="0.2">
      <c r="F795">
        <v>1</v>
      </c>
      <c r="G795">
        <v>0</v>
      </c>
      <c r="H795">
        <v>5.0999999999999996</v>
      </c>
      <c r="I795">
        <v>3</v>
      </c>
      <c r="J795">
        <v>53.5</v>
      </c>
      <c r="K795">
        <f t="shared" si="29"/>
        <v>160.5</v>
      </c>
      <c r="L795" t="s">
        <v>1009</v>
      </c>
    </row>
    <row r="796" spans="1:18" x14ac:dyDescent="0.2">
      <c r="F796">
        <v>1</v>
      </c>
      <c r="G796">
        <v>0</v>
      </c>
      <c r="H796">
        <v>5.3</v>
      </c>
      <c r="I796">
        <v>3.3</v>
      </c>
      <c r="J796">
        <v>5.6</v>
      </c>
      <c r="K796">
        <f t="shared" si="29"/>
        <v>18.479999999999997</v>
      </c>
      <c r="L796" t="s">
        <v>1010</v>
      </c>
    </row>
    <row r="798" spans="1:18" x14ac:dyDescent="0.2">
      <c r="F798">
        <v>0</v>
      </c>
      <c r="G798">
        <v>1</v>
      </c>
      <c r="H798">
        <v>2.7</v>
      </c>
      <c r="I798">
        <v>1.8</v>
      </c>
      <c r="J798">
        <v>19.3</v>
      </c>
      <c r="K798">
        <f t="shared" si="29"/>
        <v>34.74</v>
      </c>
      <c r="L798" t="s">
        <v>1011</v>
      </c>
      <c r="M798">
        <v>1</v>
      </c>
      <c r="N798">
        <v>1</v>
      </c>
      <c r="P798">
        <v>1</v>
      </c>
      <c r="Q798">
        <v>3</v>
      </c>
      <c r="R798" s="1">
        <v>44125</v>
      </c>
    </row>
    <row r="800" spans="1:18" x14ac:dyDescent="0.2">
      <c r="A800">
        <v>107</v>
      </c>
      <c r="B800" t="s">
        <v>992</v>
      </c>
      <c r="C800" s="1">
        <v>18446</v>
      </c>
      <c r="D800" s="1">
        <v>44172</v>
      </c>
      <c r="E800" t="s">
        <v>35</v>
      </c>
      <c r="F800">
        <v>0</v>
      </c>
      <c r="G800">
        <v>1</v>
      </c>
      <c r="H800">
        <v>3.7</v>
      </c>
      <c r="I800">
        <v>1.8</v>
      </c>
      <c r="J800">
        <v>14.3</v>
      </c>
      <c r="K800">
        <f t="shared" si="29"/>
        <v>25.740000000000002</v>
      </c>
      <c r="L800" t="s">
        <v>502</v>
      </c>
    </row>
    <row r="801" spans="1:18" x14ac:dyDescent="0.2">
      <c r="F801">
        <v>0</v>
      </c>
      <c r="G801">
        <v>1</v>
      </c>
      <c r="H801">
        <v>3.4</v>
      </c>
      <c r="I801">
        <v>2</v>
      </c>
      <c r="J801">
        <v>5.5</v>
      </c>
      <c r="K801">
        <f t="shared" si="29"/>
        <v>11</v>
      </c>
      <c r="L801" t="s">
        <v>501</v>
      </c>
    </row>
    <row r="802" spans="1:18" x14ac:dyDescent="0.2">
      <c r="F802">
        <v>0</v>
      </c>
      <c r="G802">
        <v>1</v>
      </c>
      <c r="H802">
        <v>3.4</v>
      </c>
      <c r="I802">
        <v>2.1</v>
      </c>
      <c r="J802">
        <v>12</v>
      </c>
      <c r="K802">
        <f t="shared" si="29"/>
        <v>25.200000000000003</v>
      </c>
      <c r="L802" t="s">
        <v>1012</v>
      </c>
    </row>
    <row r="803" spans="1:18" x14ac:dyDescent="0.2">
      <c r="F803">
        <v>0</v>
      </c>
      <c r="G803">
        <v>1</v>
      </c>
      <c r="H803">
        <v>3.6</v>
      </c>
      <c r="I803">
        <v>2</v>
      </c>
      <c r="J803">
        <v>10.1</v>
      </c>
      <c r="K803">
        <f t="shared" si="29"/>
        <v>20.2</v>
      </c>
      <c r="L803" t="s">
        <v>1013</v>
      </c>
      <c r="M803">
        <v>0</v>
      </c>
      <c r="N803">
        <v>1</v>
      </c>
      <c r="P803">
        <v>0</v>
      </c>
    </row>
    <row r="805" spans="1:18" x14ac:dyDescent="0.2">
      <c r="A805">
        <v>108</v>
      </c>
      <c r="B805" t="s">
        <v>993</v>
      </c>
      <c r="C805" s="1">
        <v>23277</v>
      </c>
      <c r="D805" s="1">
        <v>44176</v>
      </c>
      <c r="E805" t="s">
        <v>387</v>
      </c>
      <c r="F805">
        <v>0</v>
      </c>
      <c r="G805">
        <v>1</v>
      </c>
      <c r="H805">
        <v>2.2000000000000002</v>
      </c>
      <c r="I805">
        <v>1.7</v>
      </c>
      <c r="J805">
        <v>1.6</v>
      </c>
      <c r="K805">
        <f t="shared" si="29"/>
        <v>2.72</v>
      </c>
      <c r="L805" t="s">
        <v>1014</v>
      </c>
      <c r="M805">
        <v>1</v>
      </c>
      <c r="N805">
        <v>0</v>
      </c>
      <c r="P805">
        <v>1</v>
      </c>
      <c r="Q805">
        <v>3</v>
      </c>
      <c r="R805" s="1">
        <v>43896</v>
      </c>
    </row>
    <row r="807" spans="1:18" x14ac:dyDescent="0.2">
      <c r="A807">
        <v>109</v>
      </c>
      <c r="B807" t="s">
        <v>994</v>
      </c>
      <c r="C807" s="1">
        <v>27069</v>
      </c>
      <c r="D807" s="1">
        <v>44176</v>
      </c>
      <c r="E807" t="s">
        <v>882</v>
      </c>
      <c r="F807">
        <v>0</v>
      </c>
      <c r="G807">
        <v>1</v>
      </c>
      <c r="H807">
        <v>2.1</v>
      </c>
      <c r="I807">
        <v>1.6</v>
      </c>
      <c r="J807">
        <v>1.2</v>
      </c>
      <c r="K807">
        <f t="shared" si="29"/>
        <v>1.92</v>
      </c>
      <c r="L807" t="s">
        <v>501</v>
      </c>
      <c r="M807">
        <v>1</v>
      </c>
      <c r="N807">
        <v>0</v>
      </c>
      <c r="P807">
        <v>0</v>
      </c>
    </row>
    <row r="809" spans="1:18" x14ac:dyDescent="0.2">
      <c r="A809">
        <v>110</v>
      </c>
      <c r="B809" t="s">
        <v>995</v>
      </c>
      <c r="C809" s="1">
        <v>21205</v>
      </c>
      <c r="D809" s="1">
        <v>44179</v>
      </c>
      <c r="E809" t="s">
        <v>35</v>
      </c>
      <c r="F809">
        <v>1</v>
      </c>
      <c r="G809">
        <v>0</v>
      </c>
      <c r="H809">
        <v>4.0999999999999996</v>
      </c>
      <c r="I809">
        <v>1.3</v>
      </c>
      <c r="J809">
        <v>4.5</v>
      </c>
      <c r="K809">
        <f t="shared" si="29"/>
        <v>5.8500000000000005</v>
      </c>
      <c r="L809" t="s">
        <v>1016</v>
      </c>
    </row>
    <row r="810" spans="1:18" x14ac:dyDescent="0.2">
      <c r="F810">
        <v>1</v>
      </c>
      <c r="G810">
        <v>0</v>
      </c>
      <c r="H810">
        <v>4.4000000000000004</v>
      </c>
      <c r="I810">
        <v>2.4</v>
      </c>
      <c r="J810">
        <v>3.5</v>
      </c>
      <c r="K810">
        <f t="shared" si="29"/>
        <v>8.4</v>
      </c>
      <c r="L810" t="s">
        <v>1017</v>
      </c>
    </row>
    <row r="811" spans="1:18" x14ac:dyDescent="0.2">
      <c r="F811">
        <v>1</v>
      </c>
      <c r="G811">
        <v>0</v>
      </c>
      <c r="H811">
        <v>4.8</v>
      </c>
      <c r="I811">
        <v>2.6</v>
      </c>
      <c r="J811">
        <v>5.2</v>
      </c>
      <c r="K811">
        <f t="shared" si="29"/>
        <v>13.520000000000001</v>
      </c>
      <c r="L811" t="s">
        <v>1018</v>
      </c>
    </row>
    <row r="812" spans="1:18" x14ac:dyDescent="0.2">
      <c r="F812">
        <v>1</v>
      </c>
      <c r="G812">
        <v>0</v>
      </c>
      <c r="H812">
        <v>4.3</v>
      </c>
      <c r="I812">
        <v>2.7</v>
      </c>
      <c r="J812">
        <v>4.9000000000000004</v>
      </c>
      <c r="K812">
        <f t="shared" si="29"/>
        <v>13.230000000000002</v>
      </c>
      <c r="L812" t="s">
        <v>479</v>
      </c>
    </row>
    <row r="814" spans="1:18" x14ac:dyDescent="0.2">
      <c r="F814">
        <v>0</v>
      </c>
      <c r="G814">
        <v>1</v>
      </c>
      <c r="H814">
        <v>1.9</v>
      </c>
      <c r="I814">
        <v>1.5</v>
      </c>
      <c r="J814">
        <v>1.4</v>
      </c>
      <c r="K814">
        <f t="shared" si="29"/>
        <v>2.0999999999999996</v>
      </c>
      <c r="L814" t="s">
        <v>1019</v>
      </c>
      <c r="M814">
        <v>1</v>
      </c>
      <c r="N814">
        <v>1</v>
      </c>
      <c r="P814">
        <v>0</v>
      </c>
    </row>
    <row r="816" spans="1:18" x14ac:dyDescent="0.2">
      <c r="A816">
        <v>111</v>
      </c>
      <c r="B816" t="s">
        <v>1020</v>
      </c>
      <c r="C816" s="1">
        <v>30836</v>
      </c>
      <c r="D816" s="1">
        <v>44179</v>
      </c>
      <c r="E816" t="s">
        <v>409</v>
      </c>
      <c r="F816">
        <v>1</v>
      </c>
      <c r="G816">
        <v>0</v>
      </c>
      <c r="H816">
        <v>4.3</v>
      </c>
      <c r="I816">
        <v>2.4</v>
      </c>
      <c r="J816">
        <v>36.6</v>
      </c>
      <c r="K816">
        <f t="shared" si="29"/>
        <v>87.84</v>
      </c>
      <c r="L816" t="s">
        <v>1021</v>
      </c>
    </row>
    <row r="817" spans="1:16" x14ac:dyDescent="0.2">
      <c r="F817">
        <v>1</v>
      </c>
      <c r="G817">
        <v>0</v>
      </c>
      <c r="H817">
        <v>4.2</v>
      </c>
      <c r="I817">
        <v>2.2000000000000002</v>
      </c>
      <c r="J817">
        <v>2.5</v>
      </c>
      <c r="K817">
        <f t="shared" si="29"/>
        <v>5.5</v>
      </c>
      <c r="L817" t="s">
        <v>1022</v>
      </c>
    </row>
    <row r="818" spans="1:16" x14ac:dyDescent="0.2">
      <c r="F818">
        <v>1</v>
      </c>
      <c r="G818">
        <v>0</v>
      </c>
      <c r="H818">
        <v>4.0999999999999996</v>
      </c>
      <c r="I818">
        <v>1.8</v>
      </c>
      <c r="J818">
        <v>10.4</v>
      </c>
      <c r="K818">
        <f t="shared" si="29"/>
        <v>18.720000000000002</v>
      </c>
      <c r="L818" t="s">
        <v>562</v>
      </c>
    </row>
    <row r="820" spans="1:16" x14ac:dyDescent="0.2">
      <c r="F820">
        <v>0</v>
      </c>
      <c r="G820">
        <v>1</v>
      </c>
      <c r="H820">
        <v>2.8</v>
      </c>
      <c r="I820">
        <v>1.8</v>
      </c>
      <c r="J820">
        <v>1.2</v>
      </c>
      <c r="K820">
        <f t="shared" si="29"/>
        <v>2.16</v>
      </c>
      <c r="L820" t="s">
        <v>560</v>
      </c>
    </row>
    <row r="821" spans="1:16" x14ac:dyDescent="0.2">
      <c r="F821">
        <v>0</v>
      </c>
      <c r="G821">
        <v>1</v>
      </c>
      <c r="H821">
        <v>3.3</v>
      </c>
      <c r="I821">
        <v>2.6</v>
      </c>
      <c r="J821">
        <v>9.6</v>
      </c>
      <c r="K821">
        <f t="shared" si="29"/>
        <v>24.96</v>
      </c>
      <c r="L821" t="s">
        <v>501</v>
      </c>
    </row>
    <row r="822" spans="1:16" x14ac:dyDescent="0.2">
      <c r="F822">
        <v>0</v>
      </c>
      <c r="G822">
        <v>1</v>
      </c>
      <c r="H822">
        <v>3.5</v>
      </c>
      <c r="I822">
        <v>2</v>
      </c>
      <c r="J822">
        <v>10.3</v>
      </c>
      <c r="K822">
        <f t="shared" si="29"/>
        <v>20.6</v>
      </c>
      <c r="L822" t="s">
        <v>502</v>
      </c>
      <c r="M822">
        <v>1</v>
      </c>
      <c r="N822">
        <v>1</v>
      </c>
      <c r="P822">
        <v>0</v>
      </c>
    </row>
    <row r="824" spans="1:16" x14ac:dyDescent="0.2">
      <c r="A824">
        <v>112</v>
      </c>
      <c r="B824" t="s">
        <v>1027</v>
      </c>
      <c r="C824" s="1">
        <v>23727</v>
      </c>
      <c r="D824" s="1">
        <v>44204</v>
      </c>
      <c r="E824" t="s">
        <v>387</v>
      </c>
      <c r="F824">
        <v>1</v>
      </c>
      <c r="G824">
        <v>0</v>
      </c>
      <c r="H824">
        <v>5.6</v>
      </c>
      <c r="I824">
        <v>3</v>
      </c>
      <c r="J824">
        <v>3.5</v>
      </c>
      <c r="K824">
        <f t="shared" si="29"/>
        <v>10.5</v>
      </c>
      <c r="L824" t="s">
        <v>1030</v>
      </c>
    </row>
    <row r="825" spans="1:16" x14ac:dyDescent="0.2">
      <c r="F825">
        <v>1</v>
      </c>
      <c r="G825">
        <v>0</v>
      </c>
      <c r="H825">
        <v>6.3</v>
      </c>
      <c r="I825">
        <v>3.6</v>
      </c>
      <c r="J825">
        <v>11.8</v>
      </c>
      <c r="K825">
        <f t="shared" si="29"/>
        <v>42.480000000000004</v>
      </c>
      <c r="L825" t="s">
        <v>1031</v>
      </c>
    </row>
    <row r="826" spans="1:16" x14ac:dyDescent="0.2">
      <c r="F826">
        <v>1</v>
      </c>
      <c r="G826">
        <v>0</v>
      </c>
      <c r="H826">
        <v>6.3</v>
      </c>
      <c r="I826">
        <v>3.5</v>
      </c>
      <c r="J826">
        <v>13.8</v>
      </c>
      <c r="K826">
        <f t="shared" si="29"/>
        <v>48.300000000000004</v>
      </c>
      <c r="L826" t="s">
        <v>1032</v>
      </c>
    </row>
    <row r="827" spans="1:16" x14ac:dyDescent="0.2">
      <c r="F827">
        <v>1</v>
      </c>
      <c r="G827">
        <v>0</v>
      </c>
      <c r="H827">
        <v>7.9</v>
      </c>
      <c r="I827">
        <v>4.3</v>
      </c>
      <c r="J827">
        <v>4.9000000000000004</v>
      </c>
      <c r="K827">
        <f t="shared" si="29"/>
        <v>21.07</v>
      </c>
      <c r="L827" t="s">
        <v>1033</v>
      </c>
    </row>
    <row r="828" spans="1:16" x14ac:dyDescent="0.2">
      <c r="F828">
        <v>1</v>
      </c>
      <c r="G828">
        <v>0</v>
      </c>
      <c r="H828">
        <v>4.0999999999999996</v>
      </c>
      <c r="I828">
        <v>2.9</v>
      </c>
      <c r="J828">
        <v>1.2</v>
      </c>
      <c r="K828">
        <f t="shared" si="29"/>
        <v>3.48</v>
      </c>
      <c r="L828" t="s">
        <v>1034</v>
      </c>
    </row>
    <row r="829" spans="1:16" x14ac:dyDescent="0.2">
      <c r="F829">
        <v>1</v>
      </c>
      <c r="G829">
        <v>0</v>
      </c>
      <c r="H829">
        <v>4.8</v>
      </c>
      <c r="I829">
        <v>2.1</v>
      </c>
      <c r="J829">
        <v>2.6</v>
      </c>
      <c r="K829">
        <f t="shared" si="29"/>
        <v>5.4600000000000009</v>
      </c>
      <c r="L829" t="s">
        <v>836</v>
      </c>
    </row>
    <row r="831" spans="1:16" x14ac:dyDescent="0.2">
      <c r="F831">
        <v>0</v>
      </c>
      <c r="G831">
        <v>1</v>
      </c>
      <c r="H831">
        <v>2.8</v>
      </c>
      <c r="I831">
        <v>1.6</v>
      </c>
      <c r="J831">
        <v>4.9000000000000004</v>
      </c>
      <c r="K831">
        <f t="shared" si="29"/>
        <v>7.8400000000000007</v>
      </c>
      <c r="L831" t="s">
        <v>501</v>
      </c>
    </row>
    <row r="832" spans="1:16" x14ac:dyDescent="0.2">
      <c r="F832">
        <v>0</v>
      </c>
      <c r="G832">
        <v>1</v>
      </c>
      <c r="H832">
        <v>2.9</v>
      </c>
      <c r="I832">
        <v>1.7</v>
      </c>
      <c r="J832">
        <v>3.8</v>
      </c>
      <c r="K832">
        <f t="shared" si="29"/>
        <v>6.46</v>
      </c>
      <c r="L832" t="s">
        <v>568</v>
      </c>
      <c r="M832">
        <v>1</v>
      </c>
      <c r="N832">
        <v>1</v>
      </c>
      <c r="P832">
        <v>0</v>
      </c>
    </row>
    <row r="834" spans="1:18" x14ac:dyDescent="0.2">
      <c r="A834">
        <v>113</v>
      </c>
      <c r="B834" t="s">
        <v>1035</v>
      </c>
      <c r="C834" s="1">
        <v>25614</v>
      </c>
      <c r="D834" s="1">
        <v>44207</v>
      </c>
      <c r="E834" t="s">
        <v>387</v>
      </c>
      <c r="F834">
        <v>0</v>
      </c>
      <c r="G834">
        <v>1</v>
      </c>
      <c r="H834">
        <v>2.6</v>
      </c>
      <c r="I834">
        <v>2</v>
      </c>
      <c r="J834">
        <v>1.6</v>
      </c>
      <c r="K834">
        <f t="shared" si="29"/>
        <v>3.2</v>
      </c>
      <c r="L834" t="s">
        <v>501</v>
      </c>
    </row>
    <row r="835" spans="1:18" x14ac:dyDescent="0.2">
      <c r="F835">
        <v>0</v>
      </c>
      <c r="G835">
        <v>1</v>
      </c>
      <c r="H835">
        <v>2.5</v>
      </c>
      <c r="I835">
        <v>1.8</v>
      </c>
      <c r="J835">
        <v>1.5</v>
      </c>
      <c r="K835">
        <f t="shared" si="29"/>
        <v>2.7</v>
      </c>
      <c r="L835" t="s">
        <v>502</v>
      </c>
      <c r="M835">
        <v>1</v>
      </c>
      <c r="N835">
        <v>0</v>
      </c>
      <c r="P835">
        <v>0</v>
      </c>
    </row>
    <row r="836" spans="1:18" x14ac:dyDescent="0.2">
      <c r="K836">
        <f t="shared" si="29"/>
        <v>0</v>
      </c>
    </row>
    <row r="837" spans="1:18" x14ac:dyDescent="0.2">
      <c r="A837">
        <v>114</v>
      </c>
      <c r="B837" t="s">
        <v>1037</v>
      </c>
      <c r="C837" s="1">
        <v>28075</v>
      </c>
      <c r="D837" s="1">
        <v>44211</v>
      </c>
      <c r="E837" t="s">
        <v>882</v>
      </c>
      <c r="F837">
        <v>0</v>
      </c>
      <c r="G837">
        <v>1</v>
      </c>
      <c r="H837">
        <v>2.6</v>
      </c>
      <c r="I837">
        <v>1.7</v>
      </c>
      <c r="J837">
        <v>1.1000000000000001</v>
      </c>
      <c r="K837">
        <f t="shared" ref="K837:K887" si="30">(I837*J837)</f>
        <v>1.87</v>
      </c>
      <c r="L837" t="s">
        <v>544</v>
      </c>
    </row>
    <row r="838" spans="1:18" x14ac:dyDescent="0.2">
      <c r="F838">
        <v>0</v>
      </c>
      <c r="G838">
        <v>1</v>
      </c>
      <c r="H838">
        <v>2.4</v>
      </c>
      <c r="I838">
        <v>1.5</v>
      </c>
      <c r="J838">
        <v>1.2</v>
      </c>
      <c r="K838">
        <f t="shared" si="30"/>
        <v>1.7999999999999998</v>
      </c>
      <c r="L838" t="s">
        <v>516</v>
      </c>
      <c r="M838">
        <v>1</v>
      </c>
      <c r="N838">
        <v>0</v>
      </c>
      <c r="P838">
        <v>0</v>
      </c>
    </row>
    <row r="840" spans="1:18" x14ac:dyDescent="0.2">
      <c r="A840">
        <v>115</v>
      </c>
      <c r="B840" t="s">
        <v>1038</v>
      </c>
      <c r="C840" s="1">
        <v>20860</v>
      </c>
      <c r="D840" s="1">
        <v>44214</v>
      </c>
      <c r="E840" t="s">
        <v>35</v>
      </c>
      <c r="F840">
        <v>1</v>
      </c>
      <c r="G840">
        <v>0</v>
      </c>
      <c r="H840">
        <v>5.7</v>
      </c>
      <c r="I840">
        <v>2.8</v>
      </c>
      <c r="J840">
        <v>9.6</v>
      </c>
      <c r="K840">
        <f t="shared" si="30"/>
        <v>26.88</v>
      </c>
      <c r="L840" t="s">
        <v>551</v>
      </c>
    </row>
    <row r="841" spans="1:18" x14ac:dyDescent="0.2">
      <c r="F841">
        <v>1</v>
      </c>
      <c r="G841">
        <v>0</v>
      </c>
      <c r="H841">
        <v>4.2</v>
      </c>
      <c r="I841">
        <v>2.7</v>
      </c>
      <c r="J841">
        <v>3.3</v>
      </c>
      <c r="K841">
        <f t="shared" si="30"/>
        <v>8.91</v>
      </c>
      <c r="L841" t="s">
        <v>1044</v>
      </c>
    </row>
    <row r="842" spans="1:18" x14ac:dyDescent="0.2">
      <c r="F842">
        <v>1</v>
      </c>
      <c r="G842">
        <v>0</v>
      </c>
      <c r="H842">
        <v>4.0999999999999996</v>
      </c>
      <c r="I842">
        <v>2.2000000000000002</v>
      </c>
      <c r="J842">
        <v>5.4</v>
      </c>
      <c r="K842">
        <f t="shared" si="30"/>
        <v>11.880000000000003</v>
      </c>
      <c r="L842" t="s">
        <v>1045</v>
      </c>
    </row>
    <row r="844" spans="1:18" x14ac:dyDescent="0.2">
      <c r="F844">
        <v>0</v>
      </c>
      <c r="G844">
        <v>1</v>
      </c>
      <c r="H844">
        <v>2.8</v>
      </c>
      <c r="I844">
        <v>2.2000000000000002</v>
      </c>
      <c r="J844">
        <v>12.3</v>
      </c>
      <c r="K844">
        <f t="shared" si="30"/>
        <v>27.060000000000002</v>
      </c>
      <c r="L844" t="s">
        <v>1042</v>
      </c>
    </row>
    <row r="845" spans="1:18" x14ac:dyDescent="0.2">
      <c r="F845">
        <v>0</v>
      </c>
      <c r="G845">
        <v>1</v>
      </c>
      <c r="H845">
        <v>2.9</v>
      </c>
      <c r="I845">
        <v>2</v>
      </c>
      <c r="J845">
        <v>23.4</v>
      </c>
      <c r="K845">
        <f t="shared" si="30"/>
        <v>46.8</v>
      </c>
      <c r="L845" t="s">
        <v>1043</v>
      </c>
    </row>
    <row r="846" spans="1:18" x14ac:dyDescent="0.2">
      <c r="F846">
        <v>0</v>
      </c>
      <c r="G846">
        <v>1</v>
      </c>
      <c r="H846">
        <v>2.5</v>
      </c>
      <c r="I846">
        <v>1.5</v>
      </c>
      <c r="J846">
        <v>2.1</v>
      </c>
      <c r="K846">
        <f t="shared" si="30"/>
        <v>3.1500000000000004</v>
      </c>
      <c r="L846" t="s">
        <v>1046</v>
      </c>
      <c r="M846">
        <v>1</v>
      </c>
      <c r="N846">
        <v>1</v>
      </c>
      <c r="P846">
        <v>1</v>
      </c>
      <c r="Q846">
        <v>1</v>
      </c>
      <c r="R846" s="1">
        <v>44169</v>
      </c>
    </row>
    <row r="848" spans="1:18" x14ac:dyDescent="0.2">
      <c r="A848">
        <v>116</v>
      </c>
      <c r="B848" t="s">
        <v>1039</v>
      </c>
      <c r="C848" s="1">
        <v>21266</v>
      </c>
      <c r="D848" s="1">
        <v>44214</v>
      </c>
      <c r="E848" t="s">
        <v>387</v>
      </c>
      <c r="F848">
        <v>0</v>
      </c>
      <c r="G848">
        <v>1</v>
      </c>
      <c r="H848">
        <v>2.6</v>
      </c>
      <c r="I848">
        <v>1.8</v>
      </c>
      <c r="J848">
        <v>8.5</v>
      </c>
      <c r="K848">
        <f t="shared" si="30"/>
        <v>15.3</v>
      </c>
      <c r="L848" t="s">
        <v>535</v>
      </c>
    </row>
    <row r="849" spans="1:18" x14ac:dyDescent="0.2">
      <c r="F849">
        <v>0</v>
      </c>
      <c r="G849">
        <v>1</v>
      </c>
      <c r="H849">
        <v>2.8</v>
      </c>
      <c r="I849">
        <v>1.9</v>
      </c>
      <c r="J849">
        <v>4.3</v>
      </c>
      <c r="K849">
        <f t="shared" si="30"/>
        <v>8.17</v>
      </c>
      <c r="L849" t="s">
        <v>1047</v>
      </c>
    </row>
    <row r="850" spans="1:18" x14ac:dyDescent="0.2">
      <c r="F850">
        <v>0</v>
      </c>
      <c r="G850">
        <v>1</v>
      </c>
      <c r="H850">
        <v>2.7</v>
      </c>
      <c r="I850">
        <v>1.6</v>
      </c>
      <c r="J850">
        <v>2.2999999999999998</v>
      </c>
      <c r="K850">
        <f t="shared" si="30"/>
        <v>3.6799999999999997</v>
      </c>
      <c r="L850" t="s">
        <v>544</v>
      </c>
      <c r="M850">
        <v>1</v>
      </c>
      <c r="N850">
        <v>0</v>
      </c>
      <c r="P850">
        <v>1</v>
      </c>
      <c r="Q850">
        <v>3</v>
      </c>
      <c r="R850" s="1">
        <v>44067</v>
      </c>
    </row>
    <row r="852" spans="1:18" x14ac:dyDescent="0.2">
      <c r="A852">
        <v>117</v>
      </c>
      <c r="B852" t="s">
        <v>1040</v>
      </c>
      <c r="C852" s="1">
        <v>29802</v>
      </c>
      <c r="D852" s="1">
        <v>44249</v>
      </c>
      <c r="E852" t="s">
        <v>387</v>
      </c>
      <c r="F852">
        <v>1</v>
      </c>
      <c r="G852">
        <v>0</v>
      </c>
      <c r="H852">
        <v>5.5</v>
      </c>
      <c r="I852">
        <v>2.2000000000000002</v>
      </c>
      <c r="J852">
        <v>10.9</v>
      </c>
      <c r="K852">
        <f t="shared" si="30"/>
        <v>23.980000000000004</v>
      </c>
      <c r="L852" t="s">
        <v>1048</v>
      </c>
    </row>
    <row r="853" spans="1:18" x14ac:dyDescent="0.2">
      <c r="F853">
        <v>1</v>
      </c>
      <c r="G853">
        <v>0</v>
      </c>
      <c r="H853">
        <v>5.7</v>
      </c>
      <c r="I853">
        <v>2.5</v>
      </c>
      <c r="J853">
        <v>10.9</v>
      </c>
      <c r="K853">
        <f t="shared" si="30"/>
        <v>27.25</v>
      </c>
      <c r="L853" t="s">
        <v>1049</v>
      </c>
    </row>
    <row r="854" spans="1:18" x14ac:dyDescent="0.2">
      <c r="F854">
        <v>1</v>
      </c>
      <c r="G854">
        <v>0</v>
      </c>
      <c r="H854">
        <v>5.2</v>
      </c>
      <c r="I854">
        <v>2.7</v>
      </c>
      <c r="J854">
        <v>23.1</v>
      </c>
      <c r="K854">
        <f t="shared" si="30"/>
        <v>62.370000000000005</v>
      </c>
      <c r="L854" t="s">
        <v>1050</v>
      </c>
    </row>
    <row r="855" spans="1:18" x14ac:dyDescent="0.2">
      <c r="F855">
        <v>1</v>
      </c>
      <c r="G855">
        <v>0</v>
      </c>
      <c r="H855">
        <v>5.8</v>
      </c>
      <c r="I855">
        <v>3.5</v>
      </c>
      <c r="J855">
        <v>4.4000000000000004</v>
      </c>
      <c r="K855">
        <f t="shared" si="30"/>
        <v>15.400000000000002</v>
      </c>
      <c r="L855" t="s">
        <v>1051</v>
      </c>
    </row>
    <row r="856" spans="1:18" x14ac:dyDescent="0.2">
      <c r="F856">
        <v>1</v>
      </c>
      <c r="G856">
        <v>0</v>
      </c>
      <c r="H856">
        <v>4</v>
      </c>
      <c r="I856">
        <v>2.4</v>
      </c>
      <c r="J856">
        <v>3.8</v>
      </c>
      <c r="K856">
        <f t="shared" si="30"/>
        <v>9.1199999999999992</v>
      </c>
      <c r="L856" t="s">
        <v>1052</v>
      </c>
    </row>
    <row r="857" spans="1:18" x14ac:dyDescent="0.2">
      <c r="F857">
        <v>1</v>
      </c>
      <c r="G857">
        <v>0</v>
      </c>
      <c r="H857">
        <v>4.7</v>
      </c>
      <c r="I857">
        <v>2.8</v>
      </c>
      <c r="J857">
        <v>5.6</v>
      </c>
      <c r="K857">
        <f t="shared" si="30"/>
        <v>15.679999999999998</v>
      </c>
      <c r="L857" t="s">
        <v>1053</v>
      </c>
    </row>
    <row r="858" spans="1:18" x14ac:dyDescent="0.2">
      <c r="F858">
        <v>1</v>
      </c>
      <c r="G858">
        <v>0</v>
      </c>
      <c r="H858">
        <v>5.7</v>
      </c>
      <c r="I858">
        <v>2.9</v>
      </c>
      <c r="J858">
        <v>33.5</v>
      </c>
      <c r="K858">
        <f t="shared" si="30"/>
        <v>97.149999999999991</v>
      </c>
      <c r="L858" t="s">
        <v>1054</v>
      </c>
    </row>
    <row r="859" spans="1:18" x14ac:dyDescent="0.2">
      <c r="F859">
        <v>1</v>
      </c>
      <c r="G859">
        <v>0</v>
      </c>
      <c r="H859">
        <v>3</v>
      </c>
      <c r="I859">
        <v>1.5</v>
      </c>
      <c r="J859">
        <v>57</v>
      </c>
      <c r="K859">
        <f t="shared" si="30"/>
        <v>85.5</v>
      </c>
      <c r="L859" t="s">
        <v>544</v>
      </c>
    </row>
    <row r="860" spans="1:18" x14ac:dyDescent="0.2">
      <c r="F860">
        <v>1</v>
      </c>
      <c r="G860">
        <v>0</v>
      </c>
      <c r="H860">
        <v>4.5999999999999996</v>
      </c>
      <c r="I860">
        <v>2.6</v>
      </c>
      <c r="J860">
        <v>16.3</v>
      </c>
      <c r="K860">
        <f t="shared" si="30"/>
        <v>42.38</v>
      </c>
      <c r="L860" t="s">
        <v>591</v>
      </c>
    </row>
    <row r="861" spans="1:18" x14ac:dyDescent="0.2">
      <c r="F861">
        <v>1</v>
      </c>
      <c r="G861">
        <v>0</v>
      </c>
      <c r="H861">
        <v>2.9</v>
      </c>
      <c r="I861">
        <v>1.7</v>
      </c>
      <c r="J861">
        <v>24.5</v>
      </c>
      <c r="K861">
        <f t="shared" si="30"/>
        <v>41.65</v>
      </c>
      <c r="L861" t="s">
        <v>570</v>
      </c>
      <c r="M861">
        <v>0</v>
      </c>
      <c r="N861">
        <v>1</v>
      </c>
      <c r="P861">
        <v>1</v>
      </c>
      <c r="Q861">
        <v>3</v>
      </c>
      <c r="R861" s="1">
        <v>44249</v>
      </c>
    </row>
    <row r="863" spans="1:18" x14ac:dyDescent="0.2">
      <c r="A863">
        <v>118</v>
      </c>
      <c r="B863" t="s">
        <v>1041</v>
      </c>
      <c r="D863" s="1">
        <v>44249</v>
      </c>
      <c r="E863" t="s">
        <v>387</v>
      </c>
      <c r="F863">
        <v>0</v>
      </c>
      <c r="G863">
        <v>1</v>
      </c>
      <c r="H863">
        <v>2.2000000000000002</v>
      </c>
      <c r="I863">
        <v>1.4</v>
      </c>
      <c r="J863">
        <v>4.9000000000000004</v>
      </c>
      <c r="K863">
        <f t="shared" si="30"/>
        <v>6.86</v>
      </c>
      <c r="L863" t="s">
        <v>501</v>
      </c>
    </row>
    <row r="864" spans="1:18" x14ac:dyDescent="0.2">
      <c r="F864">
        <v>0</v>
      </c>
      <c r="G864">
        <v>1</v>
      </c>
      <c r="H864">
        <v>2</v>
      </c>
      <c r="I864">
        <v>1.2</v>
      </c>
      <c r="J864">
        <v>3.2</v>
      </c>
      <c r="K864">
        <f t="shared" si="30"/>
        <v>3.84</v>
      </c>
      <c r="L864" t="s">
        <v>502</v>
      </c>
    </row>
    <row r="865" spans="1:18" x14ac:dyDescent="0.2">
      <c r="F865">
        <v>0</v>
      </c>
      <c r="G865">
        <v>1</v>
      </c>
      <c r="H865">
        <v>2.8</v>
      </c>
      <c r="I865">
        <v>2.1</v>
      </c>
      <c r="J865">
        <v>3.1</v>
      </c>
      <c r="K865">
        <f t="shared" si="30"/>
        <v>6.5100000000000007</v>
      </c>
      <c r="L865" t="s">
        <v>1055</v>
      </c>
      <c r="M865">
        <v>1</v>
      </c>
      <c r="N865">
        <v>0</v>
      </c>
      <c r="P865">
        <v>0</v>
      </c>
    </row>
    <row r="867" spans="1:18" x14ac:dyDescent="0.2">
      <c r="A867">
        <v>119</v>
      </c>
      <c r="B867" t="s">
        <v>1056</v>
      </c>
      <c r="C867" s="1">
        <v>32963</v>
      </c>
      <c r="D867" s="1">
        <v>44221</v>
      </c>
      <c r="E867" t="s">
        <v>387</v>
      </c>
      <c r="F867">
        <v>1</v>
      </c>
      <c r="G867">
        <v>0</v>
      </c>
      <c r="H867">
        <v>4.3</v>
      </c>
      <c r="I867">
        <v>2.6</v>
      </c>
      <c r="J867">
        <v>15.9</v>
      </c>
      <c r="K867">
        <f t="shared" si="30"/>
        <v>41.34</v>
      </c>
      <c r="L867" t="s">
        <v>1057</v>
      </c>
    </row>
    <row r="868" spans="1:18" x14ac:dyDescent="0.2">
      <c r="F868">
        <v>1</v>
      </c>
      <c r="G868">
        <v>0</v>
      </c>
      <c r="H868">
        <v>3.6</v>
      </c>
      <c r="I868">
        <v>2.7</v>
      </c>
      <c r="J868">
        <v>4.7</v>
      </c>
      <c r="K868">
        <f t="shared" si="30"/>
        <v>12.690000000000001</v>
      </c>
      <c r="L868" t="s">
        <v>1058</v>
      </c>
    </row>
    <row r="869" spans="1:18" x14ac:dyDescent="0.2">
      <c r="F869">
        <v>1</v>
      </c>
      <c r="G869">
        <v>0</v>
      </c>
      <c r="H869">
        <v>3.5</v>
      </c>
      <c r="I869">
        <v>2.6</v>
      </c>
      <c r="J869">
        <v>4.0999999999999996</v>
      </c>
      <c r="K869">
        <f t="shared" si="30"/>
        <v>10.66</v>
      </c>
      <c r="L869" t="s">
        <v>1059</v>
      </c>
    </row>
    <row r="870" spans="1:18" x14ac:dyDescent="0.2">
      <c r="F870">
        <v>1</v>
      </c>
      <c r="G870">
        <v>0</v>
      </c>
      <c r="H870">
        <v>3.7</v>
      </c>
      <c r="I870">
        <v>2</v>
      </c>
      <c r="J870">
        <v>4.2</v>
      </c>
      <c r="K870">
        <f t="shared" si="30"/>
        <v>8.4</v>
      </c>
      <c r="L870" t="s">
        <v>1060</v>
      </c>
    </row>
    <row r="871" spans="1:18" x14ac:dyDescent="0.2">
      <c r="F871">
        <v>1</v>
      </c>
      <c r="G871">
        <v>0</v>
      </c>
      <c r="H871">
        <v>4.9000000000000004</v>
      </c>
      <c r="I871">
        <v>2.7</v>
      </c>
      <c r="J871">
        <v>16.5</v>
      </c>
      <c r="K871">
        <f t="shared" si="30"/>
        <v>44.550000000000004</v>
      </c>
      <c r="L871" t="s">
        <v>1061</v>
      </c>
    </row>
    <row r="872" spans="1:18" x14ac:dyDescent="0.2">
      <c r="F872">
        <v>1</v>
      </c>
      <c r="G872">
        <v>0</v>
      </c>
      <c r="H872">
        <v>3.8</v>
      </c>
      <c r="I872">
        <v>1.3</v>
      </c>
      <c r="J872">
        <v>32.700000000000003</v>
      </c>
      <c r="K872">
        <f t="shared" si="30"/>
        <v>42.510000000000005</v>
      </c>
      <c r="L872" t="s">
        <v>1062</v>
      </c>
      <c r="M872">
        <v>0</v>
      </c>
      <c r="N872">
        <v>1</v>
      </c>
      <c r="P872">
        <v>1</v>
      </c>
      <c r="Q872">
        <v>3</v>
      </c>
      <c r="R872" s="1">
        <v>44125</v>
      </c>
    </row>
    <row r="874" spans="1:18" x14ac:dyDescent="0.2">
      <c r="A874">
        <v>120</v>
      </c>
      <c r="B874" t="s">
        <v>1065</v>
      </c>
      <c r="C874" s="1">
        <v>24364</v>
      </c>
      <c r="D874" s="1">
        <v>44228</v>
      </c>
      <c r="E874" t="s">
        <v>35</v>
      </c>
      <c r="F874">
        <v>1</v>
      </c>
      <c r="G874">
        <v>0</v>
      </c>
      <c r="H874">
        <v>5</v>
      </c>
      <c r="I874">
        <v>2.8</v>
      </c>
      <c r="J874">
        <v>5.9</v>
      </c>
      <c r="K874">
        <f t="shared" si="30"/>
        <v>16.52</v>
      </c>
      <c r="L874" t="s">
        <v>272</v>
      </c>
    </row>
    <row r="875" spans="1:18" x14ac:dyDescent="0.2">
      <c r="F875">
        <v>1</v>
      </c>
      <c r="G875">
        <v>0</v>
      </c>
      <c r="H875">
        <v>6.5</v>
      </c>
      <c r="I875">
        <v>3.6</v>
      </c>
      <c r="J875">
        <v>10.4</v>
      </c>
      <c r="K875">
        <f t="shared" si="30"/>
        <v>37.440000000000005</v>
      </c>
      <c r="L875" t="s">
        <v>108</v>
      </c>
    </row>
    <row r="877" spans="1:18" x14ac:dyDescent="0.2">
      <c r="F877">
        <v>0</v>
      </c>
      <c r="G877">
        <v>1</v>
      </c>
      <c r="H877">
        <v>2.6</v>
      </c>
      <c r="I877">
        <v>1.8</v>
      </c>
      <c r="J877">
        <v>3.6</v>
      </c>
      <c r="K877">
        <f t="shared" si="30"/>
        <v>6.48</v>
      </c>
      <c r="L877" t="s">
        <v>516</v>
      </c>
      <c r="M877">
        <v>1</v>
      </c>
      <c r="N877">
        <v>1</v>
      </c>
      <c r="P877">
        <v>0</v>
      </c>
    </row>
    <row r="879" spans="1:18" x14ac:dyDescent="0.2">
      <c r="A879">
        <v>121</v>
      </c>
      <c r="B879" t="s">
        <v>1071</v>
      </c>
      <c r="C879" s="1">
        <v>21583</v>
      </c>
      <c r="D879" s="1">
        <v>44235</v>
      </c>
      <c r="E879" t="s">
        <v>13</v>
      </c>
      <c r="F879">
        <v>1</v>
      </c>
      <c r="G879">
        <v>0</v>
      </c>
      <c r="H879">
        <v>6.6</v>
      </c>
      <c r="I879">
        <v>3.5</v>
      </c>
      <c r="J879">
        <v>33.6</v>
      </c>
      <c r="K879">
        <f t="shared" si="30"/>
        <v>117.60000000000001</v>
      </c>
      <c r="L879" t="s">
        <v>693</v>
      </c>
    </row>
    <row r="880" spans="1:18" x14ac:dyDescent="0.2">
      <c r="F880">
        <v>1</v>
      </c>
      <c r="G880">
        <v>0</v>
      </c>
      <c r="H880">
        <v>5.5</v>
      </c>
      <c r="I880">
        <v>3.3</v>
      </c>
      <c r="J880">
        <v>6.3</v>
      </c>
      <c r="K880">
        <f t="shared" si="30"/>
        <v>20.79</v>
      </c>
      <c r="L880" t="s">
        <v>1073</v>
      </c>
    </row>
    <row r="881" spans="1:18" x14ac:dyDescent="0.2">
      <c r="F881">
        <v>1</v>
      </c>
      <c r="G881">
        <v>0</v>
      </c>
      <c r="H881">
        <v>7.8</v>
      </c>
      <c r="I881">
        <v>5.4</v>
      </c>
      <c r="J881">
        <v>7.6</v>
      </c>
      <c r="K881">
        <f t="shared" si="30"/>
        <v>41.04</v>
      </c>
      <c r="L881" t="s">
        <v>1074</v>
      </c>
    </row>
    <row r="882" spans="1:18" x14ac:dyDescent="0.2">
      <c r="F882">
        <v>1</v>
      </c>
      <c r="G882">
        <v>0</v>
      </c>
      <c r="H882">
        <v>8.4</v>
      </c>
      <c r="I882">
        <v>5.8</v>
      </c>
      <c r="J882">
        <v>7.7</v>
      </c>
      <c r="K882">
        <f t="shared" si="30"/>
        <v>44.66</v>
      </c>
      <c r="L882" t="s">
        <v>1075</v>
      </c>
    </row>
    <row r="883" spans="1:18" x14ac:dyDescent="0.2">
      <c r="F883">
        <v>1</v>
      </c>
      <c r="G883">
        <v>0</v>
      </c>
      <c r="H883">
        <v>7.6</v>
      </c>
      <c r="I883">
        <v>5.9</v>
      </c>
      <c r="J883">
        <v>6.3</v>
      </c>
      <c r="K883">
        <f t="shared" si="30"/>
        <v>37.17</v>
      </c>
      <c r="L883" t="s">
        <v>531</v>
      </c>
    </row>
    <row r="884" spans="1:18" x14ac:dyDescent="0.2">
      <c r="F884">
        <v>1</v>
      </c>
      <c r="G884">
        <v>0</v>
      </c>
      <c r="H884">
        <v>7.2</v>
      </c>
      <c r="I884">
        <v>3.9</v>
      </c>
      <c r="J884">
        <v>29.2</v>
      </c>
      <c r="K884">
        <f t="shared" si="30"/>
        <v>113.88</v>
      </c>
      <c r="L884" t="s">
        <v>1076</v>
      </c>
    </row>
    <row r="885" spans="1:18" x14ac:dyDescent="0.2">
      <c r="F885">
        <v>1</v>
      </c>
      <c r="G885">
        <v>0</v>
      </c>
      <c r="H885">
        <v>4.7</v>
      </c>
      <c r="I885">
        <v>3.2</v>
      </c>
      <c r="J885">
        <v>29.2</v>
      </c>
      <c r="K885">
        <f t="shared" si="30"/>
        <v>93.44</v>
      </c>
      <c r="L885" t="s">
        <v>1077</v>
      </c>
    </row>
    <row r="886" spans="1:18" x14ac:dyDescent="0.2">
      <c r="F886">
        <v>1</v>
      </c>
      <c r="G886">
        <v>0</v>
      </c>
      <c r="H886">
        <v>4.5999999999999996</v>
      </c>
      <c r="I886">
        <v>3</v>
      </c>
      <c r="J886">
        <v>3.6</v>
      </c>
      <c r="K886">
        <f t="shared" si="30"/>
        <v>10.8</v>
      </c>
      <c r="L886" t="s">
        <v>1045</v>
      </c>
    </row>
    <row r="887" spans="1:18" x14ac:dyDescent="0.2">
      <c r="F887">
        <v>1</v>
      </c>
      <c r="G887">
        <v>0</v>
      </c>
      <c r="H887">
        <v>6.5</v>
      </c>
      <c r="I887">
        <v>3.8</v>
      </c>
      <c r="J887">
        <v>52.1</v>
      </c>
      <c r="K887">
        <f t="shared" si="30"/>
        <v>197.98</v>
      </c>
      <c r="L887" t="s">
        <v>1078</v>
      </c>
    </row>
    <row r="889" spans="1:18" x14ac:dyDescent="0.2">
      <c r="F889">
        <v>0</v>
      </c>
      <c r="G889">
        <v>1</v>
      </c>
      <c r="H889">
        <v>2.6</v>
      </c>
      <c r="I889">
        <v>1.8</v>
      </c>
      <c r="J889">
        <v>2.6</v>
      </c>
      <c r="K889">
        <f t="shared" ref="K889:K894" si="31">(I889*J889)</f>
        <v>4.6800000000000006</v>
      </c>
      <c r="L889" t="s">
        <v>502</v>
      </c>
    </row>
    <row r="890" spans="1:18" x14ac:dyDescent="0.2">
      <c r="F890">
        <v>0</v>
      </c>
      <c r="G890">
        <v>1</v>
      </c>
      <c r="H890">
        <v>2.5</v>
      </c>
      <c r="I890">
        <v>1.7</v>
      </c>
      <c r="J890">
        <v>2.8</v>
      </c>
      <c r="K890">
        <f t="shared" si="31"/>
        <v>4.76</v>
      </c>
      <c r="L890" t="s">
        <v>553</v>
      </c>
    </row>
    <row r="891" spans="1:18" x14ac:dyDescent="0.2">
      <c r="F891">
        <v>0</v>
      </c>
      <c r="G891">
        <v>1</v>
      </c>
      <c r="H891">
        <v>3</v>
      </c>
      <c r="I891">
        <v>1.5</v>
      </c>
      <c r="J891">
        <v>2.1</v>
      </c>
      <c r="K891">
        <f t="shared" si="31"/>
        <v>3.1500000000000004</v>
      </c>
      <c r="L891" t="s">
        <v>1072</v>
      </c>
      <c r="M891">
        <v>1</v>
      </c>
      <c r="N891">
        <v>1</v>
      </c>
      <c r="P891">
        <v>1</v>
      </c>
      <c r="Q891">
        <v>1.2</v>
      </c>
      <c r="R891" s="1">
        <v>44181</v>
      </c>
    </row>
    <row r="893" spans="1:18" x14ac:dyDescent="0.2">
      <c r="A893">
        <v>122</v>
      </c>
      <c r="B893" t="s">
        <v>1070</v>
      </c>
      <c r="C893" s="1">
        <v>22831</v>
      </c>
      <c r="D893" s="1">
        <v>44242</v>
      </c>
      <c r="E893" t="s">
        <v>35</v>
      </c>
      <c r="F893">
        <v>0</v>
      </c>
      <c r="G893">
        <v>1</v>
      </c>
      <c r="H893">
        <v>2.4</v>
      </c>
      <c r="I893">
        <v>1.4</v>
      </c>
      <c r="J893">
        <v>15.5</v>
      </c>
      <c r="K893">
        <f t="shared" si="31"/>
        <v>21.7</v>
      </c>
      <c r="L893" t="s">
        <v>501</v>
      </c>
    </row>
    <row r="894" spans="1:18" x14ac:dyDescent="0.2">
      <c r="F894">
        <v>0</v>
      </c>
      <c r="G894">
        <v>1</v>
      </c>
      <c r="H894">
        <v>3.4</v>
      </c>
      <c r="I894">
        <v>1.8</v>
      </c>
      <c r="J894">
        <v>6.8</v>
      </c>
      <c r="K894">
        <f t="shared" si="31"/>
        <v>12.24</v>
      </c>
      <c r="L894" t="s">
        <v>812</v>
      </c>
      <c r="M894">
        <v>1</v>
      </c>
      <c r="N894">
        <v>0</v>
      </c>
      <c r="P894">
        <v>0</v>
      </c>
    </row>
    <row r="896" spans="1:18" x14ac:dyDescent="0.2">
      <c r="A896">
        <v>123</v>
      </c>
      <c r="B896" t="s">
        <v>12</v>
      </c>
      <c r="C896" s="1">
        <v>23438</v>
      </c>
      <c r="D896" s="1">
        <v>43374</v>
      </c>
      <c r="E896" t="s">
        <v>447</v>
      </c>
      <c r="F896">
        <v>1</v>
      </c>
      <c r="G896">
        <v>0</v>
      </c>
      <c r="H896">
        <v>4.8</v>
      </c>
      <c r="I896">
        <v>2</v>
      </c>
      <c r="J896">
        <v>17.7</v>
      </c>
      <c r="K896">
        <f t="shared" ref="K896:K906" si="32">(I896*J896)</f>
        <v>35.4</v>
      </c>
      <c r="L896" t="s">
        <v>550</v>
      </c>
    </row>
    <row r="897" spans="6:16" x14ac:dyDescent="0.2">
      <c r="F897">
        <v>1</v>
      </c>
      <c r="G897">
        <v>0</v>
      </c>
      <c r="H897">
        <v>13.9</v>
      </c>
      <c r="I897">
        <v>7.2</v>
      </c>
      <c r="J897">
        <v>14.4</v>
      </c>
      <c r="K897">
        <f t="shared" si="32"/>
        <v>103.68</v>
      </c>
      <c r="L897" t="s">
        <v>516</v>
      </c>
    </row>
    <row r="898" spans="6:16" x14ac:dyDescent="0.2">
      <c r="F898">
        <v>1</v>
      </c>
      <c r="G898">
        <v>0</v>
      </c>
      <c r="H898">
        <v>10.199999999999999</v>
      </c>
      <c r="I898">
        <v>6</v>
      </c>
      <c r="J898">
        <v>0.9</v>
      </c>
      <c r="K898">
        <f t="shared" si="32"/>
        <v>5.4</v>
      </c>
      <c r="L898" t="s">
        <v>820</v>
      </c>
    </row>
    <row r="899" spans="6:16" x14ac:dyDescent="0.2">
      <c r="F899">
        <v>1</v>
      </c>
      <c r="G899">
        <v>0</v>
      </c>
      <c r="H899">
        <v>10</v>
      </c>
      <c r="I899">
        <v>5.3</v>
      </c>
      <c r="J899">
        <v>3</v>
      </c>
      <c r="K899">
        <f t="shared" si="32"/>
        <v>15.899999999999999</v>
      </c>
      <c r="L899" t="s">
        <v>591</v>
      </c>
    </row>
    <row r="900" spans="6:16" x14ac:dyDescent="0.2">
      <c r="F900">
        <v>1</v>
      </c>
      <c r="G900">
        <v>0</v>
      </c>
      <c r="H900">
        <v>10</v>
      </c>
      <c r="I900">
        <v>5</v>
      </c>
      <c r="J900">
        <v>3.9</v>
      </c>
      <c r="K900">
        <f t="shared" si="32"/>
        <v>19.5</v>
      </c>
      <c r="L900" t="s">
        <v>570</v>
      </c>
    </row>
    <row r="901" spans="6:16" x14ac:dyDescent="0.2">
      <c r="F901">
        <v>1</v>
      </c>
      <c r="G901">
        <v>0</v>
      </c>
      <c r="H901">
        <v>8.8000000000000007</v>
      </c>
      <c r="I901">
        <v>5.8</v>
      </c>
      <c r="J901">
        <v>2.1</v>
      </c>
      <c r="K901">
        <f t="shared" si="32"/>
        <v>12.18</v>
      </c>
      <c r="L901" t="s">
        <v>552</v>
      </c>
    </row>
    <row r="902" spans="6:16" x14ac:dyDescent="0.2">
      <c r="F902">
        <v>1</v>
      </c>
      <c r="G902">
        <v>0</v>
      </c>
      <c r="H902">
        <v>10.199999999999999</v>
      </c>
      <c r="I902">
        <v>6</v>
      </c>
      <c r="J902">
        <v>2.2999999999999998</v>
      </c>
      <c r="K902">
        <f t="shared" si="32"/>
        <v>13.799999999999999</v>
      </c>
      <c r="L902" t="s">
        <v>821</v>
      </c>
    </row>
    <row r="903" spans="6:16" x14ac:dyDescent="0.2">
      <c r="F903">
        <v>1</v>
      </c>
      <c r="G903">
        <v>0</v>
      </c>
      <c r="H903">
        <v>6.1</v>
      </c>
      <c r="I903">
        <v>3.6</v>
      </c>
      <c r="J903">
        <v>5.7</v>
      </c>
      <c r="K903">
        <f t="shared" si="32"/>
        <v>20.52</v>
      </c>
      <c r="L903" t="s">
        <v>789</v>
      </c>
    </row>
    <row r="904" spans="6:16" x14ac:dyDescent="0.2">
      <c r="F904">
        <v>1</v>
      </c>
      <c r="G904">
        <v>0</v>
      </c>
      <c r="H904">
        <v>8.4</v>
      </c>
      <c r="I904">
        <v>4.7</v>
      </c>
      <c r="J904">
        <v>3.1</v>
      </c>
      <c r="K904">
        <f t="shared" si="32"/>
        <v>14.57</v>
      </c>
      <c r="L904" t="s">
        <v>314</v>
      </c>
    </row>
    <row r="905" spans="6:16" x14ac:dyDescent="0.2">
      <c r="F905">
        <v>1</v>
      </c>
      <c r="G905">
        <v>0</v>
      </c>
      <c r="H905">
        <v>7.7</v>
      </c>
      <c r="I905">
        <v>4.4000000000000004</v>
      </c>
      <c r="J905">
        <v>1.7</v>
      </c>
      <c r="K905">
        <f t="shared" si="32"/>
        <v>7.48</v>
      </c>
      <c r="L905" t="s">
        <v>315</v>
      </c>
    </row>
    <row r="906" spans="6:16" x14ac:dyDescent="0.2">
      <c r="F906">
        <v>1</v>
      </c>
      <c r="G906">
        <v>0</v>
      </c>
      <c r="H906">
        <v>4.0999999999999996</v>
      </c>
      <c r="I906">
        <v>2.5</v>
      </c>
      <c r="J906">
        <v>1.1000000000000001</v>
      </c>
      <c r="K906">
        <f t="shared" si="32"/>
        <v>2.75</v>
      </c>
      <c r="L906" t="s">
        <v>823</v>
      </c>
    </row>
    <row r="908" spans="6:16" x14ac:dyDescent="0.2">
      <c r="F908">
        <v>0</v>
      </c>
      <c r="G908">
        <v>1</v>
      </c>
      <c r="H908">
        <v>3.2</v>
      </c>
      <c r="I908">
        <v>2.2000000000000002</v>
      </c>
      <c r="J908">
        <v>0.7</v>
      </c>
      <c r="K908">
        <f>(I908*J908)</f>
        <v>1.54</v>
      </c>
      <c r="L908" t="s">
        <v>822</v>
      </c>
      <c r="M908">
        <v>1</v>
      </c>
      <c r="N908">
        <v>1</v>
      </c>
      <c r="P908">
        <v>0</v>
      </c>
    </row>
  </sheetData>
  <pageMargins left="0.7" right="0.7" top="0.78740157499999996" bottom="0.78740157499999996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778"/>
  <sheetViews>
    <sheetView workbookViewId="0">
      <pane ySplit="1" topLeftCell="A466" activePane="bottomLeft" state="frozen"/>
      <selection pane="bottomLeft" activeCell="O722" sqref="O722"/>
    </sheetView>
  </sheetViews>
  <sheetFormatPr baseColWidth="10" defaultRowHeight="15" x14ac:dyDescent="0.2"/>
  <cols>
    <col min="21" max="21" width="35.5" bestFit="1" customWidth="1"/>
  </cols>
  <sheetData>
    <row r="1" spans="1:22" x14ac:dyDescent="0.2">
      <c r="B1" t="s">
        <v>0</v>
      </c>
      <c r="C1" t="s">
        <v>1</v>
      </c>
      <c r="D1" t="s">
        <v>2</v>
      </c>
      <c r="E1" t="s">
        <v>3</v>
      </c>
      <c r="F1" t="s">
        <v>419</v>
      </c>
      <c r="G1" t="s">
        <v>420</v>
      </c>
      <c r="H1" t="s">
        <v>421</v>
      </c>
      <c r="I1" t="s">
        <v>422</v>
      </c>
      <c r="J1" t="s">
        <v>423</v>
      </c>
      <c r="K1" t="s">
        <v>360</v>
      </c>
      <c r="L1" t="s">
        <v>424</v>
      </c>
      <c r="M1" t="s">
        <v>427</v>
      </c>
      <c r="N1" t="s">
        <v>428</v>
      </c>
      <c r="Q1" t="s">
        <v>1023</v>
      </c>
      <c r="T1" t="s">
        <v>1081</v>
      </c>
      <c r="U1" t="s">
        <v>1082</v>
      </c>
      <c r="V1" t="s">
        <v>1084</v>
      </c>
    </row>
    <row r="2" spans="1:22" x14ac:dyDescent="0.2">
      <c r="A2">
        <v>1</v>
      </c>
      <c r="B2" t="s">
        <v>21</v>
      </c>
      <c r="C2" s="1">
        <v>24418</v>
      </c>
      <c r="D2" s="1">
        <v>43430</v>
      </c>
      <c r="E2" t="s">
        <v>387</v>
      </c>
      <c r="F2">
        <v>1</v>
      </c>
      <c r="G2">
        <v>0</v>
      </c>
      <c r="H2">
        <v>5</v>
      </c>
      <c r="I2">
        <v>2.9</v>
      </c>
      <c r="J2">
        <v>4.9000000000000004</v>
      </c>
      <c r="K2">
        <f t="shared" ref="K2:K11" si="0">(I2*J2)</f>
        <v>14.21</v>
      </c>
      <c r="L2" t="s">
        <v>453</v>
      </c>
    </row>
    <row r="3" spans="1:22" x14ac:dyDescent="0.2">
      <c r="F3">
        <v>1</v>
      </c>
      <c r="G3">
        <v>0</v>
      </c>
      <c r="H3">
        <v>5.3</v>
      </c>
      <c r="I3">
        <v>3.3</v>
      </c>
      <c r="J3">
        <v>1.8</v>
      </c>
      <c r="K3">
        <f t="shared" si="0"/>
        <v>5.9399999999999995</v>
      </c>
      <c r="L3" t="s">
        <v>454</v>
      </c>
    </row>
    <row r="4" spans="1:22" x14ac:dyDescent="0.2">
      <c r="F4">
        <v>1</v>
      </c>
      <c r="G4">
        <v>0</v>
      </c>
      <c r="H4">
        <v>3.6</v>
      </c>
      <c r="I4">
        <v>2.5</v>
      </c>
      <c r="J4">
        <v>1.3</v>
      </c>
      <c r="K4">
        <f t="shared" si="0"/>
        <v>3.25</v>
      </c>
      <c r="L4" t="s">
        <v>455</v>
      </c>
    </row>
    <row r="5" spans="1:22" x14ac:dyDescent="0.2">
      <c r="F5">
        <v>1</v>
      </c>
      <c r="G5">
        <v>0</v>
      </c>
      <c r="H5">
        <v>5.2</v>
      </c>
      <c r="I5">
        <v>2.9</v>
      </c>
      <c r="J5">
        <v>1.7</v>
      </c>
      <c r="K5">
        <f t="shared" si="0"/>
        <v>4.93</v>
      </c>
      <c r="L5" t="s">
        <v>456</v>
      </c>
    </row>
    <row r="6" spans="1:22" x14ac:dyDescent="0.2">
      <c r="F6">
        <v>1</v>
      </c>
      <c r="G6">
        <v>0</v>
      </c>
      <c r="H6">
        <v>4.5999999999999996</v>
      </c>
      <c r="I6">
        <v>2.9</v>
      </c>
      <c r="J6">
        <v>1.6</v>
      </c>
      <c r="K6">
        <f t="shared" si="0"/>
        <v>4.6399999999999997</v>
      </c>
      <c r="L6" t="s">
        <v>457</v>
      </c>
    </row>
    <row r="7" spans="1:22" x14ac:dyDescent="0.2">
      <c r="F7">
        <v>1</v>
      </c>
      <c r="G7">
        <v>0</v>
      </c>
      <c r="H7">
        <v>4.8</v>
      </c>
      <c r="I7">
        <v>3.9</v>
      </c>
      <c r="J7">
        <v>1</v>
      </c>
      <c r="K7">
        <f t="shared" si="0"/>
        <v>3.9</v>
      </c>
      <c r="L7" t="s">
        <v>458</v>
      </c>
    </row>
    <row r="8" spans="1:22" x14ac:dyDescent="0.2">
      <c r="F8">
        <v>1</v>
      </c>
      <c r="G8">
        <v>0</v>
      </c>
      <c r="H8">
        <v>3.9</v>
      </c>
      <c r="I8">
        <v>2.7</v>
      </c>
      <c r="J8">
        <v>1.5</v>
      </c>
      <c r="K8">
        <f t="shared" si="0"/>
        <v>4.0500000000000007</v>
      </c>
      <c r="L8" t="s">
        <v>459</v>
      </c>
    </row>
    <row r="9" spans="1:22" x14ac:dyDescent="0.2">
      <c r="F9">
        <v>1</v>
      </c>
      <c r="G9">
        <v>0</v>
      </c>
      <c r="H9">
        <v>3.8</v>
      </c>
      <c r="I9">
        <v>2.8</v>
      </c>
      <c r="J9">
        <v>1.4</v>
      </c>
      <c r="K9">
        <f t="shared" si="0"/>
        <v>3.9199999999999995</v>
      </c>
      <c r="L9" t="s">
        <v>460</v>
      </c>
    </row>
    <row r="10" spans="1:22" x14ac:dyDescent="0.2">
      <c r="F10">
        <v>1</v>
      </c>
      <c r="G10">
        <v>0</v>
      </c>
      <c r="H10">
        <v>3.2</v>
      </c>
      <c r="I10">
        <v>2.1</v>
      </c>
      <c r="J10">
        <v>1.4</v>
      </c>
      <c r="K10">
        <f t="shared" si="0"/>
        <v>2.94</v>
      </c>
      <c r="L10" t="s">
        <v>435</v>
      </c>
    </row>
    <row r="11" spans="1:22" x14ac:dyDescent="0.2">
      <c r="F11">
        <v>0</v>
      </c>
      <c r="G11">
        <v>1</v>
      </c>
      <c r="H11">
        <v>2.4</v>
      </c>
      <c r="I11">
        <v>2.4</v>
      </c>
      <c r="J11">
        <v>0.3</v>
      </c>
      <c r="K11">
        <f t="shared" si="0"/>
        <v>0.72</v>
      </c>
      <c r="L11" t="s">
        <v>426</v>
      </c>
      <c r="M11">
        <v>1</v>
      </c>
      <c r="N11">
        <v>1</v>
      </c>
      <c r="T11">
        <v>1</v>
      </c>
      <c r="U11">
        <v>3</v>
      </c>
      <c r="V11" s="1">
        <v>43397</v>
      </c>
    </row>
    <row r="15" spans="1:22" x14ac:dyDescent="0.2">
      <c r="D15" s="16">
        <v>43654</v>
      </c>
      <c r="F15">
        <v>1</v>
      </c>
      <c r="G15">
        <v>0</v>
      </c>
      <c r="H15">
        <v>0</v>
      </c>
      <c r="I15">
        <v>0</v>
      </c>
      <c r="J15">
        <v>0</v>
      </c>
      <c r="K15">
        <f t="shared" ref="K15:K25" si="1">(I15*J15)</f>
        <v>0</v>
      </c>
      <c r="L15" t="s">
        <v>453</v>
      </c>
    </row>
    <row r="16" spans="1:22" x14ac:dyDescent="0.2">
      <c r="F16">
        <v>1</v>
      </c>
      <c r="G16">
        <v>0</v>
      </c>
      <c r="H16">
        <v>5.4</v>
      </c>
      <c r="I16">
        <v>3.2</v>
      </c>
      <c r="J16">
        <v>1.8</v>
      </c>
      <c r="K16">
        <f t="shared" si="1"/>
        <v>5.7600000000000007</v>
      </c>
      <c r="L16" s="15" t="s">
        <v>454</v>
      </c>
    </row>
    <row r="17" spans="1:16" x14ac:dyDescent="0.2">
      <c r="F17">
        <v>1</v>
      </c>
      <c r="G17">
        <v>0</v>
      </c>
      <c r="H17">
        <v>0</v>
      </c>
      <c r="I17">
        <v>0</v>
      </c>
      <c r="J17">
        <v>0</v>
      </c>
      <c r="K17">
        <f t="shared" si="1"/>
        <v>0</v>
      </c>
      <c r="L17" t="s">
        <v>455</v>
      </c>
    </row>
    <row r="18" spans="1:16" x14ac:dyDescent="0.2">
      <c r="F18">
        <v>1</v>
      </c>
      <c r="G18">
        <v>0</v>
      </c>
      <c r="H18">
        <v>0</v>
      </c>
      <c r="I18">
        <v>0</v>
      </c>
      <c r="J18">
        <v>0</v>
      </c>
      <c r="K18">
        <f t="shared" si="1"/>
        <v>0</v>
      </c>
      <c r="L18" t="s">
        <v>456</v>
      </c>
    </row>
    <row r="19" spans="1:16" x14ac:dyDescent="0.2">
      <c r="F19">
        <v>1</v>
      </c>
      <c r="G19">
        <v>0</v>
      </c>
      <c r="H19">
        <v>0</v>
      </c>
      <c r="I19">
        <v>0</v>
      </c>
      <c r="J19">
        <v>0</v>
      </c>
      <c r="K19">
        <f t="shared" si="1"/>
        <v>0</v>
      </c>
      <c r="L19" t="s">
        <v>457</v>
      </c>
    </row>
    <row r="20" spans="1:16" x14ac:dyDescent="0.2">
      <c r="F20">
        <v>1</v>
      </c>
      <c r="G20">
        <v>0</v>
      </c>
      <c r="H20">
        <v>0</v>
      </c>
      <c r="I20">
        <v>0</v>
      </c>
      <c r="J20">
        <v>0</v>
      </c>
      <c r="K20">
        <f t="shared" si="1"/>
        <v>0</v>
      </c>
      <c r="L20" t="s">
        <v>458</v>
      </c>
    </row>
    <row r="21" spans="1:16" x14ac:dyDescent="0.2">
      <c r="F21">
        <v>1</v>
      </c>
      <c r="G21">
        <v>0</v>
      </c>
      <c r="H21">
        <v>3.2</v>
      </c>
      <c r="I21">
        <v>1.9</v>
      </c>
      <c r="J21">
        <v>0.8</v>
      </c>
      <c r="K21">
        <f t="shared" si="1"/>
        <v>1.52</v>
      </c>
      <c r="L21" t="s">
        <v>459</v>
      </c>
    </row>
    <row r="22" spans="1:16" x14ac:dyDescent="0.2">
      <c r="F22">
        <v>1</v>
      </c>
      <c r="G22">
        <v>0</v>
      </c>
      <c r="H22">
        <v>4.5</v>
      </c>
      <c r="I22">
        <v>2.7</v>
      </c>
      <c r="J22">
        <v>1.9</v>
      </c>
      <c r="K22">
        <f t="shared" si="1"/>
        <v>5.13</v>
      </c>
      <c r="L22" s="15" t="s">
        <v>460</v>
      </c>
    </row>
    <row r="23" spans="1:16" x14ac:dyDescent="0.2">
      <c r="F23">
        <v>1</v>
      </c>
      <c r="G23">
        <v>0</v>
      </c>
      <c r="H23">
        <v>5.6</v>
      </c>
      <c r="I23">
        <v>3.4</v>
      </c>
      <c r="J23">
        <v>3.2</v>
      </c>
      <c r="K23">
        <f t="shared" si="1"/>
        <v>10.88</v>
      </c>
      <c r="L23" s="17" t="s">
        <v>461</v>
      </c>
    </row>
    <row r="24" spans="1:16" x14ac:dyDescent="0.2">
      <c r="F24">
        <v>1</v>
      </c>
      <c r="G24">
        <v>0</v>
      </c>
      <c r="H24">
        <v>0</v>
      </c>
      <c r="I24">
        <v>0</v>
      </c>
      <c r="J24">
        <v>0</v>
      </c>
      <c r="K24">
        <f t="shared" si="1"/>
        <v>0</v>
      </c>
      <c r="L24" t="s">
        <v>435</v>
      </c>
    </row>
    <row r="25" spans="1:16" x14ac:dyDescent="0.2">
      <c r="F25">
        <v>0</v>
      </c>
      <c r="G25">
        <v>1</v>
      </c>
      <c r="H25">
        <v>2.5</v>
      </c>
      <c r="I25">
        <v>1.9</v>
      </c>
      <c r="J25">
        <v>0.4</v>
      </c>
      <c r="K25">
        <f t="shared" si="1"/>
        <v>0.76</v>
      </c>
      <c r="L25" t="s">
        <v>426</v>
      </c>
      <c r="M25">
        <v>1</v>
      </c>
      <c r="N25">
        <v>1</v>
      </c>
      <c r="P25" t="s">
        <v>462</v>
      </c>
    </row>
    <row r="27" spans="1:16" x14ac:dyDescent="0.2">
      <c r="A27">
        <v>2</v>
      </c>
      <c r="B27" t="s">
        <v>12</v>
      </c>
      <c r="C27" s="1">
        <v>23438</v>
      </c>
      <c r="D27" s="1">
        <v>43374</v>
      </c>
      <c r="E27" t="s">
        <v>447</v>
      </c>
      <c r="F27">
        <v>1</v>
      </c>
      <c r="G27">
        <v>0</v>
      </c>
      <c r="H27">
        <v>4.8</v>
      </c>
      <c r="I27">
        <v>2</v>
      </c>
      <c r="J27">
        <v>17.7</v>
      </c>
      <c r="K27">
        <f t="shared" ref="K27:K39" si="2">(I27*J27)</f>
        <v>35.4</v>
      </c>
      <c r="L27" t="s">
        <v>550</v>
      </c>
    </row>
    <row r="28" spans="1:16" x14ac:dyDescent="0.2">
      <c r="F28">
        <v>1</v>
      </c>
      <c r="G28">
        <v>0</v>
      </c>
      <c r="H28">
        <v>13.9</v>
      </c>
      <c r="I28">
        <v>7.2</v>
      </c>
      <c r="J28">
        <v>14.4</v>
      </c>
      <c r="K28">
        <f t="shared" si="2"/>
        <v>103.68</v>
      </c>
      <c r="L28" t="s">
        <v>516</v>
      </c>
    </row>
    <row r="29" spans="1:16" x14ac:dyDescent="0.2">
      <c r="F29">
        <v>1</v>
      </c>
      <c r="G29">
        <v>0</v>
      </c>
      <c r="H29">
        <v>10.199999999999999</v>
      </c>
      <c r="I29">
        <v>6</v>
      </c>
      <c r="J29">
        <v>0.9</v>
      </c>
      <c r="K29">
        <f t="shared" si="2"/>
        <v>5.4</v>
      </c>
      <c r="L29" t="s">
        <v>820</v>
      </c>
    </row>
    <row r="30" spans="1:16" x14ac:dyDescent="0.2">
      <c r="F30">
        <v>1</v>
      </c>
      <c r="G30">
        <v>0</v>
      </c>
      <c r="H30">
        <v>10</v>
      </c>
      <c r="I30">
        <v>5.3</v>
      </c>
      <c r="J30">
        <v>3</v>
      </c>
      <c r="K30">
        <f t="shared" si="2"/>
        <v>15.899999999999999</v>
      </c>
      <c r="L30" t="s">
        <v>591</v>
      </c>
    </row>
    <row r="31" spans="1:16" x14ac:dyDescent="0.2">
      <c r="F31">
        <v>1</v>
      </c>
      <c r="G31">
        <v>0</v>
      </c>
      <c r="H31">
        <v>10</v>
      </c>
      <c r="I31">
        <v>5</v>
      </c>
      <c r="J31">
        <v>3.9</v>
      </c>
      <c r="K31">
        <f t="shared" si="2"/>
        <v>19.5</v>
      </c>
      <c r="L31" t="s">
        <v>570</v>
      </c>
    </row>
    <row r="32" spans="1:16" x14ac:dyDescent="0.2">
      <c r="F32">
        <v>1</v>
      </c>
      <c r="G32">
        <v>0</v>
      </c>
      <c r="H32">
        <v>8.8000000000000007</v>
      </c>
      <c r="I32">
        <v>5.8</v>
      </c>
      <c r="J32">
        <v>2.1</v>
      </c>
      <c r="K32">
        <f t="shared" si="2"/>
        <v>12.18</v>
      </c>
      <c r="L32" t="s">
        <v>552</v>
      </c>
    </row>
    <row r="33" spans="6:14" x14ac:dyDescent="0.2">
      <c r="F33">
        <v>1</v>
      </c>
      <c r="G33">
        <v>0</v>
      </c>
      <c r="H33">
        <v>10.199999999999999</v>
      </c>
      <c r="I33">
        <v>6</v>
      </c>
      <c r="J33">
        <v>2.2999999999999998</v>
      </c>
      <c r="K33">
        <f t="shared" si="2"/>
        <v>13.799999999999999</v>
      </c>
      <c r="L33" t="s">
        <v>821</v>
      </c>
    </row>
    <row r="34" spans="6:14" x14ac:dyDescent="0.2">
      <c r="F34">
        <v>1</v>
      </c>
      <c r="G34">
        <v>0</v>
      </c>
      <c r="H34">
        <v>6.1</v>
      </c>
      <c r="I34">
        <v>3.6</v>
      </c>
      <c r="J34">
        <v>5.7</v>
      </c>
      <c r="K34">
        <f t="shared" si="2"/>
        <v>20.52</v>
      </c>
      <c r="L34" t="s">
        <v>789</v>
      </c>
    </row>
    <row r="35" spans="6:14" x14ac:dyDescent="0.2">
      <c r="F35">
        <v>1</v>
      </c>
      <c r="G35">
        <v>0</v>
      </c>
      <c r="H35">
        <v>8.4</v>
      </c>
      <c r="I35">
        <v>4.7</v>
      </c>
      <c r="J35">
        <v>3.1</v>
      </c>
      <c r="K35">
        <f t="shared" si="2"/>
        <v>14.57</v>
      </c>
      <c r="L35" t="s">
        <v>314</v>
      </c>
    </row>
    <row r="36" spans="6:14" x14ac:dyDescent="0.2">
      <c r="F36">
        <v>1</v>
      </c>
      <c r="G36">
        <v>0</v>
      </c>
      <c r="H36">
        <v>7.7</v>
      </c>
      <c r="I36">
        <v>4.4000000000000004</v>
      </c>
      <c r="J36">
        <v>1.7</v>
      </c>
      <c r="K36">
        <f t="shared" si="2"/>
        <v>7.48</v>
      </c>
      <c r="L36" t="s">
        <v>315</v>
      </c>
    </row>
    <row r="37" spans="6:14" x14ac:dyDescent="0.2">
      <c r="F37">
        <v>1</v>
      </c>
      <c r="G37">
        <v>0</v>
      </c>
      <c r="H37">
        <v>4.0999999999999996</v>
      </c>
      <c r="I37">
        <v>2.5</v>
      </c>
      <c r="J37">
        <v>1.1000000000000001</v>
      </c>
      <c r="K37">
        <f t="shared" si="2"/>
        <v>2.75</v>
      </c>
      <c r="L37" t="s">
        <v>823</v>
      </c>
    </row>
    <row r="39" spans="6:14" x14ac:dyDescent="0.2">
      <c r="F39">
        <v>0</v>
      </c>
      <c r="G39">
        <v>1</v>
      </c>
      <c r="H39">
        <v>3.2</v>
      </c>
      <c r="I39">
        <v>2.2000000000000002</v>
      </c>
      <c r="J39">
        <v>0.7</v>
      </c>
      <c r="K39">
        <f t="shared" si="2"/>
        <v>1.54</v>
      </c>
      <c r="L39" t="s">
        <v>822</v>
      </c>
      <c r="M39">
        <v>1</v>
      </c>
      <c r="N39">
        <v>1</v>
      </c>
    </row>
    <row r="41" spans="6:14" x14ac:dyDescent="0.2">
      <c r="F41">
        <v>1</v>
      </c>
      <c r="G41">
        <v>0</v>
      </c>
      <c r="H41">
        <v>0</v>
      </c>
      <c r="I41">
        <v>0</v>
      </c>
      <c r="J41">
        <v>0</v>
      </c>
      <c r="K41">
        <f t="shared" ref="K41:K51" si="3">(I41*J41)</f>
        <v>0</v>
      </c>
      <c r="L41" t="s">
        <v>550</v>
      </c>
    </row>
    <row r="42" spans="6:14" x14ac:dyDescent="0.2">
      <c r="F42">
        <v>1</v>
      </c>
      <c r="G42">
        <v>0</v>
      </c>
      <c r="H42">
        <v>4</v>
      </c>
      <c r="I42">
        <v>1.9</v>
      </c>
      <c r="J42">
        <v>21.8</v>
      </c>
      <c r="K42">
        <f t="shared" si="3"/>
        <v>41.42</v>
      </c>
      <c r="L42" t="s">
        <v>516</v>
      </c>
    </row>
    <row r="43" spans="6:14" x14ac:dyDescent="0.2">
      <c r="F43">
        <v>1</v>
      </c>
      <c r="G43">
        <v>0</v>
      </c>
      <c r="H43">
        <v>0</v>
      </c>
      <c r="I43">
        <v>0</v>
      </c>
      <c r="J43">
        <v>0</v>
      </c>
      <c r="K43">
        <f t="shared" si="3"/>
        <v>0</v>
      </c>
      <c r="L43" t="s">
        <v>820</v>
      </c>
    </row>
    <row r="44" spans="6:14" x14ac:dyDescent="0.2">
      <c r="F44">
        <v>1</v>
      </c>
      <c r="G44">
        <v>0</v>
      </c>
      <c r="H44">
        <v>0</v>
      </c>
      <c r="I44">
        <v>0</v>
      </c>
      <c r="J44">
        <v>0</v>
      </c>
      <c r="K44">
        <f t="shared" si="3"/>
        <v>0</v>
      </c>
      <c r="L44" t="s">
        <v>591</v>
      </c>
    </row>
    <row r="45" spans="6:14" x14ac:dyDescent="0.2">
      <c r="F45">
        <v>1</v>
      </c>
      <c r="G45">
        <v>0</v>
      </c>
      <c r="H45">
        <v>0</v>
      </c>
      <c r="I45">
        <v>0</v>
      </c>
      <c r="J45">
        <v>0</v>
      </c>
      <c r="K45">
        <f t="shared" si="3"/>
        <v>0</v>
      </c>
      <c r="L45" t="s">
        <v>570</v>
      </c>
    </row>
    <row r="46" spans="6:14" x14ac:dyDescent="0.2">
      <c r="F46">
        <v>1</v>
      </c>
      <c r="G46">
        <v>0</v>
      </c>
      <c r="H46">
        <v>0</v>
      </c>
      <c r="I46">
        <v>0</v>
      </c>
      <c r="J46">
        <v>0</v>
      </c>
      <c r="K46">
        <f t="shared" si="3"/>
        <v>0</v>
      </c>
      <c r="L46" t="s">
        <v>552</v>
      </c>
    </row>
    <row r="47" spans="6:14" x14ac:dyDescent="0.2">
      <c r="F47">
        <v>1</v>
      </c>
      <c r="G47">
        <v>0</v>
      </c>
      <c r="H47">
        <v>0</v>
      </c>
      <c r="I47">
        <v>0</v>
      </c>
      <c r="J47">
        <v>0</v>
      </c>
      <c r="K47">
        <f t="shared" si="3"/>
        <v>0</v>
      </c>
      <c r="L47" t="s">
        <v>821</v>
      </c>
    </row>
    <row r="48" spans="6:14" x14ac:dyDescent="0.2">
      <c r="F48">
        <v>1</v>
      </c>
      <c r="G48">
        <v>0</v>
      </c>
      <c r="H48">
        <v>0</v>
      </c>
      <c r="I48">
        <v>0</v>
      </c>
      <c r="J48">
        <v>0</v>
      </c>
      <c r="K48">
        <f t="shared" si="3"/>
        <v>0</v>
      </c>
      <c r="L48" t="s">
        <v>789</v>
      </c>
    </row>
    <row r="49" spans="1:22" x14ac:dyDescent="0.2">
      <c r="F49">
        <v>1</v>
      </c>
      <c r="G49">
        <v>0</v>
      </c>
      <c r="H49">
        <v>0</v>
      </c>
      <c r="I49">
        <v>0</v>
      </c>
      <c r="J49">
        <v>0</v>
      </c>
      <c r="K49">
        <f t="shared" si="3"/>
        <v>0</v>
      </c>
      <c r="L49" t="s">
        <v>314</v>
      </c>
    </row>
    <row r="50" spans="1:22" x14ac:dyDescent="0.2">
      <c r="F50">
        <v>1</v>
      </c>
      <c r="G50">
        <v>0</v>
      </c>
      <c r="H50">
        <v>0</v>
      </c>
      <c r="I50">
        <v>0</v>
      </c>
      <c r="J50">
        <v>0</v>
      </c>
      <c r="K50">
        <f t="shared" si="3"/>
        <v>0</v>
      </c>
      <c r="L50" t="s">
        <v>315</v>
      </c>
    </row>
    <row r="51" spans="1:22" x14ac:dyDescent="0.2">
      <c r="F51">
        <v>1</v>
      </c>
      <c r="G51">
        <v>0</v>
      </c>
      <c r="H51">
        <v>0</v>
      </c>
      <c r="I51">
        <v>0</v>
      </c>
      <c r="J51">
        <v>0</v>
      </c>
      <c r="K51">
        <f t="shared" si="3"/>
        <v>0</v>
      </c>
      <c r="L51" t="s">
        <v>823</v>
      </c>
    </row>
    <row r="53" spans="1:22" x14ac:dyDescent="0.2">
      <c r="F53">
        <v>0</v>
      </c>
      <c r="G53">
        <v>1</v>
      </c>
      <c r="H53">
        <v>0</v>
      </c>
      <c r="I53">
        <v>0</v>
      </c>
      <c r="J53">
        <v>0</v>
      </c>
      <c r="K53">
        <f>(I53*J53)</f>
        <v>0</v>
      </c>
      <c r="L53" t="s">
        <v>822</v>
      </c>
      <c r="M53">
        <v>1</v>
      </c>
      <c r="N53">
        <v>0</v>
      </c>
      <c r="P53" t="s">
        <v>824</v>
      </c>
      <c r="T53">
        <v>0</v>
      </c>
    </row>
    <row r="55" spans="1:22" x14ac:dyDescent="0.2">
      <c r="A55">
        <v>3</v>
      </c>
      <c r="B55" t="s">
        <v>825</v>
      </c>
      <c r="C55" s="1">
        <v>30062</v>
      </c>
      <c r="D55" s="1">
        <v>43423</v>
      </c>
      <c r="E55" t="s">
        <v>387</v>
      </c>
      <c r="F55">
        <v>1</v>
      </c>
      <c r="G55">
        <v>0</v>
      </c>
      <c r="H55">
        <v>4.8</v>
      </c>
      <c r="I55">
        <v>2.8</v>
      </c>
      <c r="J55">
        <v>1.8</v>
      </c>
      <c r="K55">
        <f t="shared" ref="K55:K73" si="4">(I55*J55)</f>
        <v>5.04</v>
      </c>
      <c r="L55" t="s">
        <v>826</v>
      </c>
      <c r="V55" s="1"/>
    </row>
    <row r="56" spans="1:22" x14ac:dyDescent="0.2">
      <c r="F56">
        <v>1</v>
      </c>
      <c r="G56">
        <v>0</v>
      </c>
      <c r="H56">
        <v>4.5</v>
      </c>
      <c r="I56">
        <v>2.6</v>
      </c>
      <c r="J56">
        <v>3</v>
      </c>
      <c r="K56">
        <f t="shared" si="4"/>
        <v>7.8000000000000007</v>
      </c>
      <c r="L56" t="s">
        <v>430</v>
      </c>
    </row>
    <row r="57" spans="1:22" x14ac:dyDescent="0.2">
      <c r="F57">
        <v>1</v>
      </c>
      <c r="G57">
        <v>0</v>
      </c>
      <c r="H57">
        <v>3.7</v>
      </c>
      <c r="I57">
        <v>2.5</v>
      </c>
      <c r="J57">
        <v>1.7</v>
      </c>
      <c r="K57">
        <f t="shared" si="4"/>
        <v>4.25</v>
      </c>
      <c r="L57" t="s">
        <v>431</v>
      </c>
    </row>
    <row r="58" spans="1:22" x14ac:dyDescent="0.2">
      <c r="F58">
        <v>1</v>
      </c>
      <c r="G58">
        <v>0</v>
      </c>
      <c r="H58">
        <v>4.9000000000000004</v>
      </c>
      <c r="I58">
        <v>2.7</v>
      </c>
      <c r="J58">
        <v>1.5</v>
      </c>
      <c r="K58">
        <f t="shared" si="4"/>
        <v>4.0500000000000007</v>
      </c>
      <c r="L58" t="s">
        <v>432</v>
      </c>
    </row>
    <row r="59" spans="1:22" x14ac:dyDescent="0.2">
      <c r="F59">
        <v>1</v>
      </c>
      <c r="G59">
        <v>0</v>
      </c>
      <c r="H59">
        <v>4.9000000000000004</v>
      </c>
      <c r="I59">
        <v>3</v>
      </c>
      <c r="J59">
        <v>1.2</v>
      </c>
      <c r="K59">
        <f t="shared" si="4"/>
        <v>3.5999999999999996</v>
      </c>
      <c r="L59" t="s">
        <v>433</v>
      </c>
    </row>
    <row r="60" spans="1:22" x14ac:dyDescent="0.2">
      <c r="F60">
        <v>1</v>
      </c>
      <c r="G60">
        <v>0</v>
      </c>
      <c r="H60">
        <v>3.9</v>
      </c>
      <c r="I60">
        <v>2.5</v>
      </c>
      <c r="J60">
        <v>2.9</v>
      </c>
      <c r="K60">
        <f t="shared" si="4"/>
        <v>7.25</v>
      </c>
      <c r="L60" t="s">
        <v>434</v>
      </c>
    </row>
    <row r="61" spans="1:22" x14ac:dyDescent="0.2">
      <c r="F61">
        <v>1</v>
      </c>
      <c r="G61">
        <v>0</v>
      </c>
      <c r="H61">
        <v>4.5999999999999996</v>
      </c>
      <c r="I61">
        <v>2.1</v>
      </c>
      <c r="J61">
        <v>3.6</v>
      </c>
      <c r="K61">
        <f t="shared" si="4"/>
        <v>7.5600000000000005</v>
      </c>
      <c r="L61" t="s">
        <v>435</v>
      </c>
    </row>
    <row r="62" spans="1:22" x14ac:dyDescent="0.2">
      <c r="F62">
        <v>1</v>
      </c>
      <c r="G62">
        <v>0</v>
      </c>
      <c r="H62">
        <v>6.2</v>
      </c>
      <c r="I62">
        <v>3.7</v>
      </c>
      <c r="J62">
        <v>1.3</v>
      </c>
      <c r="K62">
        <f t="shared" si="4"/>
        <v>4.8100000000000005</v>
      </c>
      <c r="L62" t="s">
        <v>441</v>
      </c>
    </row>
    <row r="63" spans="1:22" x14ac:dyDescent="0.2">
      <c r="F63">
        <v>1</v>
      </c>
      <c r="G63">
        <v>0</v>
      </c>
      <c r="H63">
        <v>5.4</v>
      </c>
      <c r="I63">
        <v>3</v>
      </c>
      <c r="J63">
        <v>5.8</v>
      </c>
      <c r="K63">
        <f t="shared" si="4"/>
        <v>17.399999999999999</v>
      </c>
      <c r="L63" t="s">
        <v>436</v>
      </c>
    </row>
    <row r="64" spans="1:22" x14ac:dyDescent="0.2">
      <c r="F64">
        <v>1</v>
      </c>
      <c r="G64">
        <v>0</v>
      </c>
      <c r="H64">
        <v>5.0999999999999996</v>
      </c>
      <c r="I64">
        <v>3.1</v>
      </c>
      <c r="J64">
        <v>2.2000000000000002</v>
      </c>
      <c r="K64">
        <f t="shared" si="4"/>
        <v>6.8200000000000012</v>
      </c>
      <c r="L64" t="s">
        <v>436</v>
      </c>
    </row>
    <row r="65" spans="6:22" x14ac:dyDescent="0.2">
      <c r="F65">
        <v>1</v>
      </c>
      <c r="G65">
        <v>0</v>
      </c>
      <c r="H65">
        <v>5.2</v>
      </c>
      <c r="I65">
        <v>3.1</v>
      </c>
      <c r="J65">
        <v>1.6</v>
      </c>
      <c r="K65">
        <f t="shared" si="4"/>
        <v>4.9600000000000009</v>
      </c>
      <c r="L65" t="s">
        <v>436</v>
      </c>
    </row>
    <row r="66" spans="6:22" x14ac:dyDescent="0.2">
      <c r="F66">
        <v>1</v>
      </c>
      <c r="G66">
        <v>0</v>
      </c>
      <c r="H66">
        <v>4.0999999999999996</v>
      </c>
      <c r="I66">
        <v>2.2000000000000002</v>
      </c>
      <c r="J66">
        <v>2.1</v>
      </c>
      <c r="K66">
        <f t="shared" si="4"/>
        <v>4.620000000000001</v>
      </c>
      <c r="L66" t="s">
        <v>437</v>
      </c>
    </row>
    <row r="67" spans="6:22" x14ac:dyDescent="0.2">
      <c r="F67">
        <v>1</v>
      </c>
      <c r="G67">
        <v>0</v>
      </c>
      <c r="H67">
        <v>8.1999999999999993</v>
      </c>
      <c r="I67">
        <v>4.7</v>
      </c>
      <c r="J67">
        <v>1.4</v>
      </c>
      <c r="K67">
        <f t="shared" si="4"/>
        <v>6.58</v>
      </c>
      <c r="L67" t="s">
        <v>438</v>
      </c>
    </row>
    <row r="68" spans="6:22" x14ac:dyDescent="0.2">
      <c r="F68">
        <v>1</v>
      </c>
      <c r="G68">
        <v>0</v>
      </c>
      <c r="H68">
        <v>8.3000000000000007</v>
      </c>
      <c r="I68">
        <v>4.8</v>
      </c>
      <c r="J68">
        <v>1.2</v>
      </c>
      <c r="K68">
        <f t="shared" si="4"/>
        <v>5.76</v>
      </c>
      <c r="L68" t="s">
        <v>439</v>
      </c>
    </row>
    <row r="69" spans="6:22" x14ac:dyDescent="0.2">
      <c r="F69">
        <v>1</v>
      </c>
      <c r="G69">
        <v>0</v>
      </c>
      <c r="H69">
        <v>5.2</v>
      </c>
      <c r="I69">
        <v>3.1</v>
      </c>
      <c r="J69">
        <v>1.4</v>
      </c>
      <c r="K69">
        <f t="shared" si="4"/>
        <v>4.34</v>
      </c>
      <c r="L69" t="s">
        <v>438</v>
      </c>
    </row>
    <row r="70" spans="6:22" x14ac:dyDescent="0.2">
      <c r="F70">
        <v>1</v>
      </c>
      <c r="G70">
        <v>0</v>
      </c>
      <c r="H70">
        <v>4</v>
      </c>
      <c r="I70">
        <v>2.4</v>
      </c>
      <c r="J70">
        <v>1.6</v>
      </c>
      <c r="K70">
        <f t="shared" si="4"/>
        <v>3.84</v>
      </c>
      <c r="L70" t="s">
        <v>440</v>
      </c>
    </row>
    <row r="71" spans="6:22" x14ac:dyDescent="0.2">
      <c r="F71">
        <v>1</v>
      </c>
      <c r="G71">
        <v>0</v>
      </c>
      <c r="H71">
        <v>4.5</v>
      </c>
      <c r="I71">
        <v>2.6</v>
      </c>
      <c r="J71">
        <v>1.2</v>
      </c>
      <c r="K71">
        <f t="shared" si="4"/>
        <v>3.12</v>
      </c>
      <c r="L71" t="s">
        <v>443</v>
      </c>
    </row>
    <row r="72" spans="6:22" x14ac:dyDescent="0.2">
      <c r="F72">
        <v>1</v>
      </c>
      <c r="G72">
        <v>0</v>
      </c>
      <c r="H72">
        <v>6.2</v>
      </c>
      <c r="I72">
        <v>3.3</v>
      </c>
      <c r="J72">
        <v>3</v>
      </c>
      <c r="K72">
        <f t="shared" si="4"/>
        <v>9.8999999999999986</v>
      </c>
      <c r="L72" t="s">
        <v>444</v>
      </c>
    </row>
    <row r="73" spans="6:22" x14ac:dyDescent="0.2">
      <c r="F73">
        <v>1</v>
      </c>
      <c r="G73">
        <v>0</v>
      </c>
      <c r="H73">
        <v>4.5</v>
      </c>
      <c r="I73">
        <v>3.1</v>
      </c>
      <c r="J73">
        <v>1.8</v>
      </c>
      <c r="K73">
        <f t="shared" si="4"/>
        <v>5.58</v>
      </c>
      <c r="L73" t="s">
        <v>445</v>
      </c>
    </row>
    <row r="75" spans="6:22" x14ac:dyDescent="0.2">
      <c r="F75">
        <v>0</v>
      </c>
      <c r="G75">
        <v>1</v>
      </c>
      <c r="H75">
        <v>2.2000000000000002</v>
      </c>
      <c r="I75">
        <v>1.4</v>
      </c>
      <c r="J75">
        <v>1.2</v>
      </c>
      <c r="K75">
        <f t="shared" ref="K75:K80" si="5">(I75*J75)</f>
        <v>1.68</v>
      </c>
      <c r="L75" t="s">
        <v>272</v>
      </c>
    </row>
    <row r="76" spans="6:22" x14ac:dyDescent="0.2">
      <c r="F76">
        <v>0</v>
      </c>
      <c r="G76">
        <v>1</v>
      </c>
      <c r="H76">
        <v>2.1</v>
      </c>
      <c r="I76">
        <v>1.5</v>
      </c>
      <c r="J76">
        <v>1.1000000000000001</v>
      </c>
      <c r="K76">
        <f t="shared" si="5"/>
        <v>1.6500000000000001</v>
      </c>
      <c r="L76" t="s">
        <v>187</v>
      </c>
    </row>
    <row r="77" spans="6:22" x14ac:dyDescent="0.2">
      <c r="F77">
        <v>0</v>
      </c>
      <c r="G77">
        <v>1</v>
      </c>
      <c r="H77">
        <v>2.1</v>
      </c>
      <c r="I77">
        <v>1.8</v>
      </c>
      <c r="J77">
        <v>1.1000000000000001</v>
      </c>
      <c r="K77">
        <f t="shared" si="5"/>
        <v>1.9800000000000002</v>
      </c>
      <c r="L77" t="s">
        <v>107</v>
      </c>
    </row>
    <row r="78" spans="6:22" x14ac:dyDescent="0.2">
      <c r="F78">
        <v>0</v>
      </c>
      <c r="G78">
        <v>1</v>
      </c>
      <c r="H78">
        <v>1.3</v>
      </c>
      <c r="I78">
        <v>0.8</v>
      </c>
      <c r="J78">
        <v>1.2</v>
      </c>
      <c r="K78">
        <f t="shared" si="5"/>
        <v>0.96</v>
      </c>
      <c r="L78" t="s">
        <v>442</v>
      </c>
    </row>
    <row r="79" spans="6:22" x14ac:dyDescent="0.2">
      <c r="F79">
        <v>0</v>
      </c>
      <c r="G79">
        <v>1</v>
      </c>
      <c r="H79">
        <v>2.7</v>
      </c>
      <c r="I79">
        <v>2.1</v>
      </c>
      <c r="J79">
        <v>1.3</v>
      </c>
      <c r="K79">
        <f t="shared" si="5"/>
        <v>2.7300000000000004</v>
      </c>
      <c r="L79" t="s">
        <v>446</v>
      </c>
    </row>
    <row r="80" spans="6:22" x14ac:dyDescent="0.2">
      <c r="F80">
        <v>0</v>
      </c>
      <c r="G80">
        <v>1</v>
      </c>
      <c r="H80">
        <v>3.6</v>
      </c>
      <c r="I80">
        <v>2.1</v>
      </c>
      <c r="J80">
        <v>2.2999999999999998</v>
      </c>
      <c r="K80">
        <f t="shared" si="5"/>
        <v>4.83</v>
      </c>
      <c r="L80" t="s">
        <v>827</v>
      </c>
      <c r="M80">
        <v>1</v>
      </c>
      <c r="N80">
        <v>1</v>
      </c>
      <c r="T80">
        <v>1</v>
      </c>
      <c r="U80" t="s">
        <v>1083</v>
      </c>
      <c r="V80" s="1">
        <v>43375</v>
      </c>
    </row>
    <row r="82" spans="4:12" x14ac:dyDescent="0.2">
      <c r="D82" s="1">
        <v>43682</v>
      </c>
      <c r="F82">
        <v>1</v>
      </c>
      <c r="G82">
        <v>0</v>
      </c>
      <c r="H82">
        <v>0</v>
      </c>
      <c r="I82">
        <v>0</v>
      </c>
      <c r="J82">
        <v>1.8</v>
      </c>
      <c r="K82">
        <f t="shared" ref="K82:K100" si="6">(I82*J82)</f>
        <v>0</v>
      </c>
      <c r="L82" t="s">
        <v>826</v>
      </c>
    </row>
    <row r="83" spans="4:12" x14ac:dyDescent="0.2">
      <c r="F83">
        <v>1</v>
      </c>
      <c r="G83">
        <v>0</v>
      </c>
      <c r="H83">
        <v>0</v>
      </c>
      <c r="I83">
        <v>0</v>
      </c>
      <c r="J83">
        <v>0</v>
      </c>
      <c r="K83">
        <f t="shared" si="6"/>
        <v>0</v>
      </c>
      <c r="L83" t="s">
        <v>430</v>
      </c>
    </row>
    <row r="84" spans="4:12" x14ac:dyDescent="0.2">
      <c r="F84">
        <v>1</v>
      </c>
      <c r="G84">
        <v>0</v>
      </c>
      <c r="H84">
        <v>0</v>
      </c>
      <c r="I84">
        <v>0</v>
      </c>
      <c r="J84">
        <v>0</v>
      </c>
      <c r="K84">
        <f t="shared" si="6"/>
        <v>0</v>
      </c>
      <c r="L84" t="s">
        <v>431</v>
      </c>
    </row>
    <row r="85" spans="4:12" x14ac:dyDescent="0.2">
      <c r="F85">
        <v>1</v>
      </c>
      <c r="G85">
        <v>0</v>
      </c>
      <c r="H85">
        <v>0</v>
      </c>
      <c r="I85">
        <v>0</v>
      </c>
      <c r="J85">
        <v>0</v>
      </c>
      <c r="K85">
        <f t="shared" si="6"/>
        <v>0</v>
      </c>
      <c r="L85" t="s">
        <v>432</v>
      </c>
    </row>
    <row r="86" spans="4:12" x14ac:dyDescent="0.2">
      <c r="F86">
        <v>1</v>
      </c>
      <c r="G86">
        <v>0</v>
      </c>
      <c r="H86">
        <v>0</v>
      </c>
      <c r="I86">
        <v>0</v>
      </c>
      <c r="J86">
        <v>0</v>
      </c>
      <c r="K86">
        <f t="shared" si="6"/>
        <v>0</v>
      </c>
      <c r="L86" t="s">
        <v>433</v>
      </c>
    </row>
    <row r="87" spans="4:12" x14ac:dyDescent="0.2">
      <c r="F87">
        <v>1</v>
      </c>
      <c r="G87">
        <v>0</v>
      </c>
      <c r="H87">
        <v>0</v>
      </c>
      <c r="I87">
        <v>0</v>
      </c>
      <c r="J87">
        <v>0</v>
      </c>
      <c r="K87">
        <f t="shared" si="6"/>
        <v>0</v>
      </c>
      <c r="L87" t="s">
        <v>434</v>
      </c>
    </row>
    <row r="88" spans="4:12" x14ac:dyDescent="0.2">
      <c r="F88">
        <v>1</v>
      </c>
      <c r="G88">
        <v>0</v>
      </c>
      <c r="H88">
        <v>0</v>
      </c>
      <c r="I88">
        <v>0</v>
      </c>
      <c r="J88">
        <v>0</v>
      </c>
      <c r="K88">
        <f t="shared" si="6"/>
        <v>0</v>
      </c>
      <c r="L88" t="s">
        <v>435</v>
      </c>
    </row>
    <row r="89" spans="4:12" x14ac:dyDescent="0.2">
      <c r="F89">
        <v>1</v>
      </c>
      <c r="G89">
        <v>0</v>
      </c>
      <c r="H89">
        <v>0</v>
      </c>
      <c r="I89">
        <v>0</v>
      </c>
      <c r="J89">
        <v>0</v>
      </c>
      <c r="K89">
        <f t="shared" si="6"/>
        <v>0</v>
      </c>
      <c r="L89" t="s">
        <v>441</v>
      </c>
    </row>
    <row r="90" spans="4:12" x14ac:dyDescent="0.2">
      <c r="F90">
        <v>1</v>
      </c>
      <c r="G90">
        <v>0</v>
      </c>
      <c r="H90">
        <v>0</v>
      </c>
      <c r="I90">
        <v>0</v>
      </c>
      <c r="J90">
        <v>0</v>
      </c>
      <c r="K90">
        <f t="shared" si="6"/>
        <v>0</v>
      </c>
      <c r="L90" t="s">
        <v>436</v>
      </c>
    </row>
    <row r="91" spans="4:12" x14ac:dyDescent="0.2">
      <c r="F91">
        <v>1</v>
      </c>
      <c r="G91">
        <v>0</v>
      </c>
      <c r="H91">
        <v>0</v>
      </c>
      <c r="I91">
        <v>0</v>
      </c>
      <c r="J91">
        <v>0</v>
      </c>
      <c r="K91">
        <f t="shared" si="6"/>
        <v>0</v>
      </c>
      <c r="L91" t="s">
        <v>436</v>
      </c>
    </row>
    <row r="92" spans="4:12" x14ac:dyDescent="0.2">
      <c r="F92">
        <v>1</v>
      </c>
      <c r="G92">
        <v>0</v>
      </c>
      <c r="H92">
        <v>0</v>
      </c>
      <c r="I92">
        <v>0</v>
      </c>
      <c r="J92">
        <v>0</v>
      </c>
      <c r="K92">
        <f t="shared" si="6"/>
        <v>0</v>
      </c>
      <c r="L92" t="s">
        <v>436</v>
      </c>
    </row>
    <row r="93" spans="4:12" x14ac:dyDescent="0.2">
      <c r="F93">
        <v>1</v>
      </c>
      <c r="G93">
        <v>0</v>
      </c>
      <c r="H93">
        <v>0</v>
      </c>
      <c r="I93">
        <v>0</v>
      </c>
      <c r="J93">
        <v>0</v>
      </c>
      <c r="K93">
        <f t="shared" si="6"/>
        <v>0</v>
      </c>
      <c r="L93" t="s">
        <v>437</v>
      </c>
    </row>
    <row r="94" spans="4:12" x14ac:dyDescent="0.2">
      <c r="F94">
        <v>1</v>
      </c>
      <c r="G94">
        <v>0</v>
      </c>
      <c r="H94">
        <v>0</v>
      </c>
      <c r="I94">
        <v>0</v>
      </c>
      <c r="J94">
        <v>0</v>
      </c>
      <c r="K94">
        <f t="shared" si="6"/>
        <v>0</v>
      </c>
      <c r="L94" t="s">
        <v>438</v>
      </c>
    </row>
    <row r="95" spans="4:12" x14ac:dyDescent="0.2">
      <c r="F95">
        <v>1</v>
      </c>
      <c r="G95">
        <v>0</v>
      </c>
      <c r="H95">
        <v>0</v>
      </c>
      <c r="I95">
        <v>0</v>
      </c>
      <c r="J95">
        <v>0</v>
      </c>
      <c r="K95">
        <f t="shared" si="6"/>
        <v>0</v>
      </c>
      <c r="L95" t="s">
        <v>439</v>
      </c>
    </row>
    <row r="96" spans="4:12" x14ac:dyDescent="0.2">
      <c r="F96">
        <v>1</v>
      </c>
      <c r="G96">
        <v>0</v>
      </c>
      <c r="H96">
        <v>0</v>
      </c>
      <c r="I96">
        <v>0</v>
      </c>
      <c r="J96">
        <v>0</v>
      </c>
      <c r="K96">
        <f t="shared" si="6"/>
        <v>0</v>
      </c>
      <c r="L96" t="s">
        <v>438</v>
      </c>
    </row>
    <row r="97" spans="1:16" x14ac:dyDescent="0.2">
      <c r="F97">
        <v>1</v>
      </c>
      <c r="G97">
        <v>0</v>
      </c>
      <c r="H97">
        <v>0</v>
      </c>
      <c r="I97">
        <v>0</v>
      </c>
      <c r="J97">
        <v>0</v>
      </c>
      <c r="K97">
        <f t="shared" si="6"/>
        <v>0</v>
      </c>
      <c r="L97" t="s">
        <v>440</v>
      </c>
    </row>
    <row r="98" spans="1:16" x14ac:dyDescent="0.2">
      <c r="F98">
        <v>1</v>
      </c>
      <c r="G98">
        <v>0</v>
      </c>
      <c r="H98">
        <v>0</v>
      </c>
      <c r="I98">
        <v>0</v>
      </c>
      <c r="J98">
        <v>0</v>
      </c>
      <c r="K98">
        <f t="shared" si="6"/>
        <v>0</v>
      </c>
      <c r="L98" t="s">
        <v>443</v>
      </c>
    </row>
    <row r="99" spans="1:16" x14ac:dyDescent="0.2">
      <c r="F99">
        <v>1</v>
      </c>
      <c r="G99">
        <v>0</v>
      </c>
      <c r="H99">
        <v>0</v>
      </c>
      <c r="I99">
        <v>0</v>
      </c>
      <c r="J99">
        <v>0</v>
      </c>
      <c r="K99">
        <f t="shared" si="6"/>
        <v>0</v>
      </c>
      <c r="L99" t="s">
        <v>444</v>
      </c>
    </row>
    <row r="100" spans="1:16" x14ac:dyDescent="0.2">
      <c r="F100">
        <v>1</v>
      </c>
      <c r="G100">
        <v>0</v>
      </c>
      <c r="H100">
        <v>0</v>
      </c>
      <c r="I100">
        <v>0</v>
      </c>
      <c r="J100">
        <v>0</v>
      </c>
      <c r="K100">
        <f t="shared" si="6"/>
        <v>0</v>
      </c>
      <c r="L100" t="s">
        <v>445</v>
      </c>
    </row>
    <row r="102" spans="1:16" x14ac:dyDescent="0.2">
      <c r="F102">
        <v>0</v>
      </c>
      <c r="G102">
        <v>1</v>
      </c>
      <c r="H102">
        <v>1.9</v>
      </c>
      <c r="I102">
        <v>1.2</v>
      </c>
      <c r="J102">
        <v>1.2</v>
      </c>
      <c r="K102">
        <f t="shared" ref="K102:K107" si="7">(I102*J102)</f>
        <v>1.44</v>
      </c>
      <c r="L102" t="s">
        <v>272</v>
      </c>
    </row>
    <row r="103" spans="1:16" x14ac:dyDescent="0.2">
      <c r="F103">
        <v>0</v>
      </c>
      <c r="G103">
        <v>1</v>
      </c>
      <c r="H103">
        <v>1.8</v>
      </c>
      <c r="I103">
        <v>1.3</v>
      </c>
      <c r="J103">
        <v>1.1000000000000001</v>
      </c>
      <c r="K103">
        <f t="shared" si="7"/>
        <v>1.4300000000000002</v>
      </c>
      <c r="L103" t="s">
        <v>187</v>
      </c>
    </row>
    <row r="104" spans="1:16" x14ac:dyDescent="0.2">
      <c r="F104">
        <v>0</v>
      </c>
      <c r="G104">
        <v>1</v>
      </c>
      <c r="H104">
        <v>0</v>
      </c>
      <c r="I104">
        <v>0</v>
      </c>
      <c r="J104">
        <v>0</v>
      </c>
      <c r="K104">
        <f t="shared" si="7"/>
        <v>0</v>
      </c>
      <c r="L104" t="s">
        <v>107</v>
      </c>
    </row>
    <row r="105" spans="1:16" x14ac:dyDescent="0.2">
      <c r="F105">
        <v>0</v>
      </c>
      <c r="G105">
        <v>1</v>
      </c>
      <c r="H105">
        <v>1.1000000000000001</v>
      </c>
      <c r="I105">
        <v>0.7</v>
      </c>
      <c r="J105">
        <v>1.2</v>
      </c>
      <c r="K105">
        <f t="shared" si="7"/>
        <v>0.84</v>
      </c>
      <c r="L105" t="s">
        <v>442</v>
      </c>
    </row>
    <row r="106" spans="1:16" x14ac:dyDescent="0.2">
      <c r="F106">
        <v>0</v>
      </c>
      <c r="G106">
        <v>1</v>
      </c>
      <c r="H106">
        <v>0</v>
      </c>
      <c r="I106">
        <v>0</v>
      </c>
      <c r="J106">
        <v>0</v>
      </c>
      <c r="K106">
        <f t="shared" si="7"/>
        <v>0</v>
      </c>
      <c r="L106" t="s">
        <v>446</v>
      </c>
    </row>
    <row r="107" spans="1:16" x14ac:dyDescent="0.2">
      <c r="F107">
        <v>0</v>
      </c>
      <c r="G107">
        <v>1</v>
      </c>
      <c r="H107">
        <v>3.6</v>
      </c>
      <c r="I107">
        <v>2.1</v>
      </c>
      <c r="J107">
        <v>3.3</v>
      </c>
      <c r="K107">
        <f t="shared" si="7"/>
        <v>6.93</v>
      </c>
      <c r="L107" t="s">
        <v>827</v>
      </c>
      <c r="M107">
        <v>1</v>
      </c>
      <c r="N107">
        <v>1</v>
      </c>
      <c r="P107" t="s">
        <v>828</v>
      </c>
    </row>
    <row r="109" spans="1:16" x14ac:dyDescent="0.2">
      <c r="A109">
        <v>4</v>
      </c>
      <c r="B109" t="s">
        <v>31</v>
      </c>
      <c r="C109" s="1">
        <v>23467</v>
      </c>
      <c r="D109" s="1">
        <v>43472</v>
      </c>
      <c r="E109" t="s">
        <v>387</v>
      </c>
      <c r="F109">
        <v>1</v>
      </c>
      <c r="G109">
        <v>0</v>
      </c>
      <c r="H109">
        <v>9</v>
      </c>
      <c r="I109">
        <v>4.9000000000000004</v>
      </c>
      <c r="J109">
        <v>2.4</v>
      </c>
      <c r="K109">
        <f t="shared" ref="K109:K125" si="8">(I109*J109)</f>
        <v>11.76</v>
      </c>
      <c r="L109" t="s">
        <v>495</v>
      </c>
    </row>
    <row r="110" spans="1:16" x14ac:dyDescent="0.2">
      <c r="F110">
        <v>1</v>
      </c>
      <c r="G110">
        <v>0</v>
      </c>
      <c r="H110">
        <v>4.8</v>
      </c>
      <c r="I110">
        <v>3.6</v>
      </c>
      <c r="J110">
        <v>1.5</v>
      </c>
      <c r="K110">
        <f t="shared" si="8"/>
        <v>5.4</v>
      </c>
      <c r="L110" t="s">
        <v>496</v>
      </c>
    </row>
    <row r="111" spans="1:16" x14ac:dyDescent="0.2">
      <c r="F111">
        <v>1</v>
      </c>
      <c r="G111">
        <v>0</v>
      </c>
      <c r="H111">
        <v>4.8</v>
      </c>
      <c r="I111">
        <v>3</v>
      </c>
      <c r="J111">
        <v>2.2000000000000002</v>
      </c>
      <c r="K111">
        <f t="shared" si="8"/>
        <v>6.6000000000000005</v>
      </c>
      <c r="L111" t="s">
        <v>497</v>
      </c>
    </row>
    <row r="112" spans="1:16" x14ac:dyDescent="0.2">
      <c r="F112">
        <v>1</v>
      </c>
      <c r="G112">
        <v>0</v>
      </c>
      <c r="H112">
        <v>4.5</v>
      </c>
      <c r="I112">
        <v>2.6</v>
      </c>
      <c r="J112">
        <v>1.8</v>
      </c>
      <c r="K112">
        <f t="shared" si="8"/>
        <v>4.6800000000000006</v>
      </c>
      <c r="L112" t="s">
        <v>498</v>
      </c>
    </row>
    <row r="113" spans="4:14" x14ac:dyDescent="0.2">
      <c r="F113">
        <v>1</v>
      </c>
      <c r="G113">
        <v>0</v>
      </c>
      <c r="H113">
        <v>4.9000000000000004</v>
      </c>
      <c r="I113">
        <v>2.6</v>
      </c>
      <c r="J113">
        <v>1.9</v>
      </c>
      <c r="K113">
        <f t="shared" si="8"/>
        <v>4.9399999999999995</v>
      </c>
      <c r="L113" t="s">
        <v>499</v>
      </c>
    </row>
    <row r="114" spans="4:14" x14ac:dyDescent="0.2">
      <c r="F114">
        <v>1</v>
      </c>
      <c r="G114">
        <v>0</v>
      </c>
      <c r="H114">
        <v>6.1</v>
      </c>
      <c r="I114">
        <v>3.3</v>
      </c>
      <c r="J114">
        <v>1.4</v>
      </c>
      <c r="K114">
        <f t="shared" si="8"/>
        <v>4.6199999999999992</v>
      </c>
      <c r="L114" t="s">
        <v>169</v>
      </c>
    </row>
    <row r="115" spans="4:14" x14ac:dyDescent="0.2">
      <c r="F115">
        <v>1</v>
      </c>
      <c r="G115">
        <v>0</v>
      </c>
      <c r="H115">
        <v>3.4</v>
      </c>
      <c r="I115">
        <v>2.6</v>
      </c>
      <c r="J115">
        <v>1.5</v>
      </c>
      <c r="K115">
        <f t="shared" si="8"/>
        <v>3.9000000000000004</v>
      </c>
      <c r="L115" t="s">
        <v>500</v>
      </c>
    </row>
    <row r="116" spans="4:14" x14ac:dyDescent="0.2">
      <c r="F116">
        <v>1</v>
      </c>
      <c r="G116">
        <v>0</v>
      </c>
      <c r="H116">
        <v>3.9</v>
      </c>
      <c r="I116">
        <v>2.8</v>
      </c>
      <c r="J116">
        <v>1.2</v>
      </c>
      <c r="K116">
        <f t="shared" si="8"/>
        <v>3.36</v>
      </c>
      <c r="L116" t="s">
        <v>500</v>
      </c>
    </row>
    <row r="118" spans="4:14" x14ac:dyDescent="0.2">
      <c r="F118">
        <v>0</v>
      </c>
      <c r="G118">
        <v>1</v>
      </c>
      <c r="H118">
        <v>2</v>
      </c>
      <c r="I118">
        <v>1.5</v>
      </c>
      <c r="J118">
        <v>0.8</v>
      </c>
      <c r="K118">
        <f t="shared" si="8"/>
        <v>1.2000000000000002</v>
      </c>
      <c r="L118" t="s">
        <v>501</v>
      </c>
    </row>
    <row r="119" spans="4:14" x14ac:dyDescent="0.2">
      <c r="F119">
        <v>0</v>
      </c>
      <c r="G119">
        <v>1</v>
      </c>
      <c r="H119">
        <v>2</v>
      </c>
      <c r="I119">
        <v>1.6</v>
      </c>
      <c r="J119">
        <v>0.9</v>
      </c>
      <c r="K119">
        <f t="shared" si="8"/>
        <v>1.4400000000000002</v>
      </c>
      <c r="L119" t="s">
        <v>502</v>
      </c>
    </row>
    <row r="120" spans="4:14" x14ac:dyDescent="0.2">
      <c r="F120">
        <v>0</v>
      </c>
      <c r="G120">
        <v>1</v>
      </c>
      <c r="H120">
        <v>2.2000000000000002</v>
      </c>
      <c r="I120">
        <v>2.2000000000000002</v>
      </c>
      <c r="J120">
        <v>0.9</v>
      </c>
      <c r="K120">
        <f t="shared" si="8"/>
        <v>1.9800000000000002</v>
      </c>
      <c r="L120" t="s">
        <v>503</v>
      </c>
    </row>
    <row r="121" spans="4:14" x14ac:dyDescent="0.2">
      <c r="F121">
        <v>0</v>
      </c>
      <c r="G121">
        <v>1</v>
      </c>
      <c r="H121">
        <v>2.2999999999999998</v>
      </c>
      <c r="I121">
        <v>1.9</v>
      </c>
      <c r="J121">
        <v>1.1000000000000001</v>
      </c>
      <c r="K121">
        <f t="shared" si="8"/>
        <v>2.09</v>
      </c>
      <c r="L121" t="s">
        <v>504</v>
      </c>
    </row>
    <row r="122" spans="4:14" x14ac:dyDescent="0.2">
      <c r="F122">
        <v>0</v>
      </c>
      <c r="G122">
        <v>1</v>
      </c>
      <c r="H122">
        <v>2.1</v>
      </c>
      <c r="I122">
        <v>1.8</v>
      </c>
      <c r="J122">
        <v>1.3</v>
      </c>
      <c r="K122">
        <f t="shared" si="8"/>
        <v>2.3400000000000003</v>
      </c>
      <c r="L122" t="s">
        <v>505</v>
      </c>
    </row>
    <row r="123" spans="4:14" x14ac:dyDescent="0.2">
      <c r="F123">
        <v>0</v>
      </c>
      <c r="G123">
        <v>1</v>
      </c>
      <c r="H123">
        <v>2.4</v>
      </c>
      <c r="I123">
        <v>1.5</v>
      </c>
      <c r="J123">
        <v>1.3</v>
      </c>
      <c r="K123">
        <f t="shared" si="8"/>
        <v>1.9500000000000002</v>
      </c>
      <c r="L123" t="s">
        <v>506</v>
      </c>
    </row>
    <row r="124" spans="4:14" x14ac:dyDescent="0.2">
      <c r="F124">
        <v>0</v>
      </c>
      <c r="G124">
        <v>1</v>
      </c>
      <c r="H124">
        <v>3.4</v>
      </c>
      <c r="I124">
        <v>2</v>
      </c>
      <c r="J124">
        <v>1.4</v>
      </c>
      <c r="K124">
        <f t="shared" si="8"/>
        <v>2.8</v>
      </c>
      <c r="L124" t="s">
        <v>507</v>
      </c>
    </row>
    <row r="125" spans="4:14" x14ac:dyDescent="0.2">
      <c r="F125">
        <v>0</v>
      </c>
      <c r="G125">
        <v>1</v>
      </c>
      <c r="H125">
        <v>1.9</v>
      </c>
      <c r="I125">
        <v>1.2</v>
      </c>
      <c r="J125">
        <v>1.8</v>
      </c>
      <c r="K125">
        <f t="shared" si="8"/>
        <v>2.16</v>
      </c>
      <c r="L125" t="s">
        <v>508</v>
      </c>
      <c r="M125">
        <v>1</v>
      </c>
      <c r="N125">
        <v>1</v>
      </c>
    </row>
    <row r="127" spans="4:14" x14ac:dyDescent="0.2">
      <c r="D127" s="1">
        <v>43738</v>
      </c>
      <c r="F127">
        <v>1</v>
      </c>
      <c r="G127">
        <v>0</v>
      </c>
      <c r="H127">
        <v>5.2</v>
      </c>
      <c r="I127">
        <v>2.8</v>
      </c>
      <c r="J127">
        <v>5.2</v>
      </c>
      <c r="K127">
        <f t="shared" ref="K127:K134" si="9">(I127*J127)</f>
        <v>14.559999999999999</v>
      </c>
      <c r="L127" t="s">
        <v>495</v>
      </c>
    </row>
    <row r="128" spans="4:14" x14ac:dyDescent="0.2">
      <c r="F128">
        <v>1</v>
      </c>
      <c r="G128">
        <v>0</v>
      </c>
      <c r="H128">
        <v>5.8</v>
      </c>
      <c r="I128">
        <v>3</v>
      </c>
      <c r="J128">
        <v>3.1</v>
      </c>
      <c r="K128">
        <f t="shared" si="9"/>
        <v>9.3000000000000007</v>
      </c>
      <c r="L128" t="s">
        <v>496</v>
      </c>
    </row>
    <row r="129" spans="6:20" x14ac:dyDescent="0.2">
      <c r="F129">
        <v>1</v>
      </c>
      <c r="G129">
        <v>0</v>
      </c>
      <c r="H129">
        <v>5.6</v>
      </c>
      <c r="I129">
        <v>3</v>
      </c>
      <c r="J129">
        <v>1.1000000000000001</v>
      </c>
      <c r="K129">
        <f t="shared" si="9"/>
        <v>3.3000000000000003</v>
      </c>
      <c r="L129" t="s">
        <v>497</v>
      </c>
    </row>
    <row r="130" spans="6:20" x14ac:dyDescent="0.2">
      <c r="F130">
        <v>1</v>
      </c>
      <c r="G130">
        <v>0</v>
      </c>
      <c r="H130">
        <v>0</v>
      </c>
      <c r="I130">
        <v>0</v>
      </c>
      <c r="J130">
        <v>0</v>
      </c>
      <c r="K130">
        <f t="shared" si="9"/>
        <v>0</v>
      </c>
      <c r="L130" t="s">
        <v>498</v>
      </c>
    </row>
    <row r="131" spans="6:20" x14ac:dyDescent="0.2">
      <c r="F131">
        <v>1</v>
      </c>
      <c r="G131">
        <v>0</v>
      </c>
      <c r="H131">
        <v>0</v>
      </c>
      <c r="I131">
        <v>0</v>
      </c>
      <c r="J131">
        <v>0</v>
      </c>
      <c r="K131">
        <f t="shared" si="9"/>
        <v>0</v>
      </c>
      <c r="L131" t="s">
        <v>499</v>
      </c>
    </row>
    <row r="132" spans="6:20" x14ac:dyDescent="0.2">
      <c r="F132">
        <v>1</v>
      </c>
      <c r="G132">
        <v>0</v>
      </c>
      <c r="H132">
        <v>0</v>
      </c>
      <c r="I132">
        <v>0</v>
      </c>
      <c r="J132">
        <v>0</v>
      </c>
      <c r="K132">
        <f t="shared" si="9"/>
        <v>0</v>
      </c>
      <c r="L132" t="s">
        <v>169</v>
      </c>
    </row>
    <row r="133" spans="6:20" x14ac:dyDescent="0.2">
      <c r="F133">
        <v>1</v>
      </c>
      <c r="G133">
        <v>0</v>
      </c>
      <c r="H133">
        <v>0</v>
      </c>
      <c r="I133">
        <v>0</v>
      </c>
      <c r="J133">
        <v>0</v>
      </c>
      <c r="K133">
        <f t="shared" si="9"/>
        <v>0</v>
      </c>
      <c r="L133" t="s">
        <v>500</v>
      </c>
    </row>
    <row r="134" spans="6:20" x14ac:dyDescent="0.2">
      <c r="F134">
        <v>1</v>
      </c>
      <c r="G134">
        <v>0</v>
      </c>
      <c r="H134">
        <v>0</v>
      </c>
      <c r="I134">
        <v>0</v>
      </c>
      <c r="J134">
        <v>0</v>
      </c>
      <c r="K134">
        <f t="shared" si="9"/>
        <v>0</v>
      </c>
      <c r="L134" t="s">
        <v>500</v>
      </c>
    </row>
    <row r="136" spans="6:20" x14ac:dyDescent="0.2">
      <c r="F136">
        <v>0</v>
      </c>
      <c r="G136">
        <v>1</v>
      </c>
      <c r="H136">
        <v>1.8</v>
      </c>
      <c r="I136">
        <v>1.3</v>
      </c>
      <c r="J136">
        <v>0.7</v>
      </c>
      <c r="K136">
        <f t="shared" ref="K136:K143" si="10">(I136*J136)</f>
        <v>0.90999999999999992</v>
      </c>
      <c r="L136" t="s">
        <v>501</v>
      </c>
    </row>
    <row r="137" spans="6:20" x14ac:dyDescent="0.2">
      <c r="F137">
        <v>0</v>
      </c>
      <c r="G137">
        <v>1</v>
      </c>
      <c r="H137">
        <v>1.8</v>
      </c>
      <c r="I137">
        <v>1.4</v>
      </c>
      <c r="J137">
        <v>0.8</v>
      </c>
      <c r="K137">
        <f t="shared" si="10"/>
        <v>1.1199999999999999</v>
      </c>
      <c r="L137" t="s">
        <v>502</v>
      </c>
    </row>
    <row r="138" spans="6:20" x14ac:dyDescent="0.2">
      <c r="F138">
        <v>0</v>
      </c>
      <c r="G138">
        <v>1</v>
      </c>
      <c r="H138">
        <v>0</v>
      </c>
      <c r="I138">
        <v>0</v>
      </c>
      <c r="J138">
        <v>0</v>
      </c>
      <c r="K138">
        <f t="shared" si="10"/>
        <v>0</v>
      </c>
      <c r="L138" t="s">
        <v>503</v>
      </c>
    </row>
    <row r="139" spans="6:20" x14ac:dyDescent="0.2">
      <c r="F139">
        <v>0</v>
      </c>
      <c r="G139">
        <v>1</v>
      </c>
      <c r="H139">
        <v>0</v>
      </c>
      <c r="I139">
        <v>0</v>
      </c>
      <c r="J139">
        <v>0</v>
      </c>
      <c r="K139">
        <f t="shared" si="10"/>
        <v>0</v>
      </c>
      <c r="L139" t="s">
        <v>504</v>
      </c>
    </row>
    <row r="140" spans="6:20" x14ac:dyDescent="0.2">
      <c r="F140">
        <v>0</v>
      </c>
      <c r="G140">
        <v>1</v>
      </c>
      <c r="H140">
        <v>0</v>
      </c>
      <c r="I140">
        <v>0</v>
      </c>
      <c r="J140">
        <v>0</v>
      </c>
      <c r="K140">
        <f t="shared" si="10"/>
        <v>0</v>
      </c>
      <c r="L140" t="s">
        <v>505</v>
      </c>
    </row>
    <row r="141" spans="6:20" x14ac:dyDescent="0.2">
      <c r="F141">
        <v>0</v>
      </c>
      <c r="G141">
        <v>1</v>
      </c>
      <c r="H141">
        <v>0</v>
      </c>
      <c r="I141">
        <v>0</v>
      </c>
      <c r="J141">
        <v>0</v>
      </c>
      <c r="K141">
        <f t="shared" si="10"/>
        <v>0</v>
      </c>
      <c r="L141" t="s">
        <v>506</v>
      </c>
    </row>
    <row r="142" spans="6:20" x14ac:dyDescent="0.2">
      <c r="F142">
        <v>0</v>
      </c>
      <c r="G142">
        <v>1</v>
      </c>
      <c r="H142">
        <v>0</v>
      </c>
      <c r="I142">
        <v>0</v>
      </c>
      <c r="J142">
        <v>0</v>
      </c>
      <c r="K142">
        <f t="shared" si="10"/>
        <v>0</v>
      </c>
      <c r="L142" t="s">
        <v>507</v>
      </c>
    </row>
    <row r="143" spans="6:20" x14ac:dyDescent="0.2">
      <c r="F143">
        <v>0</v>
      </c>
      <c r="G143">
        <v>1</v>
      </c>
      <c r="H143">
        <v>0</v>
      </c>
      <c r="I143">
        <v>0</v>
      </c>
      <c r="J143">
        <v>0</v>
      </c>
      <c r="K143">
        <f t="shared" si="10"/>
        <v>0</v>
      </c>
      <c r="L143" t="s">
        <v>508</v>
      </c>
      <c r="M143">
        <v>1</v>
      </c>
      <c r="N143">
        <v>1</v>
      </c>
      <c r="T143">
        <v>0</v>
      </c>
    </row>
    <row r="145" spans="1:22" x14ac:dyDescent="0.2">
      <c r="A145">
        <v>5</v>
      </c>
      <c r="B145" t="s">
        <v>39</v>
      </c>
      <c r="C145" s="1">
        <v>24023</v>
      </c>
      <c r="D145" s="1">
        <v>43493</v>
      </c>
      <c r="E145" t="s">
        <v>387</v>
      </c>
      <c r="F145">
        <v>1</v>
      </c>
      <c r="G145">
        <v>0</v>
      </c>
      <c r="H145">
        <v>13.1</v>
      </c>
      <c r="I145">
        <v>7.2</v>
      </c>
      <c r="J145">
        <v>11.7</v>
      </c>
      <c r="K145">
        <f>(I145*J145)</f>
        <v>84.24</v>
      </c>
      <c r="L145" t="s">
        <v>536</v>
      </c>
    </row>
    <row r="146" spans="1:22" x14ac:dyDescent="0.2">
      <c r="F146">
        <v>1</v>
      </c>
      <c r="G146">
        <v>0</v>
      </c>
      <c r="H146">
        <v>4.0999999999999996</v>
      </c>
      <c r="I146">
        <v>3.2</v>
      </c>
      <c r="J146">
        <v>1.7</v>
      </c>
      <c r="K146">
        <f>(I146*J146)</f>
        <v>5.44</v>
      </c>
      <c r="L146" t="s">
        <v>537</v>
      </c>
    </row>
    <row r="148" spans="1:22" x14ac:dyDescent="0.2">
      <c r="F148">
        <v>0</v>
      </c>
      <c r="G148">
        <v>1</v>
      </c>
      <c r="H148">
        <v>2.2999999999999998</v>
      </c>
      <c r="I148">
        <v>1.3</v>
      </c>
      <c r="J148">
        <v>1.2</v>
      </c>
      <c r="K148">
        <f>(I148*J148)</f>
        <v>1.56</v>
      </c>
      <c r="L148" t="s">
        <v>491</v>
      </c>
    </row>
    <row r="149" spans="1:22" x14ac:dyDescent="0.2">
      <c r="F149">
        <v>0</v>
      </c>
      <c r="G149">
        <v>1</v>
      </c>
      <c r="H149">
        <v>2.2000000000000002</v>
      </c>
      <c r="I149">
        <v>1.3</v>
      </c>
      <c r="J149">
        <v>1.3</v>
      </c>
      <c r="K149">
        <f>(I149*J149)</f>
        <v>1.6900000000000002</v>
      </c>
      <c r="L149" t="s">
        <v>490</v>
      </c>
    </row>
    <row r="150" spans="1:22" x14ac:dyDescent="0.2">
      <c r="F150">
        <v>0</v>
      </c>
      <c r="G150">
        <v>1</v>
      </c>
      <c r="H150">
        <v>2.4</v>
      </c>
      <c r="I150">
        <v>1.7</v>
      </c>
      <c r="J150">
        <v>0.7</v>
      </c>
      <c r="K150">
        <f>(I150*J150)</f>
        <v>1.19</v>
      </c>
      <c r="L150" t="s">
        <v>538</v>
      </c>
    </row>
    <row r="151" spans="1:22" x14ac:dyDescent="0.2">
      <c r="F151">
        <v>0</v>
      </c>
      <c r="G151">
        <v>1</v>
      </c>
      <c r="H151">
        <v>2.7</v>
      </c>
      <c r="I151">
        <v>1.8</v>
      </c>
      <c r="J151">
        <v>0.9</v>
      </c>
      <c r="K151">
        <f>(I151*J151)</f>
        <v>1.62</v>
      </c>
      <c r="L151" t="s">
        <v>539</v>
      </c>
    </row>
    <row r="152" spans="1:22" x14ac:dyDescent="0.2">
      <c r="F152">
        <v>0</v>
      </c>
      <c r="G152">
        <v>1</v>
      </c>
      <c r="H152">
        <v>2.1</v>
      </c>
      <c r="I152">
        <v>1.6</v>
      </c>
      <c r="J152">
        <v>0.8</v>
      </c>
      <c r="K152">
        <f>(I152*J152)</f>
        <v>1.2800000000000002</v>
      </c>
      <c r="L152" t="s">
        <v>540</v>
      </c>
      <c r="M152">
        <v>1</v>
      </c>
      <c r="N152">
        <v>1</v>
      </c>
      <c r="T152">
        <v>1</v>
      </c>
      <c r="U152">
        <v>2</v>
      </c>
      <c r="V152" s="1">
        <v>43479</v>
      </c>
    </row>
    <row r="154" spans="1:22" x14ac:dyDescent="0.2">
      <c r="D154" s="1">
        <v>44060</v>
      </c>
      <c r="F154">
        <v>1</v>
      </c>
      <c r="G154">
        <v>0</v>
      </c>
      <c r="H154">
        <v>0</v>
      </c>
      <c r="I154">
        <v>0</v>
      </c>
      <c r="J154">
        <v>0</v>
      </c>
      <c r="K154">
        <f>(I154*J154)</f>
        <v>0</v>
      </c>
      <c r="L154" t="s">
        <v>536</v>
      </c>
    </row>
    <row r="155" spans="1:22" x14ac:dyDescent="0.2">
      <c r="F155">
        <v>1</v>
      </c>
      <c r="G155">
        <v>0</v>
      </c>
      <c r="H155">
        <v>0</v>
      </c>
      <c r="I155">
        <v>0</v>
      </c>
      <c r="J155">
        <v>0</v>
      </c>
      <c r="K155">
        <f>(I155*J155)</f>
        <v>0</v>
      </c>
      <c r="L155" t="s">
        <v>537</v>
      </c>
    </row>
    <row r="157" spans="1:22" x14ac:dyDescent="0.2">
      <c r="F157">
        <v>0</v>
      </c>
      <c r="G157">
        <v>1</v>
      </c>
      <c r="H157">
        <v>0</v>
      </c>
      <c r="I157">
        <v>0</v>
      </c>
      <c r="J157">
        <v>0</v>
      </c>
      <c r="K157">
        <f>(I157*J157)</f>
        <v>0</v>
      </c>
      <c r="L157" t="s">
        <v>491</v>
      </c>
    </row>
    <row r="158" spans="1:22" x14ac:dyDescent="0.2">
      <c r="F158">
        <v>0</v>
      </c>
      <c r="G158">
        <v>1</v>
      </c>
      <c r="H158">
        <v>0</v>
      </c>
      <c r="I158">
        <v>0</v>
      </c>
      <c r="J158">
        <v>0</v>
      </c>
      <c r="K158">
        <f>(I158*J158)</f>
        <v>0</v>
      </c>
      <c r="L158" t="s">
        <v>490</v>
      </c>
    </row>
    <row r="159" spans="1:22" x14ac:dyDescent="0.2">
      <c r="F159">
        <v>0</v>
      </c>
      <c r="G159">
        <v>1</v>
      </c>
      <c r="H159">
        <v>0</v>
      </c>
      <c r="I159">
        <v>0</v>
      </c>
      <c r="J159">
        <v>0</v>
      </c>
      <c r="K159">
        <f>(I159*J159)</f>
        <v>0</v>
      </c>
      <c r="L159" t="s">
        <v>538</v>
      </c>
    </row>
    <row r="160" spans="1:22" x14ac:dyDescent="0.2">
      <c r="F160">
        <v>0</v>
      </c>
      <c r="G160">
        <v>1</v>
      </c>
      <c r="H160">
        <v>0</v>
      </c>
      <c r="I160">
        <v>0</v>
      </c>
      <c r="J160">
        <v>0</v>
      </c>
      <c r="K160">
        <f>(I160*J160)</f>
        <v>0</v>
      </c>
      <c r="L160" t="s">
        <v>539</v>
      </c>
    </row>
    <row r="161" spans="1:20" x14ac:dyDescent="0.2">
      <c r="F161">
        <v>0</v>
      </c>
      <c r="G161">
        <v>1</v>
      </c>
      <c r="H161">
        <v>0</v>
      </c>
      <c r="I161">
        <v>0</v>
      </c>
      <c r="J161">
        <v>0</v>
      </c>
      <c r="K161">
        <f>(I161*J161)</f>
        <v>0</v>
      </c>
      <c r="L161" t="s">
        <v>540</v>
      </c>
      <c r="M161">
        <v>0</v>
      </c>
      <c r="N161">
        <v>0</v>
      </c>
    </row>
    <row r="163" spans="1:20" x14ac:dyDescent="0.2">
      <c r="A163">
        <v>6</v>
      </c>
      <c r="B163" t="s">
        <v>829</v>
      </c>
      <c r="C163" s="1">
        <v>33096</v>
      </c>
      <c r="D163" s="1">
        <v>43493</v>
      </c>
      <c r="E163" t="s">
        <v>387</v>
      </c>
      <c r="F163">
        <v>1</v>
      </c>
      <c r="G163">
        <v>0</v>
      </c>
      <c r="H163">
        <v>4.5999999999999996</v>
      </c>
      <c r="I163">
        <v>2.9</v>
      </c>
      <c r="J163">
        <v>2.6</v>
      </c>
      <c r="K163">
        <f t="shared" ref="K163:K175" si="11">(I163*J163)</f>
        <v>7.54</v>
      </c>
      <c r="L163" t="s">
        <v>541</v>
      </c>
    </row>
    <row r="164" spans="1:20" x14ac:dyDescent="0.2">
      <c r="F164">
        <v>1</v>
      </c>
      <c r="G164">
        <v>0</v>
      </c>
      <c r="H164">
        <v>4.0999999999999996</v>
      </c>
      <c r="I164">
        <v>2.2000000000000002</v>
      </c>
      <c r="J164">
        <v>3.1</v>
      </c>
      <c r="K164">
        <f t="shared" si="11"/>
        <v>6.8200000000000012</v>
      </c>
      <c r="L164" t="s">
        <v>191</v>
      </c>
    </row>
    <row r="165" spans="1:20" x14ac:dyDescent="0.2">
      <c r="F165">
        <v>1</v>
      </c>
      <c r="G165">
        <v>0</v>
      </c>
      <c r="H165">
        <v>4.9000000000000004</v>
      </c>
      <c r="I165">
        <v>3.1</v>
      </c>
      <c r="J165">
        <v>3</v>
      </c>
      <c r="K165">
        <f t="shared" si="11"/>
        <v>9.3000000000000007</v>
      </c>
      <c r="L165" t="s">
        <v>542</v>
      </c>
    </row>
    <row r="167" spans="1:20" x14ac:dyDescent="0.2">
      <c r="F167">
        <v>0</v>
      </c>
      <c r="G167">
        <v>1</v>
      </c>
      <c r="H167">
        <v>2.1</v>
      </c>
      <c r="I167">
        <v>1.3</v>
      </c>
      <c r="J167">
        <v>1.2</v>
      </c>
      <c r="K167">
        <f t="shared" si="11"/>
        <v>1.56</v>
      </c>
      <c r="L167" t="s">
        <v>502</v>
      </c>
    </row>
    <row r="168" spans="1:20" x14ac:dyDescent="0.2">
      <c r="F168">
        <v>0</v>
      </c>
      <c r="G168">
        <v>1</v>
      </c>
      <c r="H168">
        <v>2</v>
      </c>
      <c r="I168">
        <v>1.4</v>
      </c>
      <c r="J168">
        <v>1.3</v>
      </c>
      <c r="K168">
        <f t="shared" si="11"/>
        <v>1.8199999999999998</v>
      </c>
      <c r="L168" t="s">
        <v>501</v>
      </c>
    </row>
    <row r="170" spans="1:20" x14ac:dyDescent="0.2">
      <c r="D170" s="1">
        <v>44060</v>
      </c>
      <c r="F170">
        <v>1</v>
      </c>
      <c r="G170">
        <v>0</v>
      </c>
      <c r="H170">
        <v>3.6</v>
      </c>
      <c r="I170">
        <v>1.9</v>
      </c>
      <c r="J170">
        <v>12.5</v>
      </c>
      <c r="K170">
        <f t="shared" si="11"/>
        <v>23.75</v>
      </c>
      <c r="L170" t="s">
        <v>541</v>
      </c>
    </row>
    <row r="171" spans="1:20" x14ac:dyDescent="0.2">
      <c r="F171">
        <v>1</v>
      </c>
      <c r="G171">
        <v>0</v>
      </c>
      <c r="H171">
        <v>3.5</v>
      </c>
      <c r="I171">
        <v>2</v>
      </c>
      <c r="J171">
        <v>3.6</v>
      </c>
      <c r="K171">
        <f t="shared" si="11"/>
        <v>7.2</v>
      </c>
      <c r="L171" t="s">
        <v>191</v>
      </c>
    </row>
    <row r="172" spans="1:20" x14ac:dyDescent="0.2">
      <c r="F172">
        <v>1</v>
      </c>
      <c r="G172">
        <v>0</v>
      </c>
      <c r="H172">
        <v>0</v>
      </c>
      <c r="I172">
        <v>0</v>
      </c>
      <c r="J172">
        <v>0</v>
      </c>
      <c r="K172">
        <f t="shared" si="11"/>
        <v>0</v>
      </c>
      <c r="L172" t="s">
        <v>542</v>
      </c>
    </row>
    <row r="174" spans="1:20" x14ac:dyDescent="0.2">
      <c r="F174">
        <v>0</v>
      </c>
      <c r="G174">
        <v>1</v>
      </c>
      <c r="H174">
        <v>0</v>
      </c>
      <c r="I174">
        <v>0</v>
      </c>
      <c r="J174">
        <v>0</v>
      </c>
      <c r="K174">
        <f t="shared" si="11"/>
        <v>0</v>
      </c>
      <c r="L174" t="s">
        <v>502</v>
      </c>
    </row>
    <row r="175" spans="1:20" x14ac:dyDescent="0.2">
      <c r="F175">
        <v>0</v>
      </c>
      <c r="G175">
        <v>1</v>
      </c>
      <c r="H175">
        <v>0</v>
      </c>
      <c r="I175">
        <v>0</v>
      </c>
      <c r="J175">
        <v>0</v>
      </c>
      <c r="K175">
        <f t="shared" si="11"/>
        <v>0</v>
      </c>
      <c r="L175" t="s">
        <v>501</v>
      </c>
      <c r="M175">
        <v>0</v>
      </c>
      <c r="N175">
        <v>1</v>
      </c>
      <c r="T175">
        <v>0</v>
      </c>
    </row>
    <row r="177" spans="1:20" x14ac:dyDescent="0.2">
      <c r="A177">
        <v>7</v>
      </c>
      <c r="B177" t="s">
        <v>54</v>
      </c>
      <c r="C177" s="1">
        <v>24436</v>
      </c>
      <c r="D177" s="1">
        <v>43521</v>
      </c>
      <c r="E177" t="s">
        <v>35</v>
      </c>
      <c r="F177">
        <v>1</v>
      </c>
      <c r="G177">
        <v>0</v>
      </c>
      <c r="H177">
        <v>3.8</v>
      </c>
      <c r="I177">
        <v>2.6</v>
      </c>
      <c r="J177">
        <v>1.4</v>
      </c>
      <c r="K177">
        <f t="shared" ref="K177:K184" si="12">(I177*J177)</f>
        <v>3.6399999999999997</v>
      </c>
      <c r="L177" t="s">
        <v>543</v>
      </c>
    </row>
    <row r="178" spans="1:20" x14ac:dyDescent="0.2">
      <c r="F178">
        <v>1</v>
      </c>
      <c r="G178">
        <v>0</v>
      </c>
      <c r="H178">
        <v>3.4</v>
      </c>
      <c r="I178">
        <v>1.5</v>
      </c>
      <c r="J178">
        <v>2.5</v>
      </c>
      <c r="K178">
        <f t="shared" si="12"/>
        <v>3.75</v>
      </c>
      <c r="L178" t="s">
        <v>505</v>
      </c>
    </row>
    <row r="179" spans="1:20" x14ac:dyDescent="0.2">
      <c r="F179">
        <v>1</v>
      </c>
      <c r="G179">
        <v>0</v>
      </c>
      <c r="H179">
        <v>4.8</v>
      </c>
      <c r="I179">
        <v>2.6</v>
      </c>
      <c r="J179">
        <v>43</v>
      </c>
      <c r="K179">
        <f t="shared" si="12"/>
        <v>111.8</v>
      </c>
      <c r="L179" t="s">
        <v>516</v>
      </c>
    </row>
    <row r="180" spans="1:20" x14ac:dyDescent="0.2">
      <c r="F180">
        <v>1</v>
      </c>
      <c r="G180">
        <v>0</v>
      </c>
      <c r="H180">
        <v>6</v>
      </c>
      <c r="I180">
        <v>3</v>
      </c>
      <c r="J180">
        <v>28.2</v>
      </c>
      <c r="K180">
        <f t="shared" si="12"/>
        <v>84.6</v>
      </c>
      <c r="L180" t="s">
        <v>544</v>
      </c>
    </row>
    <row r="182" spans="1:20" x14ac:dyDescent="0.2">
      <c r="F182">
        <v>0</v>
      </c>
      <c r="G182">
        <v>1</v>
      </c>
      <c r="H182">
        <v>2.8</v>
      </c>
      <c r="I182">
        <v>1.9</v>
      </c>
      <c r="J182">
        <v>1.1000000000000001</v>
      </c>
      <c r="K182">
        <f t="shared" si="12"/>
        <v>2.09</v>
      </c>
      <c r="L182" t="s">
        <v>501</v>
      </c>
    </row>
    <row r="183" spans="1:20" x14ac:dyDescent="0.2">
      <c r="F183">
        <v>0</v>
      </c>
      <c r="G183">
        <v>1</v>
      </c>
      <c r="H183">
        <v>2.6</v>
      </c>
      <c r="I183">
        <v>1.8</v>
      </c>
      <c r="J183">
        <v>1.5</v>
      </c>
      <c r="K183">
        <f t="shared" si="12"/>
        <v>2.7</v>
      </c>
      <c r="L183" t="s">
        <v>502</v>
      </c>
    </row>
    <row r="184" spans="1:20" x14ac:dyDescent="0.2">
      <c r="F184">
        <v>0</v>
      </c>
      <c r="G184">
        <v>1</v>
      </c>
      <c r="H184">
        <v>2.4</v>
      </c>
      <c r="I184">
        <v>1.6</v>
      </c>
      <c r="J184">
        <v>0.9</v>
      </c>
      <c r="K184">
        <f t="shared" si="12"/>
        <v>1.4400000000000002</v>
      </c>
      <c r="L184" t="s">
        <v>490</v>
      </c>
      <c r="M184">
        <v>1</v>
      </c>
      <c r="N184">
        <v>1</v>
      </c>
      <c r="T184">
        <v>0</v>
      </c>
    </row>
    <row r="186" spans="1:20" x14ac:dyDescent="0.2">
      <c r="D186" s="1">
        <v>44064</v>
      </c>
      <c r="F186">
        <v>1</v>
      </c>
      <c r="G186">
        <v>0</v>
      </c>
      <c r="H186">
        <v>0</v>
      </c>
      <c r="I186">
        <v>0</v>
      </c>
      <c r="J186">
        <v>0</v>
      </c>
      <c r="K186">
        <f>(I186*J186)</f>
        <v>0</v>
      </c>
      <c r="L186" t="s">
        <v>543</v>
      </c>
    </row>
    <row r="187" spans="1:20" x14ac:dyDescent="0.2">
      <c r="F187">
        <v>1</v>
      </c>
      <c r="G187">
        <v>0</v>
      </c>
      <c r="H187">
        <v>0</v>
      </c>
      <c r="I187">
        <v>0</v>
      </c>
      <c r="J187">
        <v>0</v>
      </c>
      <c r="K187">
        <f>(I187*J187)</f>
        <v>0</v>
      </c>
      <c r="L187" t="s">
        <v>505</v>
      </c>
    </row>
    <row r="188" spans="1:20" x14ac:dyDescent="0.2">
      <c r="F188">
        <v>1</v>
      </c>
      <c r="G188">
        <v>0</v>
      </c>
      <c r="H188">
        <v>0</v>
      </c>
      <c r="I188">
        <v>0</v>
      </c>
      <c r="J188">
        <v>0</v>
      </c>
      <c r="K188">
        <f>(I188*J188)</f>
        <v>0</v>
      </c>
      <c r="L188" t="s">
        <v>516</v>
      </c>
    </row>
    <row r="189" spans="1:20" x14ac:dyDescent="0.2">
      <c r="F189">
        <v>1</v>
      </c>
      <c r="G189">
        <v>0</v>
      </c>
      <c r="H189">
        <v>0</v>
      </c>
      <c r="I189">
        <v>0</v>
      </c>
      <c r="J189">
        <v>0</v>
      </c>
      <c r="K189">
        <f>(I189*J189)</f>
        <v>0</v>
      </c>
      <c r="L189" t="s">
        <v>544</v>
      </c>
    </row>
    <row r="191" spans="1:20" x14ac:dyDescent="0.2">
      <c r="F191">
        <v>0</v>
      </c>
      <c r="G191">
        <v>1</v>
      </c>
      <c r="H191">
        <v>2.8</v>
      </c>
      <c r="I191">
        <v>1.9</v>
      </c>
      <c r="J191">
        <v>1.1000000000000001</v>
      </c>
      <c r="K191">
        <f>(I191*J191)</f>
        <v>2.09</v>
      </c>
      <c r="L191" t="s">
        <v>501</v>
      </c>
    </row>
    <row r="192" spans="1:20" x14ac:dyDescent="0.2">
      <c r="F192">
        <v>0</v>
      </c>
      <c r="G192">
        <v>1</v>
      </c>
      <c r="H192">
        <v>2.2999999999999998</v>
      </c>
      <c r="I192">
        <v>1.6</v>
      </c>
      <c r="J192">
        <v>1.2</v>
      </c>
      <c r="K192">
        <f>(I192*J192)</f>
        <v>1.92</v>
      </c>
      <c r="L192" t="s">
        <v>502</v>
      </c>
    </row>
    <row r="193" spans="1:22" x14ac:dyDescent="0.2">
      <c r="F193">
        <v>0</v>
      </c>
      <c r="G193">
        <v>1</v>
      </c>
      <c r="H193">
        <v>2.2000000000000002</v>
      </c>
      <c r="I193">
        <v>1.5</v>
      </c>
      <c r="J193">
        <v>0.9</v>
      </c>
      <c r="K193">
        <f>(I193*J193)</f>
        <v>1.35</v>
      </c>
      <c r="L193" t="s">
        <v>490</v>
      </c>
      <c r="M193">
        <v>1</v>
      </c>
      <c r="N193">
        <v>0</v>
      </c>
    </row>
    <row r="195" spans="1:22" x14ac:dyDescent="0.2">
      <c r="A195">
        <v>8</v>
      </c>
      <c r="B195" t="s">
        <v>72</v>
      </c>
      <c r="C195" s="1">
        <v>26463</v>
      </c>
      <c r="D195" s="1">
        <v>43605</v>
      </c>
      <c r="E195" t="s">
        <v>35</v>
      </c>
      <c r="F195">
        <v>1</v>
      </c>
      <c r="G195">
        <v>0</v>
      </c>
      <c r="H195">
        <v>4.2</v>
      </c>
      <c r="I195">
        <v>2.4</v>
      </c>
      <c r="J195">
        <v>4.2</v>
      </c>
      <c r="K195">
        <f>(I195*J195)</f>
        <v>10.08</v>
      </c>
      <c r="L195" t="s">
        <v>561</v>
      </c>
    </row>
    <row r="196" spans="1:22" x14ac:dyDescent="0.2">
      <c r="F196">
        <v>1</v>
      </c>
      <c r="G196">
        <v>0</v>
      </c>
      <c r="H196">
        <v>3.9</v>
      </c>
      <c r="I196">
        <v>3.5</v>
      </c>
      <c r="J196">
        <v>1.8</v>
      </c>
      <c r="K196">
        <f>(I196*J196)</f>
        <v>6.3</v>
      </c>
      <c r="L196" t="s">
        <v>562</v>
      </c>
    </row>
    <row r="198" spans="1:22" x14ac:dyDescent="0.2">
      <c r="F198">
        <v>0</v>
      </c>
      <c r="G198">
        <v>1</v>
      </c>
      <c r="H198">
        <v>3.1</v>
      </c>
      <c r="I198">
        <v>1.8</v>
      </c>
      <c r="J198">
        <v>1.9</v>
      </c>
      <c r="K198">
        <f>(I198*J198)</f>
        <v>3.42</v>
      </c>
      <c r="L198" t="s">
        <v>502</v>
      </c>
    </row>
    <row r="199" spans="1:22" x14ac:dyDescent="0.2">
      <c r="F199">
        <v>0</v>
      </c>
      <c r="G199">
        <v>1</v>
      </c>
      <c r="H199">
        <v>2.8</v>
      </c>
      <c r="I199">
        <v>1.9</v>
      </c>
      <c r="J199">
        <v>1.1000000000000001</v>
      </c>
      <c r="K199">
        <f>(I199*J199)</f>
        <v>2.09</v>
      </c>
      <c r="L199" t="s">
        <v>560</v>
      </c>
    </row>
    <row r="200" spans="1:22" x14ac:dyDescent="0.2">
      <c r="F200">
        <v>0</v>
      </c>
      <c r="G200">
        <v>1</v>
      </c>
      <c r="H200">
        <v>2.7</v>
      </c>
      <c r="I200">
        <v>1.7</v>
      </c>
      <c r="J200">
        <v>0.8</v>
      </c>
      <c r="K200">
        <f>(I200*J200)</f>
        <v>1.36</v>
      </c>
      <c r="L200" t="s">
        <v>530</v>
      </c>
      <c r="M200">
        <v>1</v>
      </c>
      <c r="N200">
        <v>1</v>
      </c>
      <c r="T200">
        <v>1</v>
      </c>
      <c r="U200">
        <v>3.5</v>
      </c>
      <c r="V200" s="1">
        <v>43605</v>
      </c>
    </row>
    <row r="202" spans="1:22" x14ac:dyDescent="0.2">
      <c r="D202" s="1">
        <v>44081</v>
      </c>
      <c r="F202">
        <v>1</v>
      </c>
      <c r="G202">
        <v>0</v>
      </c>
      <c r="H202">
        <v>0</v>
      </c>
      <c r="I202">
        <v>0</v>
      </c>
      <c r="J202">
        <v>0</v>
      </c>
      <c r="K202">
        <f>(I202*J202)</f>
        <v>0</v>
      </c>
      <c r="L202" t="s">
        <v>561</v>
      </c>
    </row>
    <row r="203" spans="1:22" x14ac:dyDescent="0.2">
      <c r="F203">
        <v>1</v>
      </c>
      <c r="G203">
        <v>0</v>
      </c>
      <c r="H203">
        <v>0</v>
      </c>
      <c r="I203">
        <v>0</v>
      </c>
      <c r="J203">
        <v>0</v>
      </c>
      <c r="K203">
        <f>(I203*J203)</f>
        <v>0</v>
      </c>
      <c r="L203" t="s">
        <v>562</v>
      </c>
    </row>
    <row r="205" spans="1:22" x14ac:dyDescent="0.2">
      <c r="F205">
        <v>0</v>
      </c>
      <c r="G205">
        <v>1</v>
      </c>
      <c r="H205">
        <v>2.9</v>
      </c>
      <c r="I205">
        <v>1.6</v>
      </c>
      <c r="J205">
        <v>1.8</v>
      </c>
      <c r="K205">
        <f>(I205*J205)</f>
        <v>2.8800000000000003</v>
      </c>
      <c r="L205" t="s">
        <v>502</v>
      </c>
    </row>
    <row r="206" spans="1:22" x14ac:dyDescent="0.2">
      <c r="F206">
        <v>0</v>
      </c>
      <c r="G206">
        <v>1</v>
      </c>
      <c r="H206">
        <v>2.7</v>
      </c>
      <c r="I206">
        <v>1.8</v>
      </c>
      <c r="J206">
        <v>1</v>
      </c>
      <c r="K206">
        <f>(I206*J206)</f>
        <v>1.8</v>
      </c>
      <c r="L206" t="s">
        <v>560</v>
      </c>
    </row>
    <row r="207" spans="1:22" x14ac:dyDescent="0.2">
      <c r="F207">
        <v>0</v>
      </c>
      <c r="G207">
        <v>1</v>
      </c>
      <c r="H207">
        <v>0</v>
      </c>
      <c r="I207">
        <v>0</v>
      </c>
      <c r="J207">
        <v>0</v>
      </c>
      <c r="K207">
        <f>(I207*J207)</f>
        <v>0</v>
      </c>
      <c r="L207" t="s">
        <v>530</v>
      </c>
      <c r="M207">
        <v>1</v>
      </c>
      <c r="N207">
        <v>0</v>
      </c>
    </row>
    <row r="209" spans="1:22" x14ac:dyDescent="0.2">
      <c r="A209">
        <v>9</v>
      </c>
      <c r="B209" s="18" t="s">
        <v>75</v>
      </c>
      <c r="C209" s="1">
        <v>22411</v>
      </c>
      <c r="D209" s="1">
        <v>43619</v>
      </c>
      <c r="E209" t="s">
        <v>76</v>
      </c>
      <c r="F209">
        <v>1</v>
      </c>
      <c r="G209">
        <v>0</v>
      </c>
      <c r="H209">
        <v>3.7</v>
      </c>
      <c r="I209">
        <v>2.2999999999999998</v>
      </c>
      <c r="J209">
        <v>1.8</v>
      </c>
      <c r="K209">
        <f>(I209*J209)</f>
        <v>4.1399999999999997</v>
      </c>
      <c r="L209" t="s">
        <v>567</v>
      </c>
    </row>
    <row r="210" spans="1:22" x14ac:dyDescent="0.2">
      <c r="F210">
        <v>1</v>
      </c>
      <c r="G210">
        <v>0</v>
      </c>
      <c r="H210">
        <v>5.8</v>
      </c>
      <c r="I210">
        <v>3.1</v>
      </c>
      <c r="J210">
        <v>8.8000000000000007</v>
      </c>
      <c r="K210">
        <f>(I210*J210)</f>
        <v>27.280000000000005</v>
      </c>
      <c r="L210" t="s">
        <v>567</v>
      </c>
    </row>
    <row r="212" spans="1:22" x14ac:dyDescent="0.2">
      <c r="F212">
        <v>0</v>
      </c>
      <c r="G212">
        <v>1</v>
      </c>
      <c r="H212">
        <v>2.7</v>
      </c>
      <c r="I212">
        <v>1.8</v>
      </c>
      <c r="J212">
        <v>1.6</v>
      </c>
      <c r="K212">
        <f>(I212*J212)</f>
        <v>2.8800000000000003</v>
      </c>
      <c r="L212" t="s">
        <v>568</v>
      </c>
    </row>
    <row r="213" spans="1:22" x14ac:dyDescent="0.2">
      <c r="F213">
        <v>0</v>
      </c>
      <c r="G213">
        <v>1</v>
      </c>
      <c r="H213">
        <v>2.8</v>
      </c>
      <c r="I213">
        <v>1.8</v>
      </c>
      <c r="J213">
        <v>1.1000000000000001</v>
      </c>
      <c r="K213">
        <f>(I213*J213)</f>
        <v>1.9800000000000002</v>
      </c>
      <c r="L213" t="s">
        <v>502</v>
      </c>
    </row>
    <row r="214" spans="1:22" x14ac:dyDescent="0.2">
      <c r="F214">
        <v>0</v>
      </c>
      <c r="G214">
        <v>1</v>
      </c>
      <c r="H214">
        <v>2.4</v>
      </c>
      <c r="I214">
        <v>1.7</v>
      </c>
      <c r="J214">
        <v>0.5</v>
      </c>
      <c r="K214">
        <f>(I214*J214)</f>
        <v>0.85</v>
      </c>
      <c r="L214" t="s">
        <v>535</v>
      </c>
    </row>
    <row r="215" spans="1:22" x14ac:dyDescent="0.2">
      <c r="F215">
        <v>0</v>
      </c>
      <c r="G215">
        <v>1</v>
      </c>
      <c r="H215">
        <v>3.1</v>
      </c>
      <c r="I215">
        <v>2</v>
      </c>
      <c r="J215">
        <v>0.5</v>
      </c>
      <c r="K215">
        <f>(I215*J215)</f>
        <v>1</v>
      </c>
      <c r="L215" t="s">
        <v>497</v>
      </c>
      <c r="M215">
        <v>1</v>
      </c>
      <c r="N215">
        <v>1</v>
      </c>
    </row>
    <row r="217" spans="1:22" x14ac:dyDescent="0.2">
      <c r="D217" s="1">
        <v>44067</v>
      </c>
      <c r="F217">
        <v>1</v>
      </c>
      <c r="G217">
        <v>0</v>
      </c>
      <c r="H217">
        <v>0</v>
      </c>
      <c r="I217">
        <v>0</v>
      </c>
      <c r="J217">
        <v>0</v>
      </c>
      <c r="K217">
        <f>(I217*J217)</f>
        <v>0</v>
      </c>
      <c r="L217" t="s">
        <v>567</v>
      </c>
    </row>
    <row r="218" spans="1:22" x14ac:dyDescent="0.2">
      <c r="F218">
        <v>1</v>
      </c>
      <c r="G218">
        <v>0</v>
      </c>
      <c r="H218">
        <v>0</v>
      </c>
      <c r="I218">
        <v>0</v>
      </c>
      <c r="J218">
        <v>0</v>
      </c>
      <c r="K218">
        <f>(I218*J218)</f>
        <v>0</v>
      </c>
      <c r="L218" t="s">
        <v>567</v>
      </c>
    </row>
    <row r="220" spans="1:22" x14ac:dyDescent="0.2">
      <c r="F220">
        <v>0</v>
      </c>
      <c r="G220">
        <v>1</v>
      </c>
      <c r="H220">
        <v>1.6</v>
      </c>
      <c r="I220">
        <v>0.8</v>
      </c>
      <c r="J220">
        <v>1.4</v>
      </c>
      <c r="K220">
        <f>(I220*J220)</f>
        <v>1.1199999999999999</v>
      </c>
      <c r="L220" t="s">
        <v>568</v>
      </c>
    </row>
    <row r="221" spans="1:22" x14ac:dyDescent="0.2">
      <c r="F221">
        <v>0</v>
      </c>
      <c r="G221">
        <v>1</v>
      </c>
      <c r="H221">
        <v>0</v>
      </c>
      <c r="I221">
        <v>0</v>
      </c>
      <c r="J221">
        <v>0</v>
      </c>
      <c r="K221">
        <f>(I221*J221)</f>
        <v>0</v>
      </c>
      <c r="L221" t="s">
        <v>502</v>
      </c>
    </row>
    <row r="222" spans="1:22" x14ac:dyDescent="0.2">
      <c r="F222">
        <v>0</v>
      </c>
      <c r="G222">
        <v>1</v>
      </c>
      <c r="H222">
        <v>0</v>
      </c>
      <c r="I222">
        <v>0</v>
      </c>
      <c r="J222">
        <v>0</v>
      </c>
      <c r="K222">
        <f>(I222*J222)</f>
        <v>0</v>
      </c>
      <c r="L222" t="s">
        <v>535</v>
      </c>
    </row>
    <row r="223" spans="1:22" x14ac:dyDescent="0.2">
      <c r="F223">
        <v>0</v>
      </c>
      <c r="G223">
        <v>1</v>
      </c>
      <c r="H223">
        <v>0</v>
      </c>
      <c r="I223">
        <v>0</v>
      </c>
      <c r="J223">
        <v>0</v>
      </c>
      <c r="K223">
        <f>(I223*J223)</f>
        <v>0</v>
      </c>
      <c r="L223" t="s">
        <v>497</v>
      </c>
      <c r="M223">
        <v>1</v>
      </c>
      <c r="N223">
        <v>0</v>
      </c>
      <c r="T223">
        <v>1</v>
      </c>
      <c r="U223">
        <v>1.5</v>
      </c>
      <c r="V223" s="1">
        <v>43978</v>
      </c>
    </row>
    <row r="225" spans="1:22" x14ac:dyDescent="0.2">
      <c r="A225">
        <v>10</v>
      </c>
      <c r="B225" t="s">
        <v>382</v>
      </c>
      <c r="C225" s="1">
        <v>25089</v>
      </c>
      <c r="D225" s="1">
        <v>43787</v>
      </c>
      <c r="E225" t="s">
        <v>16</v>
      </c>
      <c r="F225">
        <v>1</v>
      </c>
      <c r="G225">
        <v>0</v>
      </c>
      <c r="H225">
        <v>4.2</v>
      </c>
      <c r="I225">
        <v>2.7</v>
      </c>
      <c r="J225">
        <v>2.9</v>
      </c>
      <c r="K225">
        <f>(I225*J225)</f>
        <v>7.83</v>
      </c>
      <c r="L225" t="s">
        <v>830</v>
      </c>
    </row>
    <row r="226" spans="1:22" x14ac:dyDescent="0.2">
      <c r="F226">
        <v>1</v>
      </c>
      <c r="G226">
        <v>0</v>
      </c>
      <c r="H226">
        <v>4.5999999999999996</v>
      </c>
      <c r="I226">
        <v>2.8</v>
      </c>
      <c r="J226">
        <v>3</v>
      </c>
      <c r="K226">
        <f>(I226*J226)</f>
        <v>8.3999999999999986</v>
      </c>
      <c r="L226" t="s">
        <v>831</v>
      </c>
    </row>
    <row r="227" spans="1:22" x14ac:dyDescent="0.2">
      <c r="F227">
        <v>1</v>
      </c>
      <c r="G227">
        <v>0</v>
      </c>
      <c r="H227">
        <v>4.0999999999999996</v>
      </c>
      <c r="I227">
        <v>2.6</v>
      </c>
      <c r="J227">
        <v>2.6</v>
      </c>
      <c r="K227">
        <f>(I227*J227)</f>
        <v>6.7600000000000007</v>
      </c>
      <c r="L227" t="s">
        <v>589</v>
      </c>
    </row>
    <row r="228" spans="1:22" x14ac:dyDescent="0.2">
      <c r="F228">
        <v>1</v>
      </c>
      <c r="G228">
        <v>0</v>
      </c>
      <c r="H228">
        <v>4.5</v>
      </c>
      <c r="I228">
        <v>2.7</v>
      </c>
      <c r="J228">
        <v>2.9</v>
      </c>
      <c r="K228">
        <f>(I228*J228)</f>
        <v>7.83</v>
      </c>
      <c r="L228" t="s">
        <v>475</v>
      </c>
    </row>
    <row r="229" spans="1:22" x14ac:dyDescent="0.2">
      <c r="F229">
        <v>1</v>
      </c>
      <c r="G229">
        <v>0</v>
      </c>
      <c r="H229">
        <v>4.8</v>
      </c>
      <c r="I229">
        <v>3.7</v>
      </c>
      <c r="J229">
        <v>1.9</v>
      </c>
      <c r="K229">
        <f>(I229*J229)</f>
        <v>7.03</v>
      </c>
      <c r="L229" t="s">
        <v>590</v>
      </c>
    </row>
    <row r="231" spans="1:22" x14ac:dyDescent="0.2">
      <c r="F231">
        <v>0</v>
      </c>
      <c r="G231">
        <v>1</v>
      </c>
      <c r="H231">
        <v>2.9</v>
      </c>
      <c r="I231">
        <v>2.2000000000000002</v>
      </c>
      <c r="J231">
        <v>1.6</v>
      </c>
      <c r="K231">
        <f>(I231*J231)</f>
        <v>3.5200000000000005</v>
      </c>
      <c r="L231" t="s">
        <v>588</v>
      </c>
      <c r="M231">
        <v>1</v>
      </c>
      <c r="N231">
        <v>1</v>
      </c>
      <c r="T231">
        <v>1</v>
      </c>
      <c r="U231">
        <v>3</v>
      </c>
      <c r="V231" s="1">
        <v>43768</v>
      </c>
    </row>
    <row r="233" spans="1:22" x14ac:dyDescent="0.2">
      <c r="D233" s="1">
        <v>44074</v>
      </c>
      <c r="F233">
        <v>1</v>
      </c>
      <c r="G233">
        <v>0</v>
      </c>
      <c r="H233">
        <v>2.2000000000000002</v>
      </c>
      <c r="I233">
        <v>1.6</v>
      </c>
      <c r="J233">
        <v>1.2</v>
      </c>
      <c r="K233">
        <f>(I233*J233)</f>
        <v>1.92</v>
      </c>
      <c r="L233" t="s">
        <v>830</v>
      </c>
    </row>
    <row r="234" spans="1:22" x14ac:dyDescent="0.2">
      <c r="F234">
        <v>1</v>
      </c>
      <c r="G234">
        <v>0</v>
      </c>
      <c r="H234">
        <v>2.2999999999999998</v>
      </c>
      <c r="I234">
        <v>1.8</v>
      </c>
      <c r="J234">
        <v>1.1000000000000001</v>
      </c>
      <c r="K234">
        <f>(I234*J234)</f>
        <v>1.9800000000000002</v>
      </c>
      <c r="L234" t="s">
        <v>831</v>
      </c>
    </row>
    <row r="235" spans="1:22" x14ac:dyDescent="0.2">
      <c r="F235">
        <v>1</v>
      </c>
      <c r="G235">
        <v>0</v>
      </c>
      <c r="H235">
        <v>0</v>
      </c>
      <c r="I235">
        <v>0</v>
      </c>
      <c r="J235">
        <v>0</v>
      </c>
      <c r="K235">
        <f>(I235*J235)</f>
        <v>0</v>
      </c>
      <c r="L235" t="s">
        <v>589</v>
      </c>
    </row>
    <row r="236" spans="1:22" x14ac:dyDescent="0.2">
      <c r="F236">
        <v>1</v>
      </c>
      <c r="G236">
        <v>0</v>
      </c>
      <c r="H236">
        <v>0</v>
      </c>
      <c r="I236">
        <v>0</v>
      </c>
      <c r="J236">
        <v>0</v>
      </c>
      <c r="K236">
        <f>(I236*J236)</f>
        <v>0</v>
      </c>
      <c r="L236" t="s">
        <v>475</v>
      </c>
    </row>
    <row r="237" spans="1:22" x14ac:dyDescent="0.2">
      <c r="F237">
        <v>1</v>
      </c>
      <c r="G237">
        <v>0</v>
      </c>
      <c r="H237">
        <v>0</v>
      </c>
      <c r="I237">
        <v>0</v>
      </c>
      <c r="J237">
        <v>0</v>
      </c>
      <c r="K237">
        <f>(I237*J237)</f>
        <v>0</v>
      </c>
      <c r="L237" t="s">
        <v>590</v>
      </c>
    </row>
    <row r="239" spans="1:22" x14ac:dyDescent="0.2">
      <c r="F239">
        <v>0</v>
      </c>
      <c r="G239">
        <v>1</v>
      </c>
      <c r="H239">
        <v>2.8</v>
      </c>
      <c r="I239">
        <v>2.1</v>
      </c>
      <c r="J239">
        <v>1.6</v>
      </c>
      <c r="K239">
        <f>(I239*J239)</f>
        <v>3.3600000000000003</v>
      </c>
      <c r="L239" t="s">
        <v>588</v>
      </c>
      <c r="M239">
        <v>1</v>
      </c>
      <c r="N239">
        <v>1</v>
      </c>
      <c r="T239">
        <v>1</v>
      </c>
      <c r="U239">
        <v>3</v>
      </c>
      <c r="V239" s="1">
        <v>43768</v>
      </c>
    </row>
    <row r="241" spans="1:22" x14ac:dyDescent="0.2">
      <c r="A241">
        <v>11</v>
      </c>
      <c r="B241" t="s">
        <v>386</v>
      </c>
      <c r="C241" s="1">
        <v>30985</v>
      </c>
      <c r="D241" s="1">
        <v>43801</v>
      </c>
      <c r="E241" t="s">
        <v>387</v>
      </c>
      <c r="F241">
        <v>1</v>
      </c>
      <c r="G241">
        <v>0</v>
      </c>
      <c r="H241">
        <v>4.8</v>
      </c>
      <c r="I241">
        <v>2.8</v>
      </c>
      <c r="J241">
        <v>1</v>
      </c>
      <c r="K241">
        <f>(I241*J241)</f>
        <v>2.8</v>
      </c>
      <c r="L241" t="s">
        <v>832</v>
      </c>
      <c r="M241">
        <v>0</v>
      </c>
      <c r="N241">
        <v>1</v>
      </c>
      <c r="T241">
        <v>1</v>
      </c>
      <c r="U241">
        <v>1.3</v>
      </c>
      <c r="V241" s="1">
        <v>43745</v>
      </c>
    </row>
    <row r="243" spans="1:22" x14ac:dyDescent="0.2">
      <c r="D243" s="1">
        <v>44064</v>
      </c>
      <c r="F243">
        <v>1</v>
      </c>
      <c r="G243">
        <v>0</v>
      </c>
      <c r="H243">
        <v>2.8</v>
      </c>
      <c r="I243">
        <v>1.8</v>
      </c>
      <c r="J243">
        <v>1</v>
      </c>
      <c r="K243">
        <f>(I243*J243)</f>
        <v>1.8</v>
      </c>
      <c r="L243" t="s">
        <v>832</v>
      </c>
      <c r="M243">
        <v>0</v>
      </c>
      <c r="N243">
        <v>1</v>
      </c>
    </row>
    <row r="245" spans="1:22" x14ac:dyDescent="0.2">
      <c r="A245">
        <v>12</v>
      </c>
      <c r="B245" t="s">
        <v>393</v>
      </c>
      <c r="C245" s="1">
        <v>22284</v>
      </c>
      <c r="D245" s="1">
        <v>43850</v>
      </c>
      <c r="E245" t="s">
        <v>387</v>
      </c>
      <c r="F245">
        <v>1</v>
      </c>
      <c r="G245">
        <v>0</v>
      </c>
      <c r="H245">
        <v>3.7</v>
      </c>
      <c r="I245">
        <v>2</v>
      </c>
      <c r="J245">
        <v>2.9</v>
      </c>
      <c r="K245">
        <f>(I245*J245)</f>
        <v>5.8</v>
      </c>
      <c r="L245" t="s">
        <v>604</v>
      </c>
    </row>
    <row r="246" spans="1:22" x14ac:dyDescent="0.2">
      <c r="F246">
        <v>1</v>
      </c>
      <c r="G246">
        <v>0</v>
      </c>
      <c r="H246">
        <v>4</v>
      </c>
      <c r="I246">
        <v>2.6</v>
      </c>
      <c r="J246">
        <v>3.4</v>
      </c>
      <c r="K246">
        <f>(I246*J246)</f>
        <v>8.84</v>
      </c>
      <c r="L246" t="s">
        <v>605</v>
      </c>
    </row>
    <row r="247" spans="1:22" x14ac:dyDescent="0.2">
      <c r="F247">
        <v>1</v>
      </c>
      <c r="G247">
        <v>0</v>
      </c>
      <c r="H247">
        <v>4.0999999999999996</v>
      </c>
      <c r="I247">
        <v>2.5</v>
      </c>
      <c r="J247">
        <v>4.5</v>
      </c>
      <c r="K247">
        <f>(I247*J247)</f>
        <v>11.25</v>
      </c>
      <c r="L247" t="s">
        <v>567</v>
      </c>
    </row>
    <row r="249" spans="1:22" x14ac:dyDescent="0.2">
      <c r="F249">
        <v>0</v>
      </c>
      <c r="G249">
        <v>1</v>
      </c>
      <c r="H249">
        <v>2.9</v>
      </c>
      <c r="I249">
        <v>1.5</v>
      </c>
      <c r="J249">
        <v>2.2000000000000002</v>
      </c>
      <c r="K249">
        <f>(I249*J249)</f>
        <v>3.3000000000000003</v>
      </c>
      <c r="L249" t="s">
        <v>603</v>
      </c>
    </row>
    <row r="250" spans="1:22" x14ac:dyDescent="0.2">
      <c r="F250">
        <v>0</v>
      </c>
      <c r="G250">
        <v>1</v>
      </c>
      <c r="H250">
        <v>3.2</v>
      </c>
      <c r="I250">
        <v>1.8</v>
      </c>
      <c r="J250">
        <v>2.2000000000000002</v>
      </c>
      <c r="K250">
        <f>(I250*J250)</f>
        <v>3.9600000000000004</v>
      </c>
      <c r="L250" t="s">
        <v>491</v>
      </c>
      <c r="M250">
        <v>1</v>
      </c>
      <c r="N250">
        <v>1</v>
      </c>
      <c r="T250">
        <v>1</v>
      </c>
      <c r="U250">
        <v>3</v>
      </c>
      <c r="V250" s="1">
        <v>43929</v>
      </c>
    </row>
    <row r="252" spans="1:22" x14ac:dyDescent="0.2">
      <c r="D252" s="1">
        <v>44074</v>
      </c>
      <c r="F252">
        <v>1</v>
      </c>
      <c r="G252">
        <v>0</v>
      </c>
      <c r="H252">
        <v>2.4</v>
      </c>
      <c r="I252">
        <v>1.4</v>
      </c>
      <c r="J252">
        <v>1.6</v>
      </c>
      <c r="K252">
        <f>(I252*J252)</f>
        <v>2.2399999999999998</v>
      </c>
      <c r="L252" t="s">
        <v>604</v>
      </c>
    </row>
    <row r="253" spans="1:22" x14ac:dyDescent="0.2">
      <c r="F253">
        <v>1</v>
      </c>
      <c r="G253">
        <v>0</v>
      </c>
      <c r="H253">
        <v>2.2000000000000002</v>
      </c>
      <c r="I253">
        <v>1.4</v>
      </c>
      <c r="J253">
        <v>1.9</v>
      </c>
      <c r="K253">
        <f>(I253*J253)</f>
        <v>2.6599999999999997</v>
      </c>
      <c r="L253" t="s">
        <v>605</v>
      </c>
    </row>
    <row r="254" spans="1:22" x14ac:dyDescent="0.2">
      <c r="F254">
        <v>1</v>
      </c>
      <c r="G254">
        <v>0</v>
      </c>
      <c r="H254">
        <v>0</v>
      </c>
      <c r="I254">
        <v>0</v>
      </c>
      <c r="J254">
        <v>0</v>
      </c>
      <c r="K254">
        <f>(I254*J254)</f>
        <v>0</v>
      </c>
      <c r="L254" t="s">
        <v>567</v>
      </c>
    </row>
    <row r="256" spans="1:22" x14ac:dyDescent="0.2">
      <c r="F256">
        <v>0</v>
      </c>
      <c r="G256">
        <v>1</v>
      </c>
      <c r="H256">
        <v>2.4</v>
      </c>
      <c r="I256">
        <v>1.3</v>
      </c>
      <c r="J256">
        <v>2.2000000000000002</v>
      </c>
      <c r="K256">
        <f>(I256*J256)</f>
        <v>2.8600000000000003</v>
      </c>
      <c r="L256" t="s">
        <v>603</v>
      </c>
    </row>
    <row r="257" spans="1:22" x14ac:dyDescent="0.2">
      <c r="F257">
        <v>0</v>
      </c>
      <c r="G257">
        <v>1</v>
      </c>
      <c r="H257">
        <v>2.8</v>
      </c>
      <c r="I257">
        <v>1.6</v>
      </c>
      <c r="J257">
        <v>2.2000000000000002</v>
      </c>
      <c r="K257">
        <f>(I257*J257)</f>
        <v>3.5200000000000005</v>
      </c>
      <c r="L257" t="s">
        <v>491</v>
      </c>
      <c r="M257">
        <v>1</v>
      </c>
      <c r="N257">
        <v>1</v>
      </c>
      <c r="T257">
        <v>1</v>
      </c>
      <c r="U257">
        <v>3</v>
      </c>
      <c r="V257" s="1">
        <v>43929</v>
      </c>
    </row>
    <row r="259" spans="1:22" x14ac:dyDescent="0.2">
      <c r="A259">
        <v>13</v>
      </c>
      <c r="B259" t="s">
        <v>758</v>
      </c>
      <c r="C259" s="1">
        <v>22028</v>
      </c>
      <c r="D259" s="1">
        <v>43906</v>
      </c>
      <c r="E259" t="s">
        <v>730</v>
      </c>
      <c r="F259">
        <v>1</v>
      </c>
      <c r="G259">
        <v>0</v>
      </c>
      <c r="H259">
        <v>4.8</v>
      </c>
      <c r="I259">
        <v>2.8</v>
      </c>
      <c r="J259">
        <v>7.9</v>
      </c>
      <c r="K259">
        <f>(I259*J259)</f>
        <v>22.12</v>
      </c>
      <c r="L259" t="s">
        <v>759</v>
      </c>
    </row>
    <row r="260" spans="1:22" x14ac:dyDescent="0.2">
      <c r="F260">
        <v>1</v>
      </c>
      <c r="G260">
        <v>0</v>
      </c>
      <c r="H260">
        <v>4.0999999999999996</v>
      </c>
      <c r="I260">
        <v>2.8</v>
      </c>
      <c r="J260">
        <v>13.5</v>
      </c>
      <c r="K260">
        <f>(I260*J260)</f>
        <v>37.799999999999997</v>
      </c>
      <c r="L260" t="s">
        <v>672</v>
      </c>
    </row>
    <row r="262" spans="1:22" x14ac:dyDescent="0.2">
      <c r="F262">
        <v>0</v>
      </c>
      <c r="G262">
        <v>1</v>
      </c>
      <c r="H262">
        <v>2.9</v>
      </c>
      <c r="I262">
        <v>1.7</v>
      </c>
      <c r="J262">
        <v>7.1</v>
      </c>
      <c r="K262">
        <f>(I262*J262)</f>
        <v>12.069999999999999</v>
      </c>
      <c r="L262" t="s">
        <v>760</v>
      </c>
    </row>
    <row r="263" spans="1:22" x14ac:dyDescent="0.2">
      <c r="F263">
        <v>0</v>
      </c>
      <c r="G263">
        <v>1</v>
      </c>
      <c r="H263">
        <v>2.1</v>
      </c>
      <c r="I263">
        <v>1.6</v>
      </c>
      <c r="J263">
        <v>3.7</v>
      </c>
      <c r="K263">
        <f>(I263*J263)</f>
        <v>5.9200000000000008</v>
      </c>
      <c r="L263" t="s">
        <v>630</v>
      </c>
      <c r="M263">
        <v>1</v>
      </c>
      <c r="N263">
        <v>1</v>
      </c>
    </row>
    <row r="265" spans="1:22" x14ac:dyDescent="0.2">
      <c r="F265">
        <v>1</v>
      </c>
      <c r="G265">
        <v>0</v>
      </c>
      <c r="H265">
        <v>3.8</v>
      </c>
      <c r="I265">
        <v>2.2000000000000002</v>
      </c>
      <c r="J265">
        <v>7.9</v>
      </c>
      <c r="K265">
        <f>(I265*J265)</f>
        <v>17.380000000000003</v>
      </c>
      <c r="L265" t="s">
        <v>759</v>
      </c>
    </row>
    <row r="266" spans="1:22" x14ac:dyDescent="0.2">
      <c r="F266">
        <v>1</v>
      </c>
      <c r="G266">
        <v>0</v>
      </c>
      <c r="H266">
        <v>2.7</v>
      </c>
      <c r="I266">
        <v>1.4</v>
      </c>
      <c r="J266">
        <v>13.5</v>
      </c>
      <c r="K266">
        <f>(I266*J266)</f>
        <v>18.899999999999999</v>
      </c>
      <c r="L266" t="s">
        <v>672</v>
      </c>
    </row>
    <row r="268" spans="1:22" x14ac:dyDescent="0.2">
      <c r="F268">
        <v>0</v>
      </c>
      <c r="G268">
        <v>1</v>
      </c>
      <c r="H268">
        <v>2.7</v>
      </c>
      <c r="I268">
        <v>1.6</v>
      </c>
      <c r="J268">
        <v>7.1</v>
      </c>
      <c r="K268">
        <f>(I268*J268)</f>
        <v>11.36</v>
      </c>
      <c r="L268" t="s">
        <v>760</v>
      </c>
    </row>
    <row r="269" spans="1:22" x14ac:dyDescent="0.2">
      <c r="F269">
        <v>0</v>
      </c>
      <c r="G269">
        <v>1</v>
      </c>
      <c r="H269">
        <v>1.9</v>
      </c>
      <c r="I269">
        <v>1.5</v>
      </c>
      <c r="J269">
        <v>3.7</v>
      </c>
      <c r="K269">
        <f>(I269*J269)</f>
        <v>5.5500000000000007</v>
      </c>
      <c r="L269" t="s">
        <v>630</v>
      </c>
      <c r="M269">
        <v>1</v>
      </c>
      <c r="N269">
        <v>1</v>
      </c>
      <c r="T269">
        <v>0</v>
      </c>
      <c r="V269" s="1"/>
    </row>
    <row r="271" spans="1:22" x14ac:dyDescent="0.2">
      <c r="A271">
        <v>14</v>
      </c>
      <c r="B271" t="s">
        <v>404</v>
      </c>
      <c r="C271" s="1">
        <v>26611</v>
      </c>
      <c r="D271" s="1">
        <v>43941</v>
      </c>
      <c r="E271" t="s">
        <v>35</v>
      </c>
      <c r="F271">
        <v>1</v>
      </c>
      <c r="G271">
        <v>0</v>
      </c>
      <c r="H271">
        <v>4.0999999999999996</v>
      </c>
      <c r="I271">
        <v>2.2999999999999998</v>
      </c>
      <c r="J271">
        <v>4.9000000000000004</v>
      </c>
      <c r="K271">
        <f t="shared" ref="K271:K288" si="13">(I271*J271)</f>
        <v>11.27</v>
      </c>
      <c r="L271" t="s">
        <v>833</v>
      </c>
    </row>
    <row r="272" spans="1:22" x14ac:dyDescent="0.2">
      <c r="F272">
        <v>1</v>
      </c>
      <c r="G272">
        <v>0</v>
      </c>
      <c r="H272">
        <v>5.2</v>
      </c>
      <c r="I272">
        <v>2.8</v>
      </c>
      <c r="J272">
        <v>59.8</v>
      </c>
      <c r="K272">
        <f t="shared" si="13"/>
        <v>167.43999999999997</v>
      </c>
      <c r="L272" t="s">
        <v>834</v>
      </c>
    </row>
    <row r="273" spans="6:22" x14ac:dyDescent="0.2">
      <c r="F273">
        <v>1</v>
      </c>
      <c r="G273">
        <v>0</v>
      </c>
      <c r="H273">
        <v>5.4</v>
      </c>
      <c r="I273">
        <v>3</v>
      </c>
      <c r="J273">
        <v>14.2</v>
      </c>
      <c r="K273">
        <f t="shared" si="13"/>
        <v>42.599999999999994</v>
      </c>
      <c r="L273" t="s">
        <v>835</v>
      </c>
    </row>
    <row r="274" spans="6:22" x14ac:dyDescent="0.2">
      <c r="F274">
        <v>1</v>
      </c>
      <c r="G274">
        <v>0</v>
      </c>
      <c r="H274">
        <v>6.1</v>
      </c>
      <c r="I274">
        <v>3.1</v>
      </c>
      <c r="J274">
        <v>13</v>
      </c>
      <c r="K274">
        <f t="shared" si="13"/>
        <v>40.300000000000004</v>
      </c>
      <c r="L274" t="s">
        <v>547</v>
      </c>
    </row>
    <row r="275" spans="6:22" x14ac:dyDescent="0.2">
      <c r="F275">
        <v>1</v>
      </c>
      <c r="G275">
        <v>0</v>
      </c>
      <c r="H275">
        <v>5.7</v>
      </c>
      <c r="I275">
        <v>3.4</v>
      </c>
      <c r="J275">
        <v>14.2</v>
      </c>
      <c r="K275">
        <f t="shared" si="13"/>
        <v>48.279999999999994</v>
      </c>
      <c r="L275" t="s">
        <v>571</v>
      </c>
    </row>
    <row r="276" spans="6:22" x14ac:dyDescent="0.2">
      <c r="F276">
        <v>1</v>
      </c>
      <c r="G276">
        <v>0</v>
      </c>
      <c r="H276">
        <v>10.9</v>
      </c>
      <c r="I276">
        <v>6</v>
      </c>
      <c r="J276">
        <v>11.6</v>
      </c>
      <c r="K276">
        <f t="shared" si="13"/>
        <v>69.599999999999994</v>
      </c>
      <c r="L276" t="s">
        <v>567</v>
      </c>
    </row>
    <row r="277" spans="6:22" x14ac:dyDescent="0.2">
      <c r="F277">
        <v>1</v>
      </c>
      <c r="G277">
        <v>0</v>
      </c>
      <c r="H277">
        <v>9.4</v>
      </c>
      <c r="I277">
        <v>5.5</v>
      </c>
      <c r="J277">
        <v>18.399999999999999</v>
      </c>
      <c r="K277">
        <f t="shared" si="13"/>
        <v>101.19999999999999</v>
      </c>
      <c r="L277" t="s">
        <v>837</v>
      </c>
    </row>
    <row r="278" spans="6:22" x14ac:dyDescent="0.2">
      <c r="F278">
        <v>1</v>
      </c>
      <c r="G278">
        <v>0</v>
      </c>
      <c r="H278">
        <v>7.8</v>
      </c>
      <c r="I278">
        <v>4.7</v>
      </c>
      <c r="J278">
        <v>3.7</v>
      </c>
      <c r="K278">
        <f t="shared" si="13"/>
        <v>17.39</v>
      </c>
      <c r="L278" t="s">
        <v>518</v>
      </c>
    </row>
    <row r="279" spans="6:22" x14ac:dyDescent="0.2">
      <c r="F279">
        <v>1</v>
      </c>
      <c r="G279">
        <v>0</v>
      </c>
      <c r="H279">
        <v>8</v>
      </c>
      <c r="I279">
        <v>5.6</v>
      </c>
      <c r="J279">
        <v>3.7</v>
      </c>
      <c r="K279">
        <f t="shared" si="13"/>
        <v>20.72</v>
      </c>
      <c r="L279" t="s">
        <v>838</v>
      </c>
    </row>
    <row r="280" spans="6:22" x14ac:dyDescent="0.2">
      <c r="F280">
        <v>1</v>
      </c>
      <c r="G280">
        <v>0</v>
      </c>
      <c r="H280">
        <v>7.9</v>
      </c>
      <c r="I280">
        <v>4.5</v>
      </c>
      <c r="J280">
        <v>3.3</v>
      </c>
      <c r="K280">
        <f t="shared" si="13"/>
        <v>14.85</v>
      </c>
      <c r="L280" t="s">
        <v>839</v>
      </c>
    </row>
    <row r="281" spans="6:22" x14ac:dyDescent="0.2">
      <c r="F281">
        <v>1</v>
      </c>
      <c r="G281">
        <v>0</v>
      </c>
      <c r="H281">
        <v>10.6</v>
      </c>
      <c r="I281">
        <v>6.1</v>
      </c>
      <c r="J281">
        <v>10.3</v>
      </c>
      <c r="K281">
        <f t="shared" si="13"/>
        <v>62.83</v>
      </c>
      <c r="L281" t="s">
        <v>789</v>
      </c>
    </row>
    <row r="282" spans="6:22" x14ac:dyDescent="0.2">
      <c r="F282">
        <v>1</v>
      </c>
      <c r="G282">
        <v>0</v>
      </c>
      <c r="H282">
        <v>8.3000000000000007</v>
      </c>
      <c r="I282">
        <v>5</v>
      </c>
      <c r="J282">
        <v>17.600000000000001</v>
      </c>
      <c r="K282">
        <f t="shared" si="13"/>
        <v>88</v>
      </c>
      <c r="L282" t="s">
        <v>840</v>
      </c>
    </row>
    <row r="283" spans="6:22" x14ac:dyDescent="0.2">
      <c r="F283">
        <v>1</v>
      </c>
      <c r="G283">
        <v>0</v>
      </c>
      <c r="H283">
        <v>10</v>
      </c>
      <c r="I283">
        <v>6.1</v>
      </c>
      <c r="J283">
        <v>5.4</v>
      </c>
      <c r="K283">
        <f t="shared" si="13"/>
        <v>32.94</v>
      </c>
      <c r="L283" t="s">
        <v>841</v>
      </c>
    </row>
    <row r="284" spans="6:22" x14ac:dyDescent="0.2">
      <c r="F284">
        <v>1</v>
      </c>
      <c r="G284">
        <v>0</v>
      </c>
      <c r="H284">
        <v>7.2</v>
      </c>
      <c r="I284">
        <v>4.4000000000000004</v>
      </c>
      <c r="J284">
        <v>2.2000000000000002</v>
      </c>
      <c r="K284">
        <f t="shared" si="13"/>
        <v>9.6800000000000015</v>
      </c>
      <c r="L284" t="s">
        <v>791</v>
      </c>
    </row>
    <row r="285" spans="6:22" x14ac:dyDescent="0.2">
      <c r="F285">
        <v>1</v>
      </c>
      <c r="G285">
        <v>0</v>
      </c>
      <c r="H285">
        <v>6.8</v>
      </c>
      <c r="I285">
        <v>4</v>
      </c>
      <c r="J285">
        <v>3.9</v>
      </c>
      <c r="K285">
        <f t="shared" si="13"/>
        <v>15.6</v>
      </c>
      <c r="L285" t="s">
        <v>519</v>
      </c>
    </row>
    <row r="287" spans="6:22" x14ac:dyDescent="0.2">
      <c r="F287">
        <v>0</v>
      </c>
      <c r="G287">
        <v>1</v>
      </c>
      <c r="H287">
        <v>2.7</v>
      </c>
      <c r="I287">
        <v>1.8</v>
      </c>
      <c r="J287">
        <v>11.6</v>
      </c>
      <c r="K287">
        <f t="shared" si="13"/>
        <v>20.88</v>
      </c>
      <c r="L287" t="s">
        <v>836</v>
      </c>
    </row>
    <row r="288" spans="6:22" x14ac:dyDescent="0.2">
      <c r="F288">
        <v>0</v>
      </c>
      <c r="G288">
        <v>1</v>
      </c>
      <c r="H288">
        <v>3</v>
      </c>
      <c r="I288">
        <v>1.7</v>
      </c>
      <c r="J288">
        <v>8.9</v>
      </c>
      <c r="K288">
        <f t="shared" si="13"/>
        <v>15.13</v>
      </c>
      <c r="L288" t="s">
        <v>502</v>
      </c>
      <c r="M288">
        <v>1</v>
      </c>
      <c r="N288">
        <v>1</v>
      </c>
      <c r="T288">
        <v>1</v>
      </c>
      <c r="U288">
        <v>1</v>
      </c>
      <c r="V288" s="1">
        <v>43895</v>
      </c>
    </row>
    <row r="290" spans="6:12" x14ac:dyDescent="0.2">
      <c r="F290">
        <v>1</v>
      </c>
      <c r="G290">
        <v>0</v>
      </c>
      <c r="H290">
        <v>0</v>
      </c>
      <c r="I290">
        <v>0</v>
      </c>
      <c r="J290">
        <v>0</v>
      </c>
      <c r="K290">
        <f t="shared" ref="K290:K304" si="14">(I290*J290)</f>
        <v>0</v>
      </c>
      <c r="L290" t="s">
        <v>842</v>
      </c>
    </row>
    <row r="291" spans="6:12" x14ac:dyDescent="0.2">
      <c r="F291">
        <v>1</v>
      </c>
      <c r="G291">
        <v>0</v>
      </c>
      <c r="H291">
        <v>0</v>
      </c>
      <c r="I291">
        <v>0</v>
      </c>
      <c r="J291">
        <v>0</v>
      </c>
      <c r="K291">
        <f t="shared" si="14"/>
        <v>0</v>
      </c>
      <c r="L291" t="s">
        <v>834</v>
      </c>
    </row>
    <row r="292" spans="6:12" x14ac:dyDescent="0.2">
      <c r="F292">
        <v>1</v>
      </c>
      <c r="G292">
        <v>0</v>
      </c>
      <c r="H292">
        <v>3.5</v>
      </c>
      <c r="I292">
        <v>1.8</v>
      </c>
      <c r="J292">
        <v>22</v>
      </c>
      <c r="K292">
        <f t="shared" si="14"/>
        <v>39.6</v>
      </c>
      <c r="L292" t="s">
        <v>835</v>
      </c>
    </row>
    <row r="293" spans="6:12" x14ac:dyDescent="0.2">
      <c r="F293">
        <v>1</v>
      </c>
      <c r="G293">
        <v>0</v>
      </c>
      <c r="H293">
        <v>3.1</v>
      </c>
      <c r="I293">
        <v>1.7</v>
      </c>
      <c r="J293">
        <v>10</v>
      </c>
      <c r="K293">
        <f t="shared" si="14"/>
        <v>17</v>
      </c>
      <c r="L293" t="s">
        <v>547</v>
      </c>
    </row>
    <row r="294" spans="6:12" x14ac:dyDescent="0.2">
      <c r="F294">
        <v>1</v>
      </c>
      <c r="G294">
        <v>0</v>
      </c>
      <c r="H294">
        <v>3.7</v>
      </c>
      <c r="I294">
        <v>2.1</v>
      </c>
      <c r="J294">
        <v>4</v>
      </c>
      <c r="K294">
        <f t="shared" si="14"/>
        <v>8.4</v>
      </c>
      <c r="L294" t="s">
        <v>571</v>
      </c>
    </row>
    <row r="295" spans="6:12" x14ac:dyDescent="0.2">
      <c r="F295">
        <v>1</v>
      </c>
      <c r="G295">
        <v>0</v>
      </c>
      <c r="H295">
        <v>7.2</v>
      </c>
      <c r="I295">
        <v>3.5</v>
      </c>
      <c r="J295">
        <v>1.6</v>
      </c>
      <c r="K295">
        <f t="shared" si="14"/>
        <v>5.6000000000000005</v>
      </c>
      <c r="L295" t="s">
        <v>567</v>
      </c>
    </row>
    <row r="296" spans="6:12" x14ac:dyDescent="0.2">
      <c r="F296">
        <v>1</v>
      </c>
      <c r="G296">
        <v>0</v>
      </c>
      <c r="H296">
        <v>4.7</v>
      </c>
      <c r="I296">
        <v>2.6</v>
      </c>
      <c r="J296">
        <v>9.1</v>
      </c>
      <c r="K296">
        <f t="shared" si="14"/>
        <v>23.66</v>
      </c>
      <c r="L296" t="s">
        <v>837</v>
      </c>
    </row>
    <row r="297" spans="6:12" x14ac:dyDescent="0.2">
      <c r="F297">
        <v>1</v>
      </c>
      <c r="G297">
        <v>0</v>
      </c>
      <c r="H297">
        <v>0</v>
      </c>
      <c r="I297">
        <v>0</v>
      </c>
      <c r="J297">
        <v>0</v>
      </c>
      <c r="K297">
        <f t="shared" si="14"/>
        <v>0</v>
      </c>
      <c r="L297" t="s">
        <v>518</v>
      </c>
    </row>
    <row r="298" spans="6:12" x14ac:dyDescent="0.2">
      <c r="F298">
        <v>1</v>
      </c>
      <c r="G298">
        <v>0</v>
      </c>
      <c r="H298">
        <v>0</v>
      </c>
      <c r="I298">
        <v>0</v>
      </c>
      <c r="J298">
        <v>0</v>
      </c>
      <c r="K298">
        <f t="shared" si="14"/>
        <v>0</v>
      </c>
      <c r="L298" t="s">
        <v>838</v>
      </c>
    </row>
    <row r="299" spans="6:12" x14ac:dyDescent="0.2">
      <c r="F299">
        <v>1</v>
      </c>
      <c r="G299">
        <v>0</v>
      </c>
      <c r="H299">
        <v>0</v>
      </c>
      <c r="I299">
        <v>0</v>
      </c>
      <c r="J299">
        <v>0</v>
      </c>
      <c r="K299">
        <f t="shared" si="14"/>
        <v>0</v>
      </c>
      <c r="L299" t="s">
        <v>839</v>
      </c>
    </row>
    <row r="300" spans="6:12" x14ac:dyDescent="0.2">
      <c r="F300">
        <v>1</v>
      </c>
      <c r="G300">
        <v>0</v>
      </c>
      <c r="H300">
        <v>0</v>
      </c>
      <c r="I300">
        <v>0</v>
      </c>
      <c r="J300">
        <v>0</v>
      </c>
      <c r="K300">
        <f t="shared" si="14"/>
        <v>0</v>
      </c>
      <c r="L300" t="s">
        <v>789</v>
      </c>
    </row>
    <row r="301" spans="6:12" x14ac:dyDescent="0.2">
      <c r="F301">
        <v>1</v>
      </c>
      <c r="G301">
        <v>0</v>
      </c>
      <c r="H301">
        <v>0</v>
      </c>
      <c r="I301">
        <v>0</v>
      </c>
      <c r="J301">
        <v>0</v>
      </c>
      <c r="K301">
        <f t="shared" si="14"/>
        <v>0</v>
      </c>
      <c r="L301" t="s">
        <v>840</v>
      </c>
    </row>
    <row r="302" spans="6:12" x14ac:dyDescent="0.2">
      <c r="F302">
        <v>1</v>
      </c>
      <c r="G302">
        <v>0</v>
      </c>
      <c r="H302">
        <v>0</v>
      </c>
      <c r="I302">
        <v>0</v>
      </c>
      <c r="J302">
        <v>0</v>
      </c>
      <c r="K302">
        <f t="shared" si="14"/>
        <v>0</v>
      </c>
      <c r="L302" t="s">
        <v>841</v>
      </c>
    </row>
    <row r="303" spans="6:12" x14ac:dyDescent="0.2">
      <c r="F303">
        <v>1</v>
      </c>
      <c r="G303">
        <v>0</v>
      </c>
      <c r="H303">
        <v>0</v>
      </c>
      <c r="I303">
        <v>0</v>
      </c>
      <c r="J303">
        <v>0</v>
      </c>
      <c r="K303">
        <f t="shared" si="14"/>
        <v>0</v>
      </c>
      <c r="L303" t="s">
        <v>791</v>
      </c>
    </row>
    <row r="304" spans="6:12" x14ac:dyDescent="0.2">
      <c r="F304">
        <v>1</v>
      </c>
      <c r="G304">
        <v>0</v>
      </c>
      <c r="H304">
        <v>0</v>
      </c>
      <c r="I304">
        <v>0</v>
      </c>
      <c r="J304">
        <v>0</v>
      </c>
      <c r="K304">
        <f t="shared" si="14"/>
        <v>0</v>
      </c>
      <c r="L304" t="s">
        <v>519</v>
      </c>
    </row>
    <row r="306" spans="1:22" x14ac:dyDescent="0.2">
      <c r="F306">
        <v>0</v>
      </c>
      <c r="G306">
        <v>1</v>
      </c>
      <c r="H306">
        <v>1.7</v>
      </c>
      <c r="I306">
        <v>1.4</v>
      </c>
      <c r="J306">
        <v>11.6</v>
      </c>
      <c r="K306">
        <f>(I306*J306)</f>
        <v>16.239999999999998</v>
      </c>
      <c r="L306" t="s">
        <v>836</v>
      </c>
    </row>
    <row r="307" spans="1:22" x14ac:dyDescent="0.2">
      <c r="F307">
        <v>0</v>
      </c>
      <c r="G307">
        <v>1</v>
      </c>
      <c r="H307">
        <v>1.6</v>
      </c>
      <c r="I307">
        <v>1.2</v>
      </c>
      <c r="J307">
        <v>8.9</v>
      </c>
      <c r="K307">
        <f>(I307*J307)</f>
        <v>10.68</v>
      </c>
      <c r="L307" t="s">
        <v>502</v>
      </c>
      <c r="M307">
        <v>1</v>
      </c>
      <c r="N307">
        <v>1</v>
      </c>
      <c r="T307">
        <v>1</v>
      </c>
      <c r="U307">
        <v>1</v>
      </c>
      <c r="V307" t="s">
        <v>1089</v>
      </c>
    </row>
    <row r="309" spans="1:22" x14ac:dyDescent="0.2">
      <c r="A309">
        <v>15</v>
      </c>
      <c r="B309" t="s">
        <v>723</v>
      </c>
      <c r="C309" s="1">
        <v>30034</v>
      </c>
      <c r="D309" s="1">
        <v>44085</v>
      </c>
      <c r="E309" t="s">
        <v>387</v>
      </c>
      <c r="F309">
        <v>1</v>
      </c>
      <c r="G309">
        <v>0</v>
      </c>
      <c r="H309">
        <v>4.5999999999999996</v>
      </c>
      <c r="I309">
        <v>2.1</v>
      </c>
      <c r="J309">
        <v>11.8</v>
      </c>
      <c r="K309">
        <f>(I309*J309)</f>
        <v>24.78</v>
      </c>
      <c r="L309" t="s">
        <v>844</v>
      </c>
    </row>
    <row r="310" spans="1:22" x14ac:dyDescent="0.2">
      <c r="F310">
        <v>1</v>
      </c>
      <c r="G310">
        <v>0</v>
      </c>
      <c r="H310">
        <v>4</v>
      </c>
      <c r="I310">
        <v>2.2999999999999998</v>
      </c>
      <c r="J310">
        <v>5.5</v>
      </c>
      <c r="K310">
        <f>(I310*J310)</f>
        <v>12.649999999999999</v>
      </c>
      <c r="L310" t="s">
        <v>724</v>
      </c>
    </row>
    <row r="311" spans="1:22" x14ac:dyDescent="0.2">
      <c r="F311">
        <v>1</v>
      </c>
      <c r="G311">
        <v>0</v>
      </c>
      <c r="H311">
        <v>4.3</v>
      </c>
      <c r="I311">
        <v>2.7</v>
      </c>
      <c r="J311">
        <v>4.8</v>
      </c>
      <c r="K311">
        <f>(I311*J311)</f>
        <v>12.96</v>
      </c>
      <c r="L311" t="s">
        <v>843</v>
      </c>
    </row>
    <row r="313" spans="1:22" x14ac:dyDescent="0.2">
      <c r="F313">
        <v>0</v>
      </c>
      <c r="G313">
        <v>1</v>
      </c>
      <c r="H313">
        <v>2.5</v>
      </c>
      <c r="I313">
        <v>1.7</v>
      </c>
      <c r="J313">
        <v>2.6</v>
      </c>
      <c r="K313">
        <f>(I313*J313)</f>
        <v>4.42</v>
      </c>
      <c r="L313" t="s">
        <v>629</v>
      </c>
      <c r="M313">
        <v>1</v>
      </c>
      <c r="N313">
        <v>1</v>
      </c>
      <c r="T313">
        <v>1</v>
      </c>
      <c r="U313">
        <v>3</v>
      </c>
      <c r="V313" s="1">
        <v>43924</v>
      </c>
    </row>
    <row r="315" spans="1:22" x14ac:dyDescent="0.2">
      <c r="F315">
        <v>1</v>
      </c>
      <c r="G315">
        <v>0</v>
      </c>
      <c r="H315">
        <v>0</v>
      </c>
      <c r="I315">
        <v>0</v>
      </c>
      <c r="J315">
        <v>0</v>
      </c>
      <c r="K315">
        <f>(I315*J315)</f>
        <v>0</v>
      </c>
      <c r="L315" t="s">
        <v>844</v>
      </c>
    </row>
    <row r="316" spans="1:22" x14ac:dyDescent="0.2">
      <c r="F316">
        <v>1</v>
      </c>
      <c r="G316">
        <v>0</v>
      </c>
      <c r="H316">
        <v>4</v>
      </c>
      <c r="I316">
        <v>2.2999999999999998</v>
      </c>
      <c r="J316">
        <v>5.5</v>
      </c>
      <c r="K316">
        <f>(I316*J316)</f>
        <v>12.649999999999999</v>
      </c>
      <c r="L316" t="s">
        <v>724</v>
      </c>
    </row>
    <row r="317" spans="1:22" x14ac:dyDescent="0.2">
      <c r="F317">
        <v>1</v>
      </c>
      <c r="G317">
        <v>0</v>
      </c>
      <c r="H317">
        <v>0</v>
      </c>
      <c r="I317">
        <v>0</v>
      </c>
      <c r="J317">
        <v>0</v>
      </c>
      <c r="K317">
        <f>(I317*J317)</f>
        <v>0</v>
      </c>
      <c r="L317" t="s">
        <v>843</v>
      </c>
    </row>
    <row r="319" spans="1:22" x14ac:dyDescent="0.2">
      <c r="F319">
        <v>0</v>
      </c>
      <c r="G319">
        <v>1</v>
      </c>
      <c r="H319">
        <v>1.4</v>
      </c>
      <c r="I319">
        <v>0.8</v>
      </c>
      <c r="J319">
        <v>2.1</v>
      </c>
      <c r="K319">
        <f>(I319*J319)</f>
        <v>1.6800000000000002</v>
      </c>
      <c r="L319" t="s">
        <v>629</v>
      </c>
      <c r="M319">
        <v>1</v>
      </c>
      <c r="N319">
        <v>1</v>
      </c>
    </row>
    <row r="321" spans="1:14" x14ac:dyDescent="0.2">
      <c r="A321">
        <v>16</v>
      </c>
      <c r="B321" t="s">
        <v>692</v>
      </c>
      <c r="C321" s="1">
        <v>24472</v>
      </c>
      <c r="D321" s="1">
        <v>43973</v>
      </c>
      <c r="E321" t="s">
        <v>35</v>
      </c>
      <c r="F321">
        <v>1</v>
      </c>
      <c r="G321">
        <v>0</v>
      </c>
      <c r="H321">
        <v>4.0999999999999996</v>
      </c>
      <c r="I321">
        <v>2.2000000000000002</v>
      </c>
      <c r="J321">
        <v>20.3</v>
      </c>
      <c r="K321">
        <f>(I321*J321)</f>
        <v>44.660000000000004</v>
      </c>
      <c r="L321" t="s">
        <v>693</v>
      </c>
    </row>
    <row r="322" spans="1:14" x14ac:dyDescent="0.2">
      <c r="F322">
        <v>1</v>
      </c>
      <c r="G322">
        <v>0</v>
      </c>
      <c r="H322">
        <v>5.0999999999999996</v>
      </c>
      <c r="I322">
        <v>2.8</v>
      </c>
      <c r="J322">
        <v>14.4</v>
      </c>
      <c r="K322">
        <f>(I322*J322)</f>
        <v>40.32</v>
      </c>
      <c r="L322" t="s">
        <v>603</v>
      </c>
    </row>
    <row r="323" spans="1:14" x14ac:dyDescent="0.2">
      <c r="F323">
        <v>1</v>
      </c>
      <c r="G323">
        <v>0</v>
      </c>
      <c r="H323">
        <v>4.3</v>
      </c>
      <c r="I323">
        <v>2.5</v>
      </c>
      <c r="J323">
        <v>7.1</v>
      </c>
      <c r="K323">
        <f>(I323*J323)</f>
        <v>17.75</v>
      </c>
      <c r="L323" t="s">
        <v>640</v>
      </c>
    </row>
    <row r="324" spans="1:14" x14ac:dyDescent="0.2">
      <c r="F324">
        <v>1</v>
      </c>
      <c r="G324">
        <v>0</v>
      </c>
      <c r="H324">
        <v>4.0999999999999996</v>
      </c>
      <c r="I324">
        <v>2.2000000000000002</v>
      </c>
      <c r="J324">
        <v>7.6</v>
      </c>
      <c r="K324">
        <f>(I324*J324)</f>
        <v>16.72</v>
      </c>
      <c r="L324" t="s">
        <v>694</v>
      </c>
    </row>
    <row r="326" spans="1:14" x14ac:dyDescent="0.2">
      <c r="F326">
        <v>0</v>
      </c>
      <c r="G326">
        <v>1</v>
      </c>
      <c r="H326">
        <v>1.9</v>
      </c>
      <c r="I326">
        <v>1.3</v>
      </c>
      <c r="J326">
        <v>4.5999999999999996</v>
      </c>
      <c r="K326">
        <f>(I326*J326)</f>
        <v>5.9799999999999995</v>
      </c>
      <c r="L326" t="s">
        <v>629</v>
      </c>
    </row>
    <row r="327" spans="1:14" x14ac:dyDescent="0.2">
      <c r="F327">
        <v>0</v>
      </c>
      <c r="G327">
        <v>1</v>
      </c>
      <c r="H327">
        <v>2.1</v>
      </c>
      <c r="I327">
        <v>1.4</v>
      </c>
      <c r="J327">
        <v>3</v>
      </c>
      <c r="K327">
        <f>(I327*J327)</f>
        <v>4.1999999999999993</v>
      </c>
      <c r="L327" t="s">
        <v>630</v>
      </c>
    </row>
    <row r="328" spans="1:14" x14ac:dyDescent="0.2">
      <c r="F328">
        <v>0</v>
      </c>
      <c r="G328">
        <v>1</v>
      </c>
      <c r="H328">
        <v>2.8</v>
      </c>
      <c r="I328">
        <v>1.8</v>
      </c>
      <c r="J328">
        <v>3.7</v>
      </c>
      <c r="K328">
        <f>(I328*J328)</f>
        <v>6.66</v>
      </c>
      <c r="L328" t="s">
        <v>695</v>
      </c>
    </row>
    <row r="329" spans="1:14" x14ac:dyDescent="0.2">
      <c r="F329">
        <v>0</v>
      </c>
      <c r="G329">
        <v>1</v>
      </c>
      <c r="H329">
        <v>2.9</v>
      </c>
      <c r="I329">
        <v>1.8</v>
      </c>
      <c r="J329">
        <v>1.7</v>
      </c>
      <c r="K329">
        <f>(I329*J329)</f>
        <v>3.06</v>
      </c>
      <c r="L329" t="s">
        <v>696</v>
      </c>
      <c r="M329">
        <v>1</v>
      </c>
      <c r="N329">
        <v>1</v>
      </c>
    </row>
    <row r="331" spans="1:14" x14ac:dyDescent="0.2">
      <c r="F331">
        <v>1</v>
      </c>
      <c r="G331">
        <v>0</v>
      </c>
      <c r="H331">
        <v>3</v>
      </c>
      <c r="I331">
        <v>1.6</v>
      </c>
      <c r="J331">
        <v>30</v>
      </c>
      <c r="K331">
        <f>(I331*J331)</f>
        <v>48</v>
      </c>
      <c r="L331" t="s">
        <v>693</v>
      </c>
    </row>
    <row r="332" spans="1:14" x14ac:dyDescent="0.2">
      <c r="F332">
        <v>1</v>
      </c>
      <c r="G332">
        <v>0</v>
      </c>
      <c r="H332">
        <v>3.4</v>
      </c>
      <c r="I332">
        <v>1.8</v>
      </c>
      <c r="J332">
        <v>8.9</v>
      </c>
      <c r="K332">
        <f>(I332*J332)</f>
        <v>16.02</v>
      </c>
      <c r="L332" t="s">
        <v>603</v>
      </c>
    </row>
    <row r="333" spans="1:14" x14ac:dyDescent="0.2">
      <c r="F333">
        <v>1</v>
      </c>
      <c r="G333">
        <v>0</v>
      </c>
      <c r="H333">
        <v>4.0999999999999996</v>
      </c>
      <c r="I333">
        <v>2.2999999999999998</v>
      </c>
      <c r="J333">
        <v>5.2</v>
      </c>
      <c r="K333">
        <f>(I333*J333)</f>
        <v>11.959999999999999</v>
      </c>
      <c r="L333" t="s">
        <v>640</v>
      </c>
    </row>
    <row r="334" spans="1:14" x14ac:dyDescent="0.2">
      <c r="F334">
        <v>1</v>
      </c>
      <c r="G334">
        <v>0</v>
      </c>
      <c r="H334">
        <v>2.5</v>
      </c>
      <c r="I334">
        <v>1.3</v>
      </c>
      <c r="J334">
        <v>12.9</v>
      </c>
      <c r="K334">
        <f>(I334*J334)</f>
        <v>16.77</v>
      </c>
      <c r="L334" t="s">
        <v>694</v>
      </c>
    </row>
    <row r="336" spans="1:14" x14ac:dyDescent="0.2">
      <c r="F336">
        <v>0</v>
      </c>
      <c r="G336">
        <v>1</v>
      </c>
      <c r="H336">
        <v>0</v>
      </c>
      <c r="I336">
        <v>0</v>
      </c>
      <c r="J336">
        <v>4.5999999999999996</v>
      </c>
      <c r="K336">
        <f>(I336*J336)</f>
        <v>0</v>
      </c>
      <c r="L336" t="s">
        <v>629</v>
      </c>
    </row>
    <row r="337" spans="1:22" x14ac:dyDescent="0.2">
      <c r="F337">
        <v>0</v>
      </c>
      <c r="G337">
        <v>1</v>
      </c>
      <c r="H337">
        <v>0</v>
      </c>
      <c r="I337">
        <v>0</v>
      </c>
      <c r="J337">
        <v>3</v>
      </c>
      <c r="K337">
        <f>(I337*J337)</f>
        <v>0</v>
      </c>
      <c r="L337" t="s">
        <v>630</v>
      </c>
    </row>
    <row r="338" spans="1:22" x14ac:dyDescent="0.2">
      <c r="F338">
        <v>0</v>
      </c>
      <c r="G338">
        <v>1</v>
      </c>
      <c r="H338">
        <v>2.1</v>
      </c>
      <c r="I338">
        <v>1.6</v>
      </c>
      <c r="J338">
        <v>3.7</v>
      </c>
      <c r="K338">
        <f>(I338*J338)</f>
        <v>5.9200000000000008</v>
      </c>
      <c r="L338" t="s">
        <v>695</v>
      </c>
    </row>
    <row r="339" spans="1:22" x14ac:dyDescent="0.2">
      <c r="F339">
        <v>0</v>
      </c>
      <c r="G339">
        <v>1</v>
      </c>
      <c r="H339">
        <v>2.2000000000000002</v>
      </c>
      <c r="I339">
        <v>1.4</v>
      </c>
      <c r="J339">
        <v>1.7</v>
      </c>
      <c r="K339">
        <f>(I339*J339)</f>
        <v>2.38</v>
      </c>
      <c r="L339" t="s">
        <v>696</v>
      </c>
      <c r="M339">
        <v>1</v>
      </c>
      <c r="N339">
        <v>1</v>
      </c>
      <c r="T339">
        <v>1</v>
      </c>
      <c r="U339">
        <v>2.2999999999999998</v>
      </c>
      <c r="V339" s="1">
        <v>43903</v>
      </c>
    </row>
    <row r="341" spans="1:22" x14ac:dyDescent="0.2">
      <c r="A341">
        <v>17</v>
      </c>
      <c r="B341" t="s">
        <v>407</v>
      </c>
      <c r="C341" s="1">
        <v>22680</v>
      </c>
      <c r="D341" s="1">
        <v>43990</v>
      </c>
      <c r="E341" t="s">
        <v>35</v>
      </c>
      <c r="F341">
        <v>1</v>
      </c>
      <c r="G341">
        <v>0</v>
      </c>
      <c r="H341">
        <v>5.3</v>
      </c>
      <c r="I341">
        <v>3.1</v>
      </c>
      <c r="J341">
        <v>11.7</v>
      </c>
      <c r="K341">
        <f>(I341*J341)</f>
        <v>36.269999999999996</v>
      </c>
      <c r="L341" t="s">
        <v>845</v>
      </c>
    </row>
    <row r="343" spans="1:22" x14ac:dyDescent="0.2">
      <c r="F343">
        <v>0</v>
      </c>
      <c r="G343">
        <v>1</v>
      </c>
      <c r="H343">
        <v>2.8</v>
      </c>
      <c r="I343">
        <v>1.7</v>
      </c>
      <c r="J343">
        <v>5.4</v>
      </c>
      <c r="K343">
        <f>(I343*J343)</f>
        <v>9.18</v>
      </c>
      <c r="L343" t="s">
        <v>846</v>
      </c>
    </row>
    <row r="344" spans="1:22" x14ac:dyDescent="0.2">
      <c r="F344">
        <v>0</v>
      </c>
      <c r="G344">
        <v>1</v>
      </c>
      <c r="H344">
        <v>2.4</v>
      </c>
      <c r="I344">
        <v>1.3</v>
      </c>
      <c r="J344">
        <v>4.5</v>
      </c>
      <c r="K344">
        <f>(I344*J344)</f>
        <v>5.8500000000000005</v>
      </c>
      <c r="L344" t="s">
        <v>847</v>
      </c>
      <c r="M344">
        <v>1</v>
      </c>
      <c r="N344">
        <v>1</v>
      </c>
    </row>
    <row r="346" spans="1:22" x14ac:dyDescent="0.2">
      <c r="F346" s="4">
        <v>1</v>
      </c>
      <c r="G346" s="4">
        <v>0</v>
      </c>
      <c r="H346" s="4">
        <v>7.1</v>
      </c>
      <c r="I346" s="4">
        <v>4.2</v>
      </c>
      <c r="J346" s="4">
        <v>9.8000000000000007</v>
      </c>
      <c r="K346" s="4">
        <f>(I346*J346)</f>
        <v>41.160000000000004</v>
      </c>
      <c r="L346" s="4" t="s">
        <v>845</v>
      </c>
    </row>
    <row r="348" spans="1:22" x14ac:dyDescent="0.2">
      <c r="F348">
        <v>0</v>
      </c>
      <c r="G348">
        <v>1</v>
      </c>
      <c r="H348">
        <v>3.6</v>
      </c>
      <c r="I348">
        <v>2.4</v>
      </c>
      <c r="J348">
        <v>5.4</v>
      </c>
      <c r="K348">
        <f>(I348*J348)</f>
        <v>12.96</v>
      </c>
      <c r="L348" t="s">
        <v>846</v>
      </c>
    </row>
    <row r="349" spans="1:22" x14ac:dyDescent="0.2">
      <c r="F349">
        <v>0</v>
      </c>
      <c r="G349">
        <v>1</v>
      </c>
      <c r="H349">
        <v>2.2999999999999998</v>
      </c>
      <c r="I349">
        <v>1.4</v>
      </c>
      <c r="J349">
        <v>3.4</v>
      </c>
      <c r="K349">
        <f>(I349*J349)</f>
        <v>4.76</v>
      </c>
      <c r="L349" t="s">
        <v>847</v>
      </c>
      <c r="M349">
        <v>1</v>
      </c>
      <c r="N349">
        <v>1</v>
      </c>
      <c r="T349">
        <v>1</v>
      </c>
      <c r="U349">
        <v>1</v>
      </c>
      <c r="V349" s="1">
        <v>43976</v>
      </c>
    </row>
    <row r="351" spans="1:22" x14ac:dyDescent="0.2">
      <c r="A351">
        <v>18</v>
      </c>
      <c r="B351" t="s">
        <v>413</v>
      </c>
      <c r="C351" s="1">
        <v>35535</v>
      </c>
      <c r="D351" s="1">
        <v>44032</v>
      </c>
      <c r="E351" t="s">
        <v>387</v>
      </c>
      <c r="F351">
        <v>1</v>
      </c>
      <c r="G351">
        <v>0</v>
      </c>
      <c r="H351">
        <v>4.2</v>
      </c>
      <c r="I351">
        <v>2.1</v>
      </c>
      <c r="J351">
        <v>1.8</v>
      </c>
      <c r="K351">
        <f>(I351*J351)</f>
        <v>3.7800000000000002</v>
      </c>
      <c r="L351" t="s">
        <v>848</v>
      </c>
    </row>
    <row r="352" spans="1:22" x14ac:dyDescent="0.2">
      <c r="F352">
        <v>1</v>
      </c>
      <c r="G352">
        <v>0</v>
      </c>
      <c r="H352">
        <v>5.7</v>
      </c>
      <c r="I352">
        <v>3.3</v>
      </c>
      <c r="J352">
        <v>9.1</v>
      </c>
      <c r="K352">
        <f>(I352*J352)</f>
        <v>30.029999999999998</v>
      </c>
      <c r="L352" t="s">
        <v>435</v>
      </c>
      <c r="M352">
        <v>0</v>
      </c>
      <c r="N352">
        <v>1</v>
      </c>
    </row>
    <row r="354" spans="1:22" x14ac:dyDescent="0.2">
      <c r="F354">
        <v>1</v>
      </c>
      <c r="G354">
        <v>0</v>
      </c>
      <c r="H354">
        <v>0</v>
      </c>
      <c r="I354">
        <v>0</v>
      </c>
      <c r="J354">
        <v>0</v>
      </c>
      <c r="K354">
        <f>(I354*J354)</f>
        <v>0</v>
      </c>
      <c r="L354" t="s">
        <v>848</v>
      </c>
    </row>
    <row r="355" spans="1:22" x14ac:dyDescent="0.2">
      <c r="F355">
        <v>1</v>
      </c>
      <c r="G355">
        <v>0</v>
      </c>
      <c r="H355">
        <v>0</v>
      </c>
      <c r="I355">
        <v>0</v>
      </c>
      <c r="J355">
        <v>0</v>
      </c>
      <c r="K355">
        <f>(I355*J355)</f>
        <v>0</v>
      </c>
      <c r="L355" t="s">
        <v>435</v>
      </c>
      <c r="M355">
        <v>0</v>
      </c>
      <c r="N355">
        <v>0</v>
      </c>
      <c r="T355">
        <v>0</v>
      </c>
    </row>
    <row r="357" spans="1:22" x14ac:dyDescent="0.2">
      <c r="A357">
        <v>19</v>
      </c>
      <c r="B357" t="s">
        <v>888</v>
      </c>
      <c r="C357" s="1">
        <v>34047</v>
      </c>
      <c r="D357" s="1">
        <v>44053</v>
      </c>
      <c r="E357" t="s">
        <v>387</v>
      </c>
      <c r="F357">
        <v>1</v>
      </c>
      <c r="G357">
        <v>0</v>
      </c>
      <c r="H357">
        <v>4.3</v>
      </c>
      <c r="I357">
        <v>3.2</v>
      </c>
      <c r="J357">
        <v>2.2000000000000002</v>
      </c>
      <c r="K357">
        <f>(I357*J357)</f>
        <v>7.0400000000000009</v>
      </c>
      <c r="L357" t="s">
        <v>1001</v>
      </c>
    </row>
    <row r="358" spans="1:22" x14ac:dyDescent="0.2">
      <c r="F358">
        <v>1</v>
      </c>
      <c r="G358">
        <v>0</v>
      </c>
      <c r="H358">
        <v>4.2</v>
      </c>
      <c r="I358">
        <v>3.1</v>
      </c>
      <c r="J358">
        <v>2.1</v>
      </c>
      <c r="K358">
        <f>(I358*J358)</f>
        <v>6.5100000000000007</v>
      </c>
      <c r="L358" t="s">
        <v>1002</v>
      </c>
    </row>
    <row r="359" spans="1:22" x14ac:dyDescent="0.2">
      <c r="F359">
        <v>1</v>
      </c>
      <c r="G359">
        <v>0</v>
      </c>
      <c r="H359">
        <v>4.0999999999999996</v>
      </c>
      <c r="I359">
        <v>3</v>
      </c>
      <c r="J359">
        <v>2</v>
      </c>
      <c r="K359">
        <f>(I359*J359)</f>
        <v>6</v>
      </c>
      <c r="L359" t="s">
        <v>1003</v>
      </c>
    </row>
    <row r="360" spans="1:22" x14ac:dyDescent="0.2">
      <c r="F360">
        <v>1</v>
      </c>
      <c r="G360">
        <v>0</v>
      </c>
      <c r="H360">
        <v>4.4000000000000004</v>
      </c>
      <c r="I360">
        <v>2.2999999999999998</v>
      </c>
      <c r="J360">
        <v>10.8</v>
      </c>
      <c r="K360">
        <f>(I360*J360)</f>
        <v>24.84</v>
      </c>
      <c r="L360" t="s">
        <v>191</v>
      </c>
      <c r="M360">
        <v>0</v>
      </c>
      <c r="N360">
        <v>1</v>
      </c>
    </row>
    <row r="362" spans="1:22" x14ac:dyDescent="0.2">
      <c r="F362">
        <v>1</v>
      </c>
      <c r="G362">
        <v>0</v>
      </c>
      <c r="H362">
        <v>0</v>
      </c>
      <c r="I362">
        <v>0</v>
      </c>
      <c r="J362">
        <v>0</v>
      </c>
      <c r="K362">
        <f>(I362*J362)</f>
        <v>0</v>
      </c>
      <c r="L362" t="s">
        <v>1001</v>
      </c>
    </row>
    <row r="363" spans="1:22" x14ac:dyDescent="0.2">
      <c r="F363">
        <v>1</v>
      </c>
      <c r="G363">
        <v>0</v>
      </c>
      <c r="H363">
        <v>0</v>
      </c>
      <c r="I363">
        <v>0</v>
      </c>
      <c r="J363">
        <v>0</v>
      </c>
      <c r="K363">
        <f>(I363*J363)</f>
        <v>0</v>
      </c>
      <c r="L363" t="s">
        <v>1002</v>
      </c>
    </row>
    <row r="364" spans="1:22" x14ac:dyDescent="0.2">
      <c r="F364">
        <v>1</v>
      </c>
      <c r="G364">
        <v>0</v>
      </c>
      <c r="H364">
        <v>0</v>
      </c>
      <c r="I364">
        <v>0</v>
      </c>
      <c r="J364">
        <v>0</v>
      </c>
      <c r="K364">
        <f>(I364*J364)</f>
        <v>0</v>
      </c>
      <c r="L364" t="s">
        <v>1003</v>
      </c>
    </row>
    <row r="365" spans="1:22" x14ac:dyDescent="0.2">
      <c r="F365">
        <v>1</v>
      </c>
      <c r="G365">
        <v>0</v>
      </c>
      <c r="H365">
        <v>0</v>
      </c>
      <c r="I365">
        <v>0</v>
      </c>
      <c r="J365">
        <v>0</v>
      </c>
      <c r="K365">
        <f>(I365*J365)</f>
        <v>0</v>
      </c>
      <c r="L365" t="s">
        <v>191</v>
      </c>
      <c r="M365">
        <v>0</v>
      </c>
      <c r="N365">
        <v>0</v>
      </c>
      <c r="T365">
        <v>1</v>
      </c>
      <c r="U365">
        <v>3</v>
      </c>
      <c r="V365" s="1">
        <v>44097</v>
      </c>
    </row>
    <row r="367" spans="1:22" x14ac:dyDescent="0.2">
      <c r="A367">
        <v>20</v>
      </c>
      <c r="B367" t="s">
        <v>384</v>
      </c>
      <c r="C367" s="1">
        <v>21542</v>
      </c>
      <c r="D367" s="1">
        <v>43794</v>
      </c>
      <c r="E367" t="s">
        <v>35</v>
      </c>
      <c r="F367">
        <v>1</v>
      </c>
      <c r="G367">
        <v>0</v>
      </c>
      <c r="H367">
        <v>6.6</v>
      </c>
      <c r="I367">
        <v>4.0999999999999996</v>
      </c>
      <c r="J367">
        <v>3.4</v>
      </c>
      <c r="K367">
        <f>(I367*J367)</f>
        <v>13.939999999999998</v>
      </c>
      <c r="L367" t="s">
        <v>592</v>
      </c>
    </row>
    <row r="368" spans="1:22" x14ac:dyDescent="0.2">
      <c r="F368">
        <v>1</v>
      </c>
      <c r="G368">
        <v>0</v>
      </c>
      <c r="H368">
        <v>6.6</v>
      </c>
      <c r="I368">
        <v>4.0999999999999996</v>
      </c>
      <c r="J368">
        <v>4.8</v>
      </c>
      <c r="K368">
        <f>(I368*J368)</f>
        <v>19.679999999999996</v>
      </c>
      <c r="L368" t="s">
        <v>593</v>
      </c>
    </row>
    <row r="369" spans="6:22" x14ac:dyDescent="0.2">
      <c r="F369">
        <v>1</v>
      </c>
      <c r="G369">
        <v>0</v>
      </c>
      <c r="H369">
        <v>4.3</v>
      </c>
      <c r="I369">
        <v>3.5</v>
      </c>
      <c r="J369">
        <v>1.8</v>
      </c>
      <c r="K369">
        <f>(I369*J369)</f>
        <v>6.3</v>
      </c>
      <c r="L369" t="s">
        <v>584</v>
      </c>
    </row>
    <row r="371" spans="6:22" x14ac:dyDescent="0.2">
      <c r="F371">
        <v>0</v>
      </c>
      <c r="G371">
        <v>1</v>
      </c>
      <c r="H371">
        <v>2.6</v>
      </c>
      <c r="I371">
        <v>1.8</v>
      </c>
      <c r="J371">
        <v>1.1000000000000001</v>
      </c>
      <c r="K371">
        <f>(I371*J371)</f>
        <v>1.9800000000000002</v>
      </c>
      <c r="L371" t="s">
        <v>591</v>
      </c>
    </row>
    <row r="372" spans="6:22" x14ac:dyDescent="0.2">
      <c r="F372">
        <v>0</v>
      </c>
      <c r="G372">
        <v>1</v>
      </c>
      <c r="H372">
        <v>2.8</v>
      </c>
      <c r="I372">
        <v>2.1</v>
      </c>
      <c r="J372">
        <v>0.5</v>
      </c>
      <c r="K372">
        <f>(I372*J372)</f>
        <v>1.05</v>
      </c>
      <c r="L372" t="s">
        <v>570</v>
      </c>
    </row>
    <row r="373" spans="6:22" x14ac:dyDescent="0.2">
      <c r="F373">
        <v>0</v>
      </c>
      <c r="G373">
        <v>1</v>
      </c>
      <c r="H373">
        <v>2.4</v>
      </c>
      <c r="I373">
        <v>1.9</v>
      </c>
      <c r="J373">
        <v>0.8</v>
      </c>
      <c r="K373">
        <f>(I373*J373)</f>
        <v>1.52</v>
      </c>
      <c r="L373" t="s">
        <v>490</v>
      </c>
    </row>
    <row r="374" spans="6:22" x14ac:dyDescent="0.2">
      <c r="F374">
        <v>0</v>
      </c>
      <c r="G374">
        <v>1</v>
      </c>
      <c r="H374">
        <v>2.6</v>
      </c>
      <c r="I374">
        <v>1.9</v>
      </c>
      <c r="J374">
        <v>0.9</v>
      </c>
      <c r="K374">
        <f>(I374*J374)</f>
        <v>1.71</v>
      </c>
      <c r="L374" t="s">
        <v>491</v>
      </c>
      <c r="M374">
        <v>1</v>
      </c>
      <c r="N374">
        <v>1</v>
      </c>
      <c r="T374">
        <v>1</v>
      </c>
      <c r="U374" t="s">
        <v>1085</v>
      </c>
      <c r="V374" s="1">
        <v>43818</v>
      </c>
    </row>
    <row r="376" spans="6:22" x14ac:dyDescent="0.2">
      <c r="F376">
        <v>1</v>
      </c>
      <c r="G376">
        <v>0</v>
      </c>
      <c r="H376">
        <v>0</v>
      </c>
      <c r="I376">
        <v>0</v>
      </c>
      <c r="J376">
        <v>0</v>
      </c>
      <c r="K376">
        <f>(I376*J376)</f>
        <v>0</v>
      </c>
      <c r="L376" t="s">
        <v>592</v>
      </c>
    </row>
    <row r="377" spans="6:22" x14ac:dyDescent="0.2">
      <c r="F377">
        <v>1</v>
      </c>
      <c r="G377">
        <v>0</v>
      </c>
      <c r="H377">
        <v>0</v>
      </c>
      <c r="I377">
        <v>0</v>
      </c>
      <c r="J377">
        <v>0</v>
      </c>
      <c r="K377">
        <f>(I377*J377)</f>
        <v>0</v>
      </c>
      <c r="L377" t="s">
        <v>593</v>
      </c>
    </row>
    <row r="378" spans="6:22" x14ac:dyDescent="0.2">
      <c r="F378">
        <v>1</v>
      </c>
      <c r="G378">
        <v>0</v>
      </c>
      <c r="H378">
        <v>3.8</v>
      </c>
      <c r="I378">
        <v>2.2000000000000002</v>
      </c>
      <c r="J378">
        <v>1.7</v>
      </c>
      <c r="K378">
        <f>(I378*J378)</f>
        <v>3.74</v>
      </c>
      <c r="L378" t="s">
        <v>584</v>
      </c>
    </row>
    <row r="380" spans="6:22" x14ac:dyDescent="0.2">
      <c r="F380">
        <v>0</v>
      </c>
      <c r="G380">
        <v>1</v>
      </c>
      <c r="H380">
        <v>2.4</v>
      </c>
      <c r="I380">
        <v>1.6</v>
      </c>
      <c r="J380">
        <v>1</v>
      </c>
      <c r="K380">
        <f>(I380*J380)</f>
        <v>1.6</v>
      </c>
      <c r="L380" t="s">
        <v>591</v>
      </c>
    </row>
    <row r="381" spans="6:22" x14ac:dyDescent="0.2">
      <c r="F381">
        <v>0</v>
      </c>
      <c r="G381">
        <v>1</v>
      </c>
      <c r="H381">
        <v>2.6</v>
      </c>
      <c r="I381">
        <v>2</v>
      </c>
      <c r="J381">
        <v>0.4</v>
      </c>
      <c r="K381">
        <f>(I381*J381)</f>
        <v>0.8</v>
      </c>
      <c r="L381" t="s">
        <v>570</v>
      </c>
    </row>
    <row r="382" spans="6:22" x14ac:dyDescent="0.2">
      <c r="F382">
        <v>0</v>
      </c>
      <c r="G382">
        <v>1</v>
      </c>
      <c r="H382">
        <v>2.2000000000000002</v>
      </c>
      <c r="I382">
        <v>1.8</v>
      </c>
      <c r="J382">
        <v>0.8</v>
      </c>
      <c r="K382">
        <f>(I382*J382)</f>
        <v>1.4400000000000002</v>
      </c>
      <c r="L382" t="s">
        <v>490</v>
      </c>
    </row>
    <row r="383" spans="6:22" x14ac:dyDescent="0.2">
      <c r="F383">
        <v>0</v>
      </c>
      <c r="G383">
        <v>1</v>
      </c>
      <c r="H383">
        <v>2.4</v>
      </c>
      <c r="I383">
        <v>1.8</v>
      </c>
      <c r="J383">
        <v>0.9</v>
      </c>
      <c r="K383">
        <f>(I383*J383)</f>
        <v>1.62</v>
      </c>
      <c r="L383" t="s">
        <v>491</v>
      </c>
      <c r="M383">
        <v>1</v>
      </c>
      <c r="N383">
        <v>1</v>
      </c>
      <c r="T383">
        <v>1</v>
      </c>
      <c r="U383" t="s">
        <v>1085</v>
      </c>
      <c r="V383" s="1">
        <v>43818</v>
      </c>
    </row>
    <row r="385" spans="1:22" x14ac:dyDescent="0.2">
      <c r="A385">
        <v>21</v>
      </c>
      <c r="B385" t="s">
        <v>927</v>
      </c>
      <c r="C385" s="1">
        <v>32518</v>
      </c>
      <c r="D385" s="1">
        <v>43976</v>
      </c>
      <c r="E385" t="s">
        <v>387</v>
      </c>
      <c r="F385">
        <v>1</v>
      </c>
      <c r="G385">
        <v>0</v>
      </c>
      <c r="H385">
        <v>6.2</v>
      </c>
      <c r="I385">
        <v>3.4</v>
      </c>
      <c r="J385">
        <v>13.1</v>
      </c>
      <c r="K385">
        <f>(I385*J385)</f>
        <v>44.54</v>
      </c>
      <c r="L385" t="s">
        <v>690</v>
      </c>
    </row>
    <row r="386" spans="1:22" x14ac:dyDescent="0.2">
      <c r="F386">
        <v>1</v>
      </c>
      <c r="G386">
        <v>0</v>
      </c>
      <c r="H386">
        <v>4.3</v>
      </c>
      <c r="I386">
        <v>2.2000000000000002</v>
      </c>
      <c r="J386">
        <v>51.2</v>
      </c>
      <c r="K386">
        <f>(I386*J386)</f>
        <v>112.64000000000001</v>
      </c>
      <c r="L386" t="s">
        <v>691</v>
      </c>
    </row>
    <row r="387" spans="1:22" x14ac:dyDescent="0.2">
      <c r="F387">
        <v>1</v>
      </c>
      <c r="G387">
        <v>0</v>
      </c>
      <c r="H387">
        <v>4.9000000000000004</v>
      </c>
      <c r="I387">
        <v>2.7</v>
      </c>
      <c r="J387">
        <v>20.8</v>
      </c>
      <c r="K387">
        <f>(I387*J387)</f>
        <v>56.160000000000004</v>
      </c>
      <c r="L387" t="s">
        <v>165</v>
      </c>
      <c r="M387">
        <v>0</v>
      </c>
      <c r="N387">
        <v>1</v>
      </c>
    </row>
    <row r="389" spans="1:22" x14ac:dyDescent="0.2">
      <c r="F389">
        <v>1</v>
      </c>
      <c r="G389">
        <v>0</v>
      </c>
      <c r="H389">
        <v>0</v>
      </c>
      <c r="I389">
        <v>0</v>
      </c>
      <c r="J389">
        <v>0</v>
      </c>
      <c r="K389">
        <f>(I389*J389)</f>
        <v>0</v>
      </c>
      <c r="L389" t="s">
        <v>690</v>
      </c>
    </row>
    <row r="390" spans="1:22" x14ac:dyDescent="0.2">
      <c r="F390">
        <v>1</v>
      </c>
      <c r="G390">
        <v>0</v>
      </c>
      <c r="H390">
        <v>0</v>
      </c>
      <c r="I390">
        <v>0</v>
      </c>
      <c r="J390">
        <v>0</v>
      </c>
      <c r="K390">
        <f>(I390*J390)</f>
        <v>0</v>
      </c>
      <c r="L390" t="s">
        <v>691</v>
      </c>
    </row>
    <row r="391" spans="1:22" x14ac:dyDescent="0.2">
      <c r="F391">
        <v>1</v>
      </c>
      <c r="G391">
        <v>0</v>
      </c>
      <c r="H391">
        <v>0</v>
      </c>
      <c r="I391">
        <v>0</v>
      </c>
      <c r="J391">
        <v>0</v>
      </c>
      <c r="K391">
        <f>(I391*J391)</f>
        <v>0</v>
      </c>
      <c r="L391" t="s">
        <v>165</v>
      </c>
      <c r="M391">
        <v>0</v>
      </c>
      <c r="N391">
        <v>0</v>
      </c>
      <c r="T391">
        <v>1</v>
      </c>
      <c r="U391">
        <v>3</v>
      </c>
      <c r="V391" s="1">
        <v>43791</v>
      </c>
    </row>
    <row r="393" spans="1:22" x14ac:dyDescent="0.2">
      <c r="A393">
        <v>22</v>
      </c>
      <c r="B393" t="s">
        <v>798</v>
      </c>
      <c r="C393" s="1">
        <v>24469</v>
      </c>
      <c r="D393" s="1">
        <v>44123</v>
      </c>
      <c r="E393" t="s">
        <v>387</v>
      </c>
      <c r="F393">
        <v>1</v>
      </c>
      <c r="G393">
        <v>0</v>
      </c>
      <c r="H393">
        <v>4.5</v>
      </c>
      <c r="I393">
        <v>3.2</v>
      </c>
      <c r="J393">
        <v>2.2000000000000002</v>
      </c>
      <c r="K393">
        <f t="shared" ref="K393:K399" si="15">(I393*J393)</f>
        <v>7.0400000000000009</v>
      </c>
      <c r="L393" t="s">
        <v>811</v>
      </c>
    </row>
    <row r="394" spans="1:22" x14ac:dyDescent="0.2">
      <c r="F394">
        <v>1</v>
      </c>
      <c r="G394">
        <v>0</v>
      </c>
      <c r="H394">
        <v>5.2</v>
      </c>
      <c r="I394">
        <v>3</v>
      </c>
      <c r="J394">
        <v>3.9</v>
      </c>
      <c r="K394">
        <f t="shared" si="15"/>
        <v>11.7</v>
      </c>
      <c r="L394" t="s">
        <v>812</v>
      </c>
    </row>
    <row r="395" spans="1:22" x14ac:dyDescent="0.2">
      <c r="F395">
        <v>1</v>
      </c>
      <c r="G395">
        <v>0</v>
      </c>
      <c r="H395">
        <v>4.3</v>
      </c>
      <c r="I395">
        <v>3.8</v>
      </c>
      <c r="J395">
        <v>3.3</v>
      </c>
      <c r="K395">
        <f t="shared" si="15"/>
        <v>12.54</v>
      </c>
      <c r="L395" t="s">
        <v>813</v>
      </c>
    </row>
    <row r="396" spans="1:22" x14ac:dyDescent="0.2">
      <c r="F396">
        <v>1</v>
      </c>
      <c r="G396">
        <v>0</v>
      </c>
      <c r="H396">
        <v>4.0999999999999996</v>
      </c>
      <c r="I396">
        <v>2.5</v>
      </c>
      <c r="J396">
        <v>3.9</v>
      </c>
      <c r="K396">
        <f t="shared" si="15"/>
        <v>9.75</v>
      </c>
      <c r="L396" t="s">
        <v>1079</v>
      </c>
      <c r="M396">
        <v>0</v>
      </c>
      <c r="N396">
        <v>1</v>
      </c>
      <c r="T396">
        <v>1</v>
      </c>
      <c r="U396">
        <v>3</v>
      </c>
      <c r="V396" s="1">
        <v>44006</v>
      </c>
    </row>
    <row r="398" spans="1:22" x14ac:dyDescent="0.2">
      <c r="F398">
        <v>1</v>
      </c>
      <c r="G398">
        <v>0</v>
      </c>
      <c r="H398">
        <v>2.1</v>
      </c>
      <c r="I398">
        <v>1.4</v>
      </c>
      <c r="J398">
        <v>5.5</v>
      </c>
      <c r="K398">
        <f t="shared" si="15"/>
        <v>7.6999999999999993</v>
      </c>
      <c r="L398" t="s">
        <v>811</v>
      </c>
    </row>
    <row r="399" spans="1:22" x14ac:dyDescent="0.2">
      <c r="F399">
        <v>1</v>
      </c>
      <c r="G399">
        <v>0</v>
      </c>
      <c r="H399">
        <v>5</v>
      </c>
      <c r="I399">
        <v>3.2</v>
      </c>
      <c r="J399">
        <v>1.7</v>
      </c>
      <c r="K399">
        <f t="shared" si="15"/>
        <v>5.44</v>
      </c>
      <c r="L399" t="s">
        <v>812</v>
      </c>
    </row>
    <row r="400" spans="1:22" x14ac:dyDescent="0.2">
      <c r="F400">
        <v>1</v>
      </c>
      <c r="G400">
        <v>0</v>
      </c>
      <c r="H400">
        <v>5.7</v>
      </c>
      <c r="I400">
        <v>3.5</v>
      </c>
      <c r="J400">
        <v>3.2</v>
      </c>
      <c r="K400">
        <f>(I400*J400)</f>
        <v>11.200000000000001</v>
      </c>
      <c r="L400" t="s">
        <v>813</v>
      </c>
    </row>
    <row r="401" spans="1:22" x14ac:dyDescent="0.2">
      <c r="F401">
        <v>1</v>
      </c>
      <c r="G401">
        <v>0</v>
      </c>
      <c r="H401">
        <v>3.1</v>
      </c>
      <c r="I401">
        <v>1.8</v>
      </c>
      <c r="J401">
        <v>3.8</v>
      </c>
      <c r="K401">
        <f>(I401*J401)</f>
        <v>6.84</v>
      </c>
      <c r="L401" t="s">
        <v>1079</v>
      </c>
      <c r="M401">
        <v>0</v>
      </c>
      <c r="N401">
        <v>1</v>
      </c>
    </row>
    <row r="403" spans="1:22" x14ac:dyDescent="0.2">
      <c r="A403">
        <v>23</v>
      </c>
      <c r="B403" t="s">
        <v>74</v>
      </c>
      <c r="C403" s="1">
        <v>20147</v>
      </c>
      <c r="D403" s="1">
        <v>43619</v>
      </c>
      <c r="E403" t="s">
        <v>35</v>
      </c>
      <c r="F403">
        <v>1</v>
      </c>
      <c r="G403">
        <v>0</v>
      </c>
      <c r="H403">
        <v>5.7</v>
      </c>
      <c r="I403">
        <v>3.6</v>
      </c>
      <c r="J403">
        <v>4.2</v>
      </c>
      <c r="K403">
        <f>(I403*J403)</f>
        <v>15.120000000000001</v>
      </c>
      <c r="L403" t="s">
        <v>566</v>
      </c>
    </row>
    <row r="404" spans="1:22" x14ac:dyDescent="0.2">
      <c r="F404">
        <v>1</v>
      </c>
      <c r="G404">
        <v>0</v>
      </c>
      <c r="H404">
        <v>5.3</v>
      </c>
      <c r="I404">
        <v>3.4</v>
      </c>
      <c r="J404">
        <v>2.2999999999999998</v>
      </c>
      <c r="K404">
        <f>(I404*J404)</f>
        <v>7.8199999999999994</v>
      </c>
      <c r="L404" t="s">
        <v>530</v>
      </c>
    </row>
    <row r="405" spans="1:22" x14ac:dyDescent="0.2">
      <c r="F405">
        <v>1</v>
      </c>
      <c r="G405">
        <v>0</v>
      </c>
      <c r="H405">
        <v>5.5</v>
      </c>
      <c r="I405">
        <v>3.6</v>
      </c>
      <c r="J405">
        <v>1.2</v>
      </c>
      <c r="K405">
        <f>(I405*J405)</f>
        <v>4.32</v>
      </c>
      <c r="L405" t="s">
        <v>558</v>
      </c>
    </row>
    <row r="406" spans="1:22" x14ac:dyDescent="0.2">
      <c r="F406">
        <v>1</v>
      </c>
      <c r="G406">
        <v>0</v>
      </c>
      <c r="H406">
        <v>5</v>
      </c>
      <c r="I406">
        <v>3</v>
      </c>
      <c r="J406">
        <v>1.8</v>
      </c>
      <c r="K406">
        <f>(I406*J406)</f>
        <v>5.4</v>
      </c>
      <c r="L406" t="s">
        <v>546</v>
      </c>
    </row>
    <row r="408" spans="1:22" x14ac:dyDescent="0.2">
      <c r="F408">
        <v>0</v>
      </c>
      <c r="G408">
        <v>1</v>
      </c>
      <c r="H408">
        <v>2.9</v>
      </c>
      <c r="I408">
        <v>1.8</v>
      </c>
      <c r="J408">
        <v>1.6</v>
      </c>
      <c r="K408">
        <f>(I408*J408)</f>
        <v>2.8800000000000003</v>
      </c>
      <c r="L408" t="s">
        <v>502</v>
      </c>
    </row>
    <row r="409" spans="1:22" x14ac:dyDescent="0.2">
      <c r="F409">
        <v>0</v>
      </c>
      <c r="G409">
        <v>1</v>
      </c>
      <c r="H409">
        <v>2.6</v>
      </c>
      <c r="I409">
        <v>1.7</v>
      </c>
      <c r="J409">
        <v>1.2</v>
      </c>
      <c r="K409">
        <f>(I409*J409)</f>
        <v>2.04</v>
      </c>
      <c r="L409" t="s">
        <v>563</v>
      </c>
    </row>
    <row r="410" spans="1:22" x14ac:dyDescent="0.2">
      <c r="F410">
        <v>0</v>
      </c>
      <c r="G410">
        <v>1</v>
      </c>
      <c r="H410">
        <v>3.1</v>
      </c>
      <c r="I410">
        <v>2.2000000000000002</v>
      </c>
      <c r="J410">
        <v>1.8</v>
      </c>
      <c r="K410">
        <f>(I410*J410)</f>
        <v>3.9600000000000004</v>
      </c>
      <c r="L410" t="s">
        <v>564</v>
      </c>
    </row>
    <row r="411" spans="1:22" x14ac:dyDescent="0.2">
      <c r="F411">
        <v>0</v>
      </c>
      <c r="G411">
        <v>1</v>
      </c>
      <c r="H411">
        <v>3</v>
      </c>
      <c r="I411">
        <v>2.1</v>
      </c>
      <c r="J411">
        <v>1.3</v>
      </c>
      <c r="K411">
        <f>(I411*J411)</f>
        <v>2.7300000000000004</v>
      </c>
      <c r="L411" t="s">
        <v>474</v>
      </c>
    </row>
    <row r="412" spans="1:22" x14ac:dyDescent="0.2">
      <c r="F412">
        <v>0</v>
      </c>
      <c r="G412">
        <v>1</v>
      </c>
      <c r="H412">
        <v>2.9</v>
      </c>
      <c r="I412">
        <v>2.1</v>
      </c>
      <c r="J412">
        <v>0.8</v>
      </c>
      <c r="K412">
        <f>(I412*J412)</f>
        <v>1.6800000000000002</v>
      </c>
      <c r="L412" t="s">
        <v>565</v>
      </c>
      <c r="M412">
        <v>1</v>
      </c>
      <c r="N412">
        <v>1</v>
      </c>
      <c r="T412">
        <v>1</v>
      </c>
      <c r="U412">
        <v>1</v>
      </c>
      <c r="V412" s="1">
        <v>44063</v>
      </c>
    </row>
    <row r="413" spans="1:22" x14ac:dyDescent="0.2">
      <c r="V413" s="1"/>
    </row>
    <row r="414" spans="1:22" x14ac:dyDescent="0.2">
      <c r="F414">
        <v>1</v>
      </c>
      <c r="G414">
        <v>0</v>
      </c>
      <c r="H414">
        <v>2.2000000000000002</v>
      </c>
      <c r="I414">
        <v>1.4</v>
      </c>
      <c r="J414">
        <v>4.2</v>
      </c>
      <c r="K414">
        <f>(I414*J414)</f>
        <v>5.88</v>
      </c>
      <c r="L414" t="s">
        <v>566</v>
      </c>
      <c r="V414" s="1"/>
    </row>
    <row r="415" spans="1:22" x14ac:dyDescent="0.2">
      <c r="F415">
        <v>1</v>
      </c>
      <c r="G415">
        <v>0</v>
      </c>
      <c r="H415">
        <v>2.1</v>
      </c>
      <c r="I415">
        <v>1.2</v>
      </c>
      <c r="J415">
        <v>1.6</v>
      </c>
      <c r="K415">
        <f>(I415*J415)</f>
        <v>1.92</v>
      </c>
      <c r="L415" t="s">
        <v>530</v>
      </c>
      <c r="V415" s="1"/>
    </row>
    <row r="416" spans="1:22" x14ac:dyDescent="0.2">
      <c r="F416">
        <v>1</v>
      </c>
      <c r="G416">
        <v>0</v>
      </c>
      <c r="H416">
        <v>2</v>
      </c>
      <c r="I416">
        <v>1.4</v>
      </c>
      <c r="J416">
        <v>1</v>
      </c>
      <c r="K416">
        <f>(I416*J416)</f>
        <v>1.4</v>
      </c>
      <c r="L416" t="s">
        <v>558</v>
      </c>
      <c r="V416" s="1"/>
    </row>
    <row r="417" spans="1:22" x14ac:dyDescent="0.2">
      <c r="F417">
        <v>1</v>
      </c>
      <c r="G417">
        <v>0</v>
      </c>
      <c r="H417">
        <v>2</v>
      </c>
      <c r="I417">
        <v>1.1000000000000001</v>
      </c>
      <c r="J417">
        <v>1</v>
      </c>
      <c r="K417">
        <f>(I417*J417)</f>
        <v>1.1000000000000001</v>
      </c>
      <c r="L417" t="s">
        <v>546</v>
      </c>
      <c r="V417" s="1"/>
    </row>
    <row r="418" spans="1:22" x14ac:dyDescent="0.2">
      <c r="V418" s="1"/>
    </row>
    <row r="419" spans="1:22" x14ac:dyDescent="0.2">
      <c r="F419">
        <v>0</v>
      </c>
      <c r="G419">
        <v>1</v>
      </c>
      <c r="H419">
        <v>2.8</v>
      </c>
      <c r="I419">
        <v>1.7</v>
      </c>
      <c r="J419">
        <v>1.6</v>
      </c>
      <c r="K419">
        <f>(I419*J419)</f>
        <v>2.72</v>
      </c>
      <c r="L419" t="s">
        <v>502</v>
      </c>
      <c r="V419" s="1"/>
    </row>
    <row r="420" spans="1:22" x14ac:dyDescent="0.2">
      <c r="F420">
        <v>0</v>
      </c>
      <c r="G420">
        <v>1</v>
      </c>
      <c r="H420">
        <v>2.5</v>
      </c>
      <c r="I420">
        <v>1.6</v>
      </c>
      <c r="J420">
        <v>1.2</v>
      </c>
      <c r="K420">
        <f>(I420*J420)</f>
        <v>1.92</v>
      </c>
      <c r="L420" t="s">
        <v>563</v>
      </c>
      <c r="V420" s="1"/>
    </row>
    <row r="421" spans="1:22" x14ac:dyDescent="0.2">
      <c r="F421">
        <v>0</v>
      </c>
      <c r="G421">
        <v>1</v>
      </c>
      <c r="H421">
        <v>3</v>
      </c>
      <c r="I421">
        <v>2.1</v>
      </c>
      <c r="J421">
        <v>1.8</v>
      </c>
      <c r="K421">
        <f>(I421*J421)</f>
        <v>3.7800000000000002</v>
      </c>
      <c r="L421" t="s">
        <v>564</v>
      </c>
      <c r="V421" s="1"/>
    </row>
    <row r="422" spans="1:22" x14ac:dyDescent="0.2">
      <c r="F422">
        <v>0</v>
      </c>
      <c r="G422">
        <v>1</v>
      </c>
      <c r="H422">
        <v>2.9</v>
      </c>
      <c r="I422">
        <v>2</v>
      </c>
      <c r="J422">
        <v>1.3</v>
      </c>
      <c r="K422">
        <f>(I422*J422)</f>
        <v>2.6</v>
      </c>
      <c r="L422" t="s">
        <v>474</v>
      </c>
      <c r="V422" s="1"/>
    </row>
    <row r="423" spans="1:22" x14ac:dyDescent="0.2">
      <c r="F423">
        <v>0</v>
      </c>
      <c r="G423">
        <v>1</v>
      </c>
      <c r="H423">
        <v>2.8</v>
      </c>
      <c r="I423">
        <v>2</v>
      </c>
      <c r="J423">
        <v>0.8</v>
      </c>
      <c r="K423">
        <f>(I423*J423)</f>
        <v>1.6</v>
      </c>
      <c r="L423" t="s">
        <v>565</v>
      </c>
      <c r="M423">
        <v>1</v>
      </c>
      <c r="N423">
        <v>1</v>
      </c>
      <c r="V423" s="1"/>
    </row>
    <row r="425" spans="1:22" x14ac:dyDescent="0.2">
      <c r="A425">
        <v>24</v>
      </c>
      <c r="B425" t="s">
        <v>614</v>
      </c>
      <c r="C425" s="1">
        <v>32194</v>
      </c>
      <c r="D425" s="1">
        <v>44092</v>
      </c>
      <c r="E425" t="s">
        <v>387</v>
      </c>
      <c r="F425">
        <v>1</v>
      </c>
      <c r="G425">
        <v>0</v>
      </c>
      <c r="H425">
        <v>4.0999999999999996</v>
      </c>
      <c r="I425">
        <v>2.5</v>
      </c>
      <c r="J425">
        <v>5.0999999999999996</v>
      </c>
      <c r="K425">
        <f t="shared" ref="K425:K434" si="16">(I425*J425)</f>
        <v>12.75</v>
      </c>
      <c r="L425" t="s">
        <v>113</v>
      </c>
    </row>
    <row r="426" spans="1:22" x14ac:dyDescent="0.2">
      <c r="F426">
        <v>1</v>
      </c>
      <c r="G426">
        <v>0</v>
      </c>
      <c r="H426">
        <v>3.4</v>
      </c>
      <c r="I426">
        <v>2.1</v>
      </c>
      <c r="J426">
        <v>11.7</v>
      </c>
      <c r="K426">
        <f t="shared" si="16"/>
        <v>24.57</v>
      </c>
      <c r="L426" t="s">
        <v>619</v>
      </c>
    </row>
    <row r="427" spans="1:22" x14ac:dyDescent="0.2">
      <c r="F427">
        <v>1</v>
      </c>
      <c r="G427">
        <v>0</v>
      </c>
      <c r="H427">
        <v>3</v>
      </c>
      <c r="I427">
        <v>1.9</v>
      </c>
      <c r="J427">
        <v>5.3</v>
      </c>
      <c r="K427">
        <f t="shared" si="16"/>
        <v>10.069999999999999</v>
      </c>
      <c r="L427" t="s">
        <v>616</v>
      </c>
    </row>
    <row r="428" spans="1:22" x14ac:dyDescent="0.2">
      <c r="F428">
        <v>1</v>
      </c>
      <c r="G428">
        <v>0</v>
      </c>
      <c r="H428">
        <v>4.9000000000000004</v>
      </c>
      <c r="I428">
        <v>2.6</v>
      </c>
      <c r="J428">
        <v>5.3</v>
      </c>
      <c r="K428">
        <f t="shared" si="16"/>
        <v>13.78</v>
      </c>
      <c r="L428" t="s">
        <v>617</v>
      </c>
    </row>
    <row r="429" spans="1:22" x14ac:dyDescent="0.2">
      <c r="F429">
        <v>1</v>
      </c>
      <c r="G429">
        <v>0</v>
      </c>
      <c r="H429">
        <v>3.6</v>
      </c>
      <c r="I429">
        <v>2</v>
      </c>
      <c r="J429">
        <v>8.6</v>
      </c>
      <c r="K429">
        <f t="shared" si="16"/>
        <v>17.2</v>
      </c>
      <c r="L429" t="s">
        <v>618</v>
      </c>
    </row>
    <row r="430" spans="1:22" x14ac:dyDescent="0.2">
      <c r="F430">
        <v>1</v>
      </c>
      <c r="G430">
        <v>0</v>
      </c>
      <c r="H430">
        <v>3.4</v>
      </c>
      <c r="I430">
        <v>1.9</v>
      </c>
      <c r="J430">
        <v>6.3</v>
      </c>
      <c r="K430">
        <f t="shared" si="16"/>
        <v>11.969999999999999</v>
      </c>
      <c r="L430" t="s">
        <v>620</v>
      </c>
    </row>
    <row r="431" spans="1:22" x14ac:dyDescent="0.2">
      <c r="F431">
        <v>1</v>
      </c>
      <c r="G431">
        <v>0</v>
      </c>
      <c r="H431">
        <v>2.7</v>
      </c>
      <c r="I431">
        <v>1.8</v>
      </c>
      <c r="J431">
        <v>7</v>
      </c>
      <c r="K431">
        <f t="shared" si="16"/>
        <v>12.6</v>
      </c>
      <c r="L431" t="s">
        <v>621</v>
      </c>
    </row>
    <row r="432" spans="1:22" x14ac:dyDescent="0.2">
      <c r="F432">
        <v>1</v>
      </c>
      <c r="G432">
        <v>0</v>
      </c>
      <c r="H432">
        <v>3.8</v>
      </c>
      <c r="I432">
        <v>2.1</v>
      </c>
      <c r="J432">
        <v>8</v>
      </c>
      <c r="K432">
        <f t="shared" si="16"/>
        <v>16.8</v>
      </c>
      <c r="L432" t="s">
        <v>622</v>
      </c>
    </row>
    <row r="433" spans="1:22" x14ac:dyDescent="0.2">
      <c r="F433">
        <v>1</v>
      </c>
      <c r="G433">
        <v>0</v>
      </c>
      <c r="H433">
        <v>3.6</v>
      </c>
      <c r="I433">
        <v>2.4</v>
      </c>
      <c r="J433">
        <v>7.3</v>
      </c>
      <c r="K433">
        <f t="shared" si="16"/>
        <v>17.52</v>
      </c>
      <c r="L433" t="s">
        <v>538</v>
      </c>
    </row>
    <row r="434" spans="1:22" x14ac:dyDescent="0.2">
      <c r="F434">
        <v>1</v>
      </c>
      <c r="G434">
        <v>0</v>
      </c>
      <c r="H434">
        <v>4</v>
      </c>
      <c r="I434">
        <v>2.4</v>
      </c>
      <c r="J434">
        <v>8.4</v>
      </c>
      <c r="K434">
        <f t="shared" si="16"/>
        <v>20.16</v>
      </c>
      <c r="L434" t="s">
        <v>623</v>
      </c>
      <c r="M434">
        <v>0</v>
      </c>
      <c r="N434">
        <v>1</v>
      </c>
      <c r="R434" s="1"/>
      <c r="T434">
        <v>1</v>
      </c>
      <c r="U434">
        <v>1.3</v>
      </c>
      <c r="V434" s="1">
        <v>44004</v>
      </c>
    </row>
    <row r="436" spans="1:22" x14ac:dyDescent="0.2">
      <c r="F436">
        <v>1</v>
      </c>
      <c r="G436">
        <v>0</v>
      </c>
      <c r="H436">
        <v>3.2</v>
      </c>
      <c r="I436">
        <v>1.7</v>
      </c>
      <c r="J436">
        <v>3.1</v>
      </c>
      <c r="L436" t="s">
        <v>113</v>
      </c>
    </row>
    <row r="437" spans="1:22" x14ac:dyDescent="0.2">
      <c r="F437">
        <v>1</v>
      </c>
      <c r="G437">
        <v>0</v>
      </c>
      <c r="H437">
        <v>2.2999999999999998</v>
      </c>
      <c r="I437">
        <v>1.4</v>
      </c>
      <c r="J437">
        <v>3.4</v>
      </c>
      <c r="L437" t="s">
        <v>619</v>
      </c>
    </row>
    <row r="438" spans="1:22" x14ac:dyDescent="0.2">
      <c r="F438">
        <v>1</v>
      </c>
      <c r="G438">
        <v>0</v>
      </c>
      <c r="H438">
        <v>2.6</v>
      </c>
      <c r="I438">
        <v>1.6</v>
      </c>
      <c r="J438">
        <v>2.6</v>
      </c>
      <c r="L438" t="s">
        <v>616</v>
      </c>
    </row>
    <row r="439" spans="1:22" x14ac:dyDescent="0.2">
      <c r="F439">
        <v>1</v>
      </c>
      <c r="G439">
        <v>0</v>
      </c>
      <c r="H439">
        <v>0</v>
      </c>
      <c r="I439">
        <v>0</v>
      </c>
      <c r="J439">
        <v>0</v>
      </c>
      <c r="L439" t="s">
        <v>617</v>
      </c>
    </row>
    <row r="440" spans="1:22" x14ac:dyDescent="0.2">
      <c r="F440">
        <v>1</v>
      </c>
      <c r="G440">
        <v>0</v>
      </c>
      <c r="H440">
        <v>2.5</v>
      </c>
      <c r="I440">
        <v>1.5</v>
      </c>
      <c r="J440">
        <v>2.6</v>
      </c>
      <c r="L440" t="s">
        <v>618</v>
      </c>
    </row>
    <row r="441" spans="1:22" x14ac:dyDescent="0.2">
      <c r="F441">
        <v>1</v>
      </c>
      <c r="G441">
        <v>0</v>
      </c>
      <c r="H441">
        <v>0</v>
      </c>
      <c r="I441">
        <v>0</v>
      </c>
      <c r="J441">
        <v>0</v>
      </c>
      <c r="L441" t="s">
        <v>620</v>
      </c>
    </row>
    <row r="442" spans="1:22" x14ac:dyDescent="0.2">
      <c r="F442">
        <v>1</v>
      </c>
      <c r="G442">
        <v>0</v>
      </c>
      <c r="H442">
        <v>0</v>
      </c>
      <c r="I442">
        <v>0</v>
      </c>
      <c r="J442">
        <v>0</v>
      </c>
      <c r="L442" t="s">
        <v>621</v>
      </c>
    </row>
    <row r="443" spans="1:22" x14ac:dyDescent="0.2">
      <c r="F443">
        <v>1</v>
      </c>
      <c r="G443">
        <v>0</v>
      </c>
      <c r="H443">
        <v>2.4</v>
      </c>
      <c r="I443">
        <v>1.4</v>
      </c>
      <c r="J443">
        <v>3.2</v>
      </c>
      <c r="L443" t="s">
        <v>622</v>
      </c>
    </row>
    <row r="444" spans="1:22" x14ac:dyDescent="0.2">
      <c r="F444">
        <v>1</v>
      </c>
      <c r="G444">
        <v>0</v>
      </c>
      <c r="H444">
        <v>2.2000000000000002</v>
      </c>
      <c r="I444">
        <v>1.7</v>
      </c>
      <c r="J444">
        <v>2.4</v>
      </c>
      <c r="L444" t="s">
        <v>538</v>
      </c>
    </row>
    <row r="445" spans="1:22" x14ac:dyDescent="0.2">
      <c r="F445">
        <v>1</v>
      </c>
      <c r="G445">
        <v>0</v>
      </c>
      <c r="H445">
        <v>2.4</v>
      </c>
      <c r="I445">
        <v>1.3</v>
      </c>
      <c r="J445">
        <v>2.6</v>
      </c>
      <c r="L445" t="s">
        <v>623</v>
      </c>
      <c r="M445">
        <v>0</v>
      </c>
      <c r="N445">
        <v>1</v>
      </c>
    </row>
    <row r="447" spans="1:22" x14ac:dyDescent="0.2">
      <c r="A447">
        <v>25</v>
      </c>
      <c r="B447" t="s">
        <v>699</v>
      </c>
      <c r="C447" s="1">
        <v>17344</v>
      </c>
      <c r="D447" s="1">
        <v>43962</v>
      </c>
      <c r="E447" t="s">
        <v>35</v>
      </c>
      <c r="F447">
        <v>1</v>
      </c>
      <c r="G447">
        <v>0</v>
      </c>
      <c r="H447">
        <v>4.0999999999999996</v>
      </c>
      <c r="I447">
        <v>2.2000000000000002</v>
      </c>
      <c r="J447">
        <v>9.6</v>
      </c>
      <c r="K447">
        <f t="shared" ref="K447:K460" si="17">(I447*J447)</f>
        <v>21.12</v>
      </c>
      <c r="L447" t="s">
        <v>626</v>
      </c>
    </row>
    <row r="448" spans="1:22" x14ac:dyDescent="0.2">
      <c r="F448">
        <v>1</v>
      </c>
      <c r="G448">
        <v>0</v>
      </c>
      <c r="H448">
        <v>3.8</v>
      </c>
      <c r="I448">
        <v>2.2999999999999998</v>
      </c>
      <c r="J448">
        <v>7</v>
      </c>
      <c r="K448">
        <f t="shared" si="17"/>
        <v>16.099999999999998</v>
      </c>
      <c r="L448" t="s">
        <v>165</v>
      </c>
    </row>
    <row r="449" spans="6:18" x14ac:dyDescent="0.2">
      <c r="F449">
        <v>1</v>
      </c>
      <c r="G449">
        <v>0</v>
      </c>
      <c r="H449">
        <v>5.5</v>
      </c>
      <c r="I449">
        <v>3.1</v>
      </c>
      <c r="J449">
        <v>7.6</v>
      </c>
      <c r="K449">
        <f t="shared" si="17"/>
        <v>23.56</v>
      </c>
      <c r="L449" t="s">
        <v>700</v>
      </c>
    </row>
    <row r="450" spans="6:18" x14ac:dyDescent="0.2">
      <c r="F450">
        <v>1</v>
      </c>
      <c r="G450">
        <v>0</v>
      </c>
      <c r="H450">
        <v>3.5</v>
      </c>
      <c r="I450">
        <v>1.9</v>
      </c>
      <c r="J450">
        <v>5.8</v>
      </c>
      <c r="K450">
        <f t="shared" si="17"/>
        <v>11.02</v>
      </c>
      <c r="L450" t="s">
        <v>701</v>
      </c>
    </row>
    <row r="451" spans="6:18" x14ac:dyDescent="0.2">
      <c r="F451">
        <v>1</v>
      </c>
      <c r="G451">
        <v>0</v>
      </c>
      <c r="H451">
        <v>3.4</v>
      </c>
      <c r="I451">
        <v>1.9</v>
      </c>
      <c r="J451">
        <v>7.2</v>
      </c>
      <c r="K451">
        <f t="shared" si="17"/>
        <v>13.68</v>
      </c>
      <c r="L451" t="s">
        <v>702</v>
      </c>
    </row>
    <row r="452" spans="6:18" x14ac:dyDescent="0.2">
      <c r="F452">
        <v>1</v>
      </c>
      <c r="G452">
        <v>0</v>
      </c>
      <c r="H452">
        <v>4.7</v>
      </c>
      <c r="I452">
        <v>2.6</v>
      </c>
      <c r="J452">
        <v>15.6</v>
      </c>
      <c r="K452">
        <f t="shared" si="17"/>
        <v>40.56</v>
      </c>
      <c r="L452" t="s">
        <v>703</v>
      </c>
    </row>
    <row r="453" spans="6:18" x14ac:dyDescent="0.2">
      <c r="F453">
        <v>1</v>
      </c>
      <c r="G453">
        <v>0</v>
      </c>
      <c r="H453">
        <v>7</v>
      </c>
      <c r="I453">
        <v>3.8</v>
      </c>
      <c r="J453">
        <v>31.4</v>
      </c>
      <c r="K453">
        <f t="shared" si="17"/>
        <v>119.32</v>
      </c>
      <c r="L453" t="s">
        <v>704</v>
      </c>
    </row>
    <row r="454" spans="6:18" x14ac:dyDescent="0.2">
      <c r="F454">
        <v>1</v>
      </c>
      <c r="G454">
        <v>0</v>
      </c>
      <c r="H454">
        <v>3.5</v>
      </c>
      <c r="I454">
        <v>1.8</v>
      </c>
      <c r="J454">
        <v>5.9</v>
      </c>
      <c r="K454">
        <f t="shared" si="17"/>
        <v>10.620000000000001</v>
      </c>
      <c r="L454" t="s">
        <v>705</v>
      </c>
    </row>
    <row r="455" spans="6:18" x14ac:dyDescent="0.2">
      <c r="F455">
        <v>1</v>
      </c>
      <c r="G455">
        <v>0</v>
      </c>
      <c r="H455">
        <v>3.5</v>
      </c>
      <c r="I455">
        <v>2.1</v>
      </c>
      <c r="J455">
        <v>20.5</v>
      </c>
      <c r="K455">
        <f t="shared" si="17"/>
        <v>43.050000000000004</v>
      </c>
      <c r="L455" t="s">
        <v>706</v>
      </c>
    </row>
    <row r="456" spans="6:18" x14ac:dyDescent="0.2">
      <c r="F456">
        <v>1</v>
      </c>
      <c r="G456">
        <v>0</v>
      </c>
      <c r="H456">
        <v>5.3</v>
      </c>
      <c r="I456">
        <v>3.2</v>
      </c>
      <c r="J456">
        <v>11.8</v>
      </c>
      <c r="K456">
        <f t="shared" si="17"/>
        <v>37.760000000000005</v>
      </c>
      <c r="L456" t="s">
        <v>672</v>
      </c>
    </row>
    <row r="457" spans="6:18" x14ac:dyDescent="0.2">
      <c r="F457">
        <v>1</v>
      </c>
      <c r="G457">
        <v>0</v>
      </c>
      <c r="H457">
        <v>5.6</v>
      </c>
      <c r="I457">
        <v>3.3</v>
      </c>
      <c r="J457">
        <v>13.6</v>
      </c>
      <c r="K457">
        <f t="shared" si="17"/>
        <v>44.879999999999995</v>
      </c>
      <c r="L457" t="s">
        <v>446</v>
      </c>
    </row>
    <row r="458" spans="6:18" x14ac:dyDescent="0.2">
      <c r="F458">
        <v>1</v>
      </c>
      <c r="G458">
        <v>0</v>
      </c>
      <c r="H458">
        <v>3.1</v>
      </c>
      <c r="I458">
        <v>2</v>
      </c>
      <c r="J458">
        <v>3.9</v>
      </c>
      <c r="K458">
        <f t="shared" si="17"/>
        <v>7.8</v>
      </c>
      <c r="L458" t="s">
        <v>707</v>
      </c>
    </row>
    <row r="459" spans="6:18" x14ac:dyDescent="0.2">
      <c r="F459">
        <v>1</v>
      </c>
      <c r="G459">
        <v>0</v>
      </c>
      <c r="H459">
        <v>4.0999999999999996</v>
      </c>
      <c r="I459">
        <v>3.4</v>
      </c>
      <c r="J459">
        <v>20.8</v>
      </c>
      <c r="K459">
        <f t="shared" si="17"/>
        <v>70.72</v>
      </c>
      <c r="L459" t="s">
        <v>686</v>
      </c>
    </row>
    <row r="460" spans="6:18" x14ac:dyDescent="0.2">
      <c r="F460">
        <v>1</v>
      </c>
      <c r="G460">
        <v>0</v>
      </c>
      <c r="H460">
        <v>5.0999999999999996</v>
      </c>
      <c r="I460">
        <v>3.2</v>
      </c>
      <c r="J460">
        <v>5.3</v>
      </c>
      <c r="K460">
        <f t="shared" si="17"/>
        <v>16.96</v>
      </c>
      <c r="L460" t="s">
        <v>708</v>
      </c>
    </row>
    <row r="462" spans="6:18" x14ac:dyDescent="0.2">
      <c r="F462">
        <v>0</v>
      </c>
      <c r="G462">
        <v>1</v>
      </c>
      <c r="H462">
        <v>2.2999999999999998</v>
      </c>
      <c r="I462">
        <v>1.6</v>
      </c>
      <c r="J462">
        <v>2.2999999999999998</v>
      </c>
      <c r="K462">
        <f>(I462*J462)</f>
        <v>3.6799999999999997</v>
      </c>
      <c r="L462" t="s">
        <v>630</v>
      </c>
      <c r="M462">
        <v>1</v>
      </c>
      <c r="N462">
        <v>1</v>
      </c>
      <c r="P462">
        <v>1</v>
      </c>
      <c r="Q462">
        <v>2</v>
      </c>
      <c r="R462" s="1">
        <v>44106</v>
      </c>
    </row>
    <row r="464" spans="6:18" x14ac:dyDescent="0.2">
      <c r="F464">
        <v>1</v>
      </c>
      <c r="G464">
        <v>0</v>
      </c>
      <c r="H464">
        <v>0</v>
      </c>
      <c r="I464">
        <v>0</v>
      </c>
      <c r="J464">
        <v>0</v>
      </c>
      <c r="K464">
        <f t="shared" ref="K464:K477" si="18">(I464*J464)</f>
        <v>0</v>
      </c>
      <c r="L464" t="s">
        <v>626</v>
      </c>
    </row>
    <row r="465" spans="6:14" x14ac:dyDescent="0.2">
      <c r="F465">
        <v>1</v>
      </c>
      <c r="G465">
        <v>0</v>
      </c>
      <c r="H465">
        <v>3.4</v>
      </c>
      <c r="I465">
        <v>2.1</v>
      </c>
      <c r="J465">
        <v>3.6</v>
      </c>
      <c r="K465">
        <f t="shared" si="18"/>
        <v>7.5600000000000005</v>
      </c>
      <c r="L465" t="s">
        <v>165</v>
      </c>
    </row>
    <row r="466" spans="6:14" x14ac:dyDescent="0.2">
      <c r="F466">
        <v>1</v>
      </c>
      <c r="G466">
        <v>0</v>
      </c>
      <c r="H466">
        <v>4</v>
      </c>
      <c r="I466">
        <v>1</v>
      </c>
      <c r="J466">
        <v>3.6</v>
      </c>
      <c r="K466">
        <f t="shared" si="18"/>
        <v>3.6</v>
      </c>
      <c r="L466" t="s">
        <v>700</v>
      </c>
    </row>
    <row r="467" spans="6:14" x14ac:dyDescent="0.2">
      <c r="F467">
        <v>1</v>
      </c>
      <c r="G467">
        <v>0</v>
      </c>
      <c r="H467">
        <v>3.4</v>
      </c>
      <c r="I467">
        <v>1.8</v>
      </c>
      <c r="J467">
        <v>5.8</v>
      </c>
      <c r="K467">
        <f t="shared" si="18"/>
        <v>10.44</v>
      </c>
      <c r="L467" t="s">
        <v>701</v>
      </c>
    </row>
    <row r="468" spans="6:14" x14ac:dyDescent="0.2">
      <c r="F468">
        <v>1</v>
      </c>
      <c r="G468">
        <v>0</v>
      </c>
      <c r="H468">
        <v>0</v>
      </c>
      <c r="I468">
        <v>0</v>
      </c>
      <c r="J468">
        <v>0</v>
      </c>
      <c r="K468">
        <f t="shared" si="18"/>
        <v>0</v>
      </c>
      <c r="L468" t="s">
        <v>702</v>
      </c>
    </row>
    <row r="469" spans="6:14" x14ac:dyDescent="0.2">
      <c r="F469">
        <v>1</v>
      </c>
      <c r="G469">
        <v>0</v>
      </c>
      <c r="H469">
        <v>3.6</v>
      </c>
      <c r="I469">
        <v>2.5</v>
      </c>
      <c r="J469">
        <v>15.6</v>
      </c>
      <c r="K469">
        <f t="shared" si="18"/>
        <v>39</v>
      </c>
      <c r="L469" t="s">
        <v>703</v>
      </c>
    </row>
    <row r="470" spans="6:14" x14ac:dyDescent="0.2">
      <c r="F470">
        <v>1</v>
      </c>
      <c r="G470">
        <v>0</v>
      </c>
      <c r="H470">
        <v>0</v>
      </c>
      <c r="I470">
        <v>0</v>
      </c>
      <c r="J470">
        <v>0</v>
      </c>
      <c r="K470">
        <f t="shared" si="18"/>
        <v>0</v>
      </c>
      <c r="L470" t="s">
        <v>704</v>
      </c>
    </row>
    <row r="471" spans="6:14" x14ac:dyDescent="0.2">
      <c r="F471">
        <v>1</v>
      </c>
      <c r="G471">
        <v>0</v>
      </c>
      <c r="H471">
        <v>3.1</v>
      </c>
      <c r="I471">
        <v>1.6</v>
      </c>
      <c r="J471">
        <v>3.8</v>
      </c>
      <c r="K471">
        <f t="shared" si="18"/>
        <v>6.08</v>
      </c>
      <c r="L471" t="s">
        <v>705</v>
      </c>
    </row>
    <row r="472" spans="6:14" x14ac:dyDescent="0.2">
      <c r="F472">
        <v>1</v>
      </c>
      <c r="G472">
        <v>0</v>
      </c>
      <c r="H472">
        <v>2.8</v>
      </c>
      <c r="I472">
        <v>2</v>
      </c>
      <c r="J472">
        <v>10.199999999999999</v>
      </c>
      <c r="K472">
        <f t="shared" si="18"/>
        <v>20.399999999999999</v>
      </c>
      <c r="L472" t="s">
        <v>706</v>
      </c>
    </row>
    <row r="473" spans="6:14" x14ac:dyDescent="0.2">
      <c r="F473">
        <v>1</v>
      </c>
      <c r="G473">
        <v>0</v>
      </c>
      <c r="H473">
        <v>3.6</v>
      </c>
      <c r="I473">
        <v>2.4</v>
      </c>
      <c r="J473">
        <v>9.1999999999999993</v>
      </c>
      <c r="K473">
        <f t="shared" si="18"/>
        <v>22.08</v>
      </c>
      <c r="L473" t="s">
        <v>672</v>
      </c>
    </row>
    <row r="474" spans="6:14" x14ac:dyDescent="0.2">
      <c r="F474">
        <v>1</v>
      </c>
      <c r="G474">
        <v>0</v>
      </c>
      <c r="H474">
        <v>3.6</v>
      </c>
      <c r="I474">
        <v>3.1</v>
      </c>
      <c r="J474">
        <v>8.4</v>
      </c>
      <c r="K474">
        <f t="shared" si="18"/>
        <v>26.040000000000003</v>
      </c>
      <c r="L474" t="s">
        <v>446</v>
      </c>
    </row>
    <row r="475" spans="6:14" x14ac:dyDescent="0.2">
      <c r="F475">
        <v>1</v>
      </c>
      <c r="G475">
        <v>0</v>
      </c>
      <c r="H475">
        <v>2.8</v>
      </c>
      <c r="I475">
        <v>1.6</v>
      </c>
      <c r="J475">
        <v>3.1</v>
      </c>
      <c r="K475">
        <f t="shared" si="18"/>
        <v>4.9600000000000009</v>
      </c>
      <c r="L475" t="s">
        <v>707</v>
      </c>
    </row>
    <row r="476" spans="6:14" x14ac:dyDescent="0.2">
      <c r="F476">
        <v>1</v>
      </c>
      <c r="G476">
        <v>0</v>
      </c>
      <c r="H476">
        <v>3.2</v>
      </c>
      <c r="I476">
        <v>2.6</v>
      </c>
      <c r="J476">
        <v>9.8000000000000007</v>
      </c>
      <c r="K476">
        <f t="shared" si="18"/>
        <v>25.480000000000004</v>
      </c>
      <c r="L476" t="s">
        <v>686</v>
      </c>
    </row>
    <row r="477" spans="6:14" x14ac:dyDescent="0.2">
      <c r="F477">
        <v>1</v>
      </c>
      <c r="G477">
        <v>0</v>
      </c>
      <c r="H477">
        <v>3.2</v>
      </c>
      <c r="I477">
        <v>2.6</v>
      </c>
      <c r="J477">
        <v>4.0999999999999996</v>
      </c>
      <c r="K477">
        <f t="shared" si="18"/>
        <v>10.66</v>
      </c>
      <c r="L477" t="s">
        <v>708</v>
      </c>
    </row>
    <row r="479" spans="6:14" x14ac:dyDescent="0.2">
      <c r="F479">
        <v>0</v>
      </c>
      <c r="G479">
        <v>1</v>
      </c>
      <c r="H479">
        <v>2.1</v>
      </c>
      <c r="I479">
        <v>1.5</v>
      </c>
      <c r="J479">
        <v>2.2999999999999998</v>
      </c>
      <c r="K479">
        <f>(I479*J479)</f>
        <v>3.4499999999999997</v>
      </c>
      <c r="L479" t="s">
        <v>630</v>
      </c>
      <c r="M479">
        <v>1</v>
      </c>
      <c r="N479">
        <v>1</v>
      </c>
    </row>
    <row r="481" spans="1:16" x14ac:dyDescent="0.2">
      <c r="A481">
        <v>26</v>
      </c>
      <c r="B481" t="s">
        <v>796</v>
      </c>
      <c r="C481" s="1">
        <v>21999</v>
      </c>
      <c r="D481" s="1">
        <v>44120</v>
      </c>
      <c r="E481" t="s">
        <v>13</v>
      </c>
      <c r="F481">
        <v>1</v>
      </c>
      <c r="G481">
        <v>0</v>
      </c>
      <c r="H481">
        <v>5.4</v>
      </c>
      <c r="I481">
        <v>3.2</v>
      </c>
      <c r="J481">
        <v>2.1</v>
      </c>
      <c r="K481">
        <f>(I481*J481)</f>
        <v>6.7200000000000006</v>
      </c>
      <c r="L481" t="s">
        <v>551</v>
      </c>
    </row>
    <row r="482" spans="1:16" x14ac:dyDescent="0.2">
      <c r="C482" s="1"/>
      <c r="D482" s="1"/>
      <c r="F482">
        <v>1</v>
      </c>
      <c r="G482">
        <v>0</v>
      </c>
      <c r="H482">
        <v>6.7</v>
      </c>
      <c r="I482">
        <v>3.7</v>
      </c>
      <c r="J482">
        <v>15.8</v>
      </c>
      <c r="K482">
        <f>(I482*J482)</f>
        <v>58.460000000000008</v>
      </c>
      <c r="L482" t="s">
        <v>819</v>
      </c>
    </row>
    <row r="484" spans="1:16" x14ac:dyDescent="0.2">
      <c r="F484">
        <v>0</v>
      </c>
      <c r="G484">
        <v>1</v>
      </c>
      <c r="H484">
        <v>3.8</v>
      </c>
      <c r="I484">
        <v>2.1</v>
      </c>
      <c r="J484">
        <v>32.799999999999997</v>
      </c>
      <c r="K484">
        <f>(I484*J484)</f>
        <v>68.88</v>
      </c>
      <c r="L484" t="s">
        <v>571</v>
      </c>
    </row>
    <row r="485" spans="1:16" x14ac:dyDescent="0.2">
      <c r="F485">
        <v>0</v>
      </c>
      <c r="G485">
        <v>1</v>
      </c>
      <c r="H485">
        <v>6.7</v>
      </c>
      <c r="I485">
        <v>3.7</v>
      </c>
      <c r="J485">
        <v>15.8</v>
      </c>
      <c r="K485">
        <f>(I485*J485)</f>
        <v>58.460000000000008</v>
      </c>
      <c r="L485" t="s">
        <v>809</v>
      </c>
      <c r="M485">
        <v>1</v>
      </c>
      <c r="N485">
        <v>1</v>
      </c>
      <c r="P485">
        <v>0</v>
      </c>
    </row>
    <row r="487" spans="1:16" x14ac:dyDescent="0.2">
      <c r="D487" s="1">
        <v>44253</v>
      </c>
      <c r="F487">
        <v>1</v>
      </c>
      <c r="G487">
        <v>0</v>
      </c>
      <c r="H487">
        <v>3.7</v>
      </c>
      <c r="I487">
        <v>2.1</v>
      </c>
      <c r="J487">
        <v>20.6</v>
      </c>
      <c r="K487">
        <f>(I487*J487)</f>
        <v>43.260000000000005</v>
      </c>
      <c r="L487" t="s">
        <v>551</v>
      </c>
    </row>
    <row r="488" spans="1:16" x14ac:dyDescent="0.2">
      <c r="F488">
        <v>1</v>
      </c>
      <c r="G488">
        <v>0</v>
      </c>
      <c r="H488">
        <v>2.6</v>
      </c>
      <c r="I488">
        <v>1.6</v>
      </c>
      <c r="J488">
        <v>19</v>
      </c>
      <c r="K488">
        <f>(I488*J488)</f>
        <v>30.400000000000002</v>
      </c>
      <c r="L488" t="s">
        <v>819</v>
      </c>
    </row>
    <row r="490" spans="1:16" x14ac:dyDescent="0.2">
      <c r="F490">
        <v>0</v>
      </c>
      <c r="G490">
        <v>1</v>
      </c>
      <c r="H490">
        <v>2.6</v>
      </c>
      <c r="I490">
        <v>1.5</v>
      </c>
      <c r="J490">
        <v>16.8</v>
      </c>
      <c r="K490">
        <f>(I490*J490)</f>
        <v>25.200000000000003</v>
      </c>
      <c r="L490" t="s">
        <v>571</v>
      </c>
    </row>
    <row r="491" spans="1:16" x14ac:dyDescent="0.2">
      <c r="F491">
        <v>0</v>
      </c>
      <c r="G491">
        <v>1</v>
      </c>
      <c r="H491">
        <v>6.2</v>
      </c>
      <c r="I491">
        <v>3.6</v>
      </c>
      <c r="J491">
        <v>18.2</v>
      </c>
      <c r="K491">
        <f>(I491*J491)</f>
        <v>65.52</v>
      </c>
      <c r="L491" t="s">
        <v>809</v>
      </c>
      <c r="M491">
        <v>1</v>
      </c>
      <c r="N491">
        <v>1</v>
      </c>
    </row>
    <row r="493" spans="1:16" x14ac:dyDescent="0.2">
      <c r="A493">
        <v>27</v>
      </c>
      <c r="B493" t="s">
        <v>415</v>
      </c>
      <c r="C493" s="1">
        <v>29274</v>
      </c>
      <c r="D493" s="1">
        <v>44047</v>
      </c>
      <c r="E493" t="s">
        <v>387</v>
      </c>
      <c r="F493">
        <v>1</v>
      </c>
      <c r="G493">
        <v>0</v>
      </c>
      <c r="H493">
        <v>3.7</v>
      </c>
      <c r="I493">
        <v>2.2999999999999998</v>
      </c>
      <c r="J493">
        <v>6.5</v>
      </c>
      <c r="K493">
        <f>(I493*J493)</f>
        <v>14.95</v>
      </c>
      <c r="L493" t="s">
        <v>663</v>
      </c>
    </row>
    <row r="494" spans="1:16" x14ac:dyDescent="0.2">
      <c r="F494">
        <v>1</v>
      </c>
      <c r="G494">
        <v>0</v>
      </c>
      <c r="H494">
        <v>3.4</v>
      </c>
      <c r="I494">
        <v>2.1</v>
      </c>
      <c r="J494">
        <v>6.9</v>
      </c>
      <c r="K494">
        <f>(I494*J494)</f>
        <v>14.490000000000002</v>
      </c>
      <c r="L494" t="s">
        <v>664</v>
      </c>
    </row>
    <row r="495" spans="1:16" x14ac:dyDescent="0.2">
      <c r="F495">
        <v>1</v>
      </c>
      <c r="G495">
        <v>0</v>
      </c>
      <c r="H495">
        <v>3.7</v>
      </c>
      <c r="I495">
        <v>2.2000000000000002</v>
      </c>
      <c r="J495">
        <v>18.8</v>
      </c>
      <c r="K495">
        <f>(I495*J495)</f>
        <v>41.360000000000007</v>
      </c>
      <c r="L495" t="s">
        <v>641</v>
      </c>
    </row>
    <row r="497" spans="1:18" x14ac:dyDescent="0.2">
      <c r="F497">
        <v>0</v>
      </c>
      <c r="G497">
        <v>1</v>
      </c>
      <c r="H497">
        <v>2.9</v>
      </c>
      <c r="I497">
        <v>1.7</v>
      </c>
      <c r="J497">
        <v>3.4</v>
      </c>
      <c r="K497">
        <f>(I497*J497)</f>
        <v>5.7799999999999994</v>
      </c>
      <c r="L497" t="s">
        <v>640</v>
      </c>
      <c r="M497">
        <v>1</v>
      </c>
      <c r="N497">
        <v>1</v>
      </c>
      <c r="P497">
        <v>1</v>
      </c>
      <c r="Q497">
        <v>3</v>
      </c>
      <c r="R497" s="1">
        <v>43894</v>
      </c>
    </row>
    <row r="499" spans="1:18" x14ac:dyDescent="0.2">
      <c r="F499">
        <v>1</v>
      </c>
      <c r="G499">
        <v>0</v>
      </c>
      <c r="H499">
        <v>0</v>
      </c>
      <c r="I499">
        <v>0</v>
      </c>
      <c r="J499">
        <v>0</v>
      </c>
      <c r="K499">
        <f>(I499*J499)</f>
        <v>0</v>
      </c>
      <c r="L499" t="s">
        <v>663</v>
      </c>
    </row>
    <row r="500" spans="1:18" x14ac:dyDescent="0.2">
      <c r="F500">
        <v>1</v>
      </c>
      <c r="G500">
        <v>0</v>
      </c>
      <c r="H500">
        <v>0</v>
      </c>
      <c r="I500">
        <v>0</v>
      </c>
      <c r="J500">
        <v>0</v>
      </c>
      <c r="K500">
        <f>(I500*J500)</f>
        <v>0</v>
      </c>
      <c r="L500" t="s">
        <v>664</v>
      </c>
    </row>
    <row r="501" spans="1:18" x14ac:dyDescent="0.2">
      <c r="F501">
        <v>1</v>
      </c>
      <c r="G501">
        <v>0</v>
      </c>
      <c r="H501">
        <v>0</v>
      </c>
      <c r="I501">
        <v>0</v>
      </c>
      <c r="J501">
        <v>0</v>
      </c>
      <c r="K501">
        <f>(I501*J501)</f>
        <v>0</v>
      </c>
      <c r="L501" t="s">
        <v>641</v>
      </c>
    </row>
    <row r="503" spans="1:18" x14ac:dyDescent="0.2">
      <c r="F503">
        <v>0</v>
      </c>
      <c r="G503">
        <v>1</v>
      </c>
      <c r="H503">
        <v>0</v>
      </c>
      <c r="I503">
        <v>0</v>
      </c>
      <c r="J503">
        <v>0</v>
      </c>
      <c r="K503">
        <f t="shared" ref="K503:K527" si="19">(I503*J503)</f>
        <v>0</v>
      </c>
      <c r="L503" t="s">
        <v>640</v>
      </c>
    </row>
    <row r="505" spans="1:18" x14ac:dyDescent="0.2">
      <c r="A505">
        <v>28</v>
      </c>
      <c r="B505" t="s">
        <v>781</v>
      </c>
      <c r="C505" s="1">
        <v>22959</v>
      </c>
      <c r="D505" s="1">
        <v>44106</v>
      </c>
      <c r="E505" t="s">
        <v>447</v>
      </c>
      <c r="F505">
        <v>1</v>
      </c>
      <c r="G505">
        <v>0</v>
      </c>
      <c r="H505">
        <v>3.7</v>
      </c>
      <c r="I505">
        <v>2.1</v>
      </c>
      <c r="J505">
        <v>10.6</v>
      </c>
      <c r="K505">
        <f t="shared" si="19"/>
        <v>22.26</v>
      </c>
      <c r="L505" t="s">
        <v>1188</v>
      </c>
      <c r="M505">
        <v>1</v>
      </c>
      <c r="N505">
        <v>1</v>
      </c>
    </row>
    <row r="506" spans="1:18" x14ac:dyDescent="0.2">
      <c r="F506">
        <v>1</v>
      </c>
      <c r="G506">
        <v>0</v>
      </c>
      <c r="H506">
        <v>4.9000000000000004</v>
      </c>
      <c r="I506">
        <v>2.6</v>
      </c>
      <c r="J506">
        <v>9.9</v>
      </c>
      <c r="K506">
        <f t="shared" si="19"/>
        <v>25.740000000000002</v>
      </c>
      <c r="L506" t="s">
        <v>1192</v>
      </c>
    </row>
    <row r="507" spans="1:18" x14ac:dyDescent="0.2">
      <c r="F507">
        <v>1</v>
      </c>
      <c r="G507">
        <v>0</v>
      </c>
      <c r="H507">
        <v>4.0999999999999996</v>
      </c>
      <c r="I507">
        <v>2.1</v>
      </c>
      <c r="J507">
        <v>24.7</v>
      </c>
      <c r="K507">
        <f t="shared" si="19"/>
        <v>51.87</v>
      </c>
      <c r="L507" t="s">
        <v>1193</v>
      </c>
    </row>
    <row r="508" spans="1:18" x14ac:dyDescent="0.2">
      <c r="F508">
        <v>1</v>
      </c>
      <c r="G508">
        <v>0</v>
      </c>
      <c r="H508">
        <v>3</v>
      </c>
      <c r="I508">
        <v>1.7</v>
      </c>
      <c r="J508">
        <v>39.700000000000003</v>
      </c>
      <c r="K508">
        <f t="shared" si="19"/>
        <v>67.490000000000009</v>
      </c>
      <c r="L508" t="s">
        <v>1194</v>
      </c>
    </row>
    <row r="509" spans="1:18" x14ac:dyDescent="0.2">
      <c r="F509">
        <v>1</v>
      </c>
      <c r="G509">
        <v>0</v>
      </c>
      <c r="H509">
        <v>8.1</v>
      </c>
      <c r="I509">
        <v>4.7</v>
      </c>
      <c r="J509">
        <v>19.5</v>
      </c>
      <c r="K509">
        <f t="shared" si="19"/>
        <v>91.65</v>
      </c>
      <c r="L509" t="s">
        <v>1195</v>
      </c>
    </row>
    <row r="510" spans="1:18" x14ac:dyDescent="0.2">
      <c r="F510">
        <v>1</v>
      </c>
      <c r="G510">
        <v>0</v>
      </c>
      <c r="H510">
        <v>4.3</v>
      </c>
      <c r="I510">
        <v>2.5</v>
      </c>
      <c r="J510">
        <v>8.5</v>
      </c>
      <c r="K510">
        <f t="shared" si="19"/>
        <v>21.25</v>
      </c>
      <c r="L510" t="s">
        <v>1196</v>
      </c>
    </row>
    <row r="511" spans="1:18" x14ac:dyDescent="0.2">
      <c r="F511">
        <v>1</v>
      </c>
      <c r="G511">
        <v>0</v>
      </c>
      <c r="H511">
        <v>5.6</v>
      </c>
      <c r="I511">
        <v>3.1</v>
      </c>
      <c r="J511">
        <v>17</v>
      </c>
      <c r="K511">
        <f t="shared" si="19"/>
        <v>52.7</v>
      </c>
      <c r="L511" t="s">
        <v>1197</v>
      </c>
    </row>
    <row r="512" spans="1:18" x14ac:dyDescent="0.2">
      <c r="F512">
        <v>1</v>
      </c>
      <c r="G512">
        <v>0</v>
      </c>
      <c r="H512">
        <v>3</v>
      </c>
      <c r="I512">
        <v>1.7</v>
      </c>
      <c r="J512">
        <v>4.0999999999999996</v>
      </c>
      <c r="K512">
        <f t="shared" si="19"/>
        <v>6.9699999999999989</v>
      </c>
      <c r="L512" t="s">
        <v>1198</v>
      </c>
    </row>
    <row r="513" spans="4:14" x14ac:dyDescent="0.2">
      <c r="F513">
        <v>1</v>
      </c>
      <c r="G513">
        <v>0</v>
      </c>
      <c r="H513">
        <v>3.3</v>
      </c>
      <c r="I513">
        <v>1.9</v>
      </c>
      <c r="J513">
        <v>6.8</v>
      </c>
      <c r="K513">
        <f t="shared" si="19"/>
        <v>12.92</v>
      </c>
      <c r="L513" t="s">
        <v>1199</v>
      </c>
    </row>
    <row r="514" spans="4:14" x14ac:dyDescent="0.2">
      <c r="F514">
        <v>1</v>
      </c>
      <c r="G514">
        <v>0</v>
      </c>
      <c r="H514">
        <v>4</v>
      </c>
      <c r="I514">
        <v>2.4</v>
      </c>
      <c r="J514">
        <v>4.5</v>
      </c>
      <c r="K514">
        <f t="shared" si="19"/>
        <v>10.799999999999999</v>
      </c>
      <c r="L514" t="s">
        <v>1200</v>
      </c>
    </row>
    <row r="516" spans="4:14" x14ac:dyDescent="0.2">
      <c r="F516">
        <v>0</v>
      </c>
      <c r="G516">
        <v>1</v>
      </c>
      <c r="H516">
        <v>2.9</v>
      </c>
      <c r="I516">
        <v>1.8</v>
      </c>
      <c r="J516">
        <v>7.7</v>
      </c>
      <c r="K516">
        <f t="shared" si="19"/>
        <v>13.860000000000001</v>
      </c>
      <c r="L516" t="s">
        <v>1189</v>
      </c>
    </row>
    <row r="517" spans="4:14" x14ac:dyDescent="0.2">
      <c r="F517">
        <v>0</v>
      </c>
      <c r="G517">
        <v>1</v>
      </c>
      <c r="H517">
        <v>2.6</v>
      </c>
      <c r="I517">
        <v>1.7</v>
      </c>
      <c r="J517">
        <v>6.5</v>
      </c>
      <c r="K517">
        <f t="shared" si="19"/>
        <v>11.049999999999999</v>
      </c>
      <c r="L517" t="s">
        <v>1190</v>
      </c>
    </row>
    <row r="518" spans="4:14" x14ac:dyDescent="0.2">
      <c r="F518">
        <v>0</v>
      </c>
      <c r="G518">
        <v>1</v>
      </c>
      <c r="H518">
        <v>4.4000000000000004</v>
      </c>
      <c r="I518">
        <v>2.6</v>
      </c>
      <c r="J518">
        <v>7.6</v>
      </c>
      <c r="K518">
        <f t="shared" si="19"/>
        <v>19.759999999999998</v>
      </c>
      <c r="L518" t="s">
        <v>1191</v>
      </c>
    </row>
    <row r="520" spans="4:14" x14ac:dyDescent="0.2">
      <c r="D520" s="1">
        <v>44274</v>
      </c>
      <c r="F520">
        <v>1</v>
      </c>
      <c r="G520">
        <v>0</v>
      </c>
      <c r="H520">
        <v>3.7</v>
      </c>
      <c r="I520">
        <v>2.1</v>
      </c>
      <c r="J520">
        <v>8.1999999999999993</v>
      </c>
      <c r="K520">
        <f t="shared" si="19"/>
        <v>17.22</v>
      </c>
      <c r="L520" t="s">
        <v>1201</v>
      </c>
      <c r="M520">
        <v>1</v>
      </c>
      <c r="N520">
        <v>1</v>
      </c>
    </row>
    <row r="521" spans="4:14" x14ac:dyDescent="0.2">
      <c r="F521">
        <v>1</v>
      </c>
      <c r="G521">
        <v>0</v>
      </c>
      <c r="H521">
        <v>3</v>
      </c>
      <c r="I521">
        <v>1.6</v>
      </c>
      <c r="J521">
        <v>43.6</v>
      </c>
      <c r="K521">
        <f t="shared" si="19"/>
        <v>69.760000000000005</v>
      </c>
      <c r="L521" t="s">
        <v>1194</v>
      </c>
    </row>
    <row r="522" spans="4:14" x14ac:dyDescent="0.2">
      <c r="F522">
        <v>1</v>
      </c>
      <c r="G522">
        <v>0</v>
      </c>
      <c r="H522">
        <v>4.7</v>
      </c>
      <c r="I522">
        <v>2.7</v>
      </c>
      <c r="J522">
        <v>8.5</v>
      </c>
      <c r="K522">
        <f t="shared" si="19"/>
        <v>22.950000000000003</v>
      </c>
      <c r="L522" t="s">
        <v>1192</v>
      </c>
    </row>
    <row r="523" spans="4:14" x14ac:dyDescent="0.2">
      <c r="F523">
        <v>1</v>
      </c>
      <c r="G523">
        <v>0</v>
      </c>
      <c r="H523">
        <v>4.0999999999999996</v>
      </c>
      <c r="I523">
        <v>2.1</v>
      </c>
      <c r="J523">
        <v>24.7</v>
      </c>
      <c r="K523">
        <f t="shared" si="19"/>
        <v>51.87</v>
      </c>
      <c r="L523" t="s">
        <v>1202</v>
      </c>
    </row>
    <row r="524" spans="4:14" x14ac:dyDescent="0.2">
      <c r="F524">
        <v>1</v>
      </c>
      <c r="G524">
        <v>0</v>
      </c>
      <c r="H524">
        <v>4.8</v>
      </c>
      <c r="I524">
        <v>2.7</v>
      </c>
      <c r="J524">
        <v>18.600000000000001</v>
      </c>
      <c r="K524">
        <f t="shared" si="19"/>
        <v>50.220000000000006</v>
      </c>
      <c r="L524" t="s">
        <v>1195</v>
      </c>
    </row>
    <row r="525" spans="4:14" x14ac:dyDescent="0.2">
      <c r="F525">
        <v>1</v>
      </c>
      <c r="G525">
        <v>0</v>
      </c>
      <c r="H525">
        <v>4.5999999999999996</v>
      </c>
      <c r="I525">
        <v>2.7</v>
      </c>
      <c r="J525">
        <v>15.6</v>
      </c>
      <c r="K525">
        <f t="shared" si="19"/>
        <v>42.120000000000005</v>
      </c>
      <c r="L525" t="s">
        <v>1197</v>
      </c>
    </row>
    <row r="527" spans="4:14" x14ac:dyDescent="0.2">
      <c r="F527">
        <v>0</v>
      </c>
      <c r="G527">
        <v>1</v>
      </c>
      <c r="H527">
        <v>2.9</v>
      </c>
      <c r="I527">
        <v>1.6</v>
      </c>
      <c r="J527">
        <v>16.399999999999999</v>
      </c>
      <c r="K527">
        <f t="shared" si="19"/>
        <v>26.24</v>
      </c>
      <c r="L527" t="s">
        <v>1189</v>
      </c>
    </row>
    <row r="528" spans="4:14" x14ac:dyDescent="0.2">
      <c r="F528">
        <v>0</v>
      </c>
      <c r="G528">
        <v>1</v>
      </c>
      <c r="H528">
        <v>4.4000000000000004</v>
      </c>
      <c r="I528">
        <v>2.8</v>
      </c>
      <c r="J528">
        <v>4.8</v>
      </c>
      <c r="K528">
        <f>(I528*J528)</f>
        <v>13.44</v>
      </c>
      <c r="L528" t="s">
        <v>1191</v>
      </c>
    </row>
    <row r="530" spans="1:14" x14ac:dyDescent="0.2">
      <c r="A530">
        <v>29</v>
      </c>
      <c r="B530" t="s">
        <v>1222</v>
      </c>
      <c r="C530" s="1">
        <v>26584</v>
      </c>
      <c r="D530" s="1">
        <v>44109</v>
      </c>
      <c r="E530" t="s">
        <v>1224</v>
      </c>
      <c r="F530">
        <v>1</v>
      </c>
      <c r="G530">
        <v>0</v>
      </c>
      <c r="H530">
        <v>3</v>
      </c>
      <c r="I530">
        <v>1.5</v>
      </c>
      <c r="J530">
        <v>18.8</v>
      </c>
      <c r="K530">
        <f t="shared" ref="K530:K545" si="20">(I530*J530)</f>
        <v>28.200000000000003</v>
      </c>
      <c r="L530" t="s">
        <v>1203</v>
      </c>
      <c r="M530">
        <v>1</v>
      </c>
      <c r="N530">
        <v>1</v>
      </c>
    </row>
    <row r="531" spans="1:14" x14ac:dyDescent="0.2">
      <c r="F531">
        <v>1</v>
      </c>
      <c r="G531">
        <v>0</v>
      </c>
      <c r="H531">
        <v>4.8</v>
      </c>
      <c r="I531">
        <v>2.9</v>
      </c>
      <c r="J531">
        <v>15.4</v>
      </c>
      <c r="K531">
        <f t="shared" si="20"/>
        <v>44.66</v>
      </c>
      <c r="L531" t="s">
        <v>1210</v>
      </c>
    </row>
    <row r="532" spans="1:14" x14ac:dyDescent="0.2">
      <c r="F532">
        <v>1</v>
      </c>
      <c r="G532">
        <v>0</v>
      </c>
      <c r="H532">
        <v>3.8</v>
      </c>
      <c r="I532">
        <v>2.2999999999999998</v>
      </c>
      <c r="J532">
        <v>9</v>
      </c>
      <c r="K532">
        <f t="shared" si="20"/>
        <v>20.7</v>
      </c>
      <c r="L532" t="s">
        <v>1205</v>
      </c>
    </row>
    <row r="533" spans="1:14" x14ac:dyDescent="0.2">
      <c r="F533">
        <v>1</v>
      </c>
      <c r="G533">
        <v>0</v>
      </c>
      <c r="H533">
        <v>4.8</v>
      </c>
      <c r="I533">
        <v>2.6</v>
      </c>
      <c r="J533">
        <v>17.7</v>
      </c>
      <c r="K533">
        <f t="shared" si="20"/>
        <v>46.02</v>
      </c>
      <c r="L533" t="s">
        <v>1206</v>
      </c>
    </row>
    <row r="534" spans="1:14" x14ac:dyDescent="0.2">
      <c r="F534">
        <v>1</v>
      </c>
      <c r="G534">
        <v>0</v>
      </c>
      <c r="H534">
        <v>3</v>
      </c>
      <c r="I534">
        <v>1.8</v>
      </c>
      <c r="J534">
        <v>11.3</v>
      </c>
      <c r="K534">
        <f t="shared" si="20"/>
        <v>20.340000000000003</v>
      </c>
      <c r="L534" t="s">
        <v>1207</v>
      </c>
    </row>
    <row r="535" spans="1:14" x14ac:dyDescent="0.2">
      <c r="F535">
        <v>1</v>
      </c>
      <c r="G535">
        <v>0</v>
      </c>
      <c r="H535">
        <v>2.9</v>
      </c>
      <c r="I535">
        <v>1.7</v>
      </c>
      <c r="J535">
        <v>8.1999999999999993</v>
      </c>
      <c r="K535">
        <f t="shared" si="20"/>
        <v>13.939999999999998</v>
      </c>
      <c r="L535" t="s">
        <v>1208</v>
      </c>
    </row>
    <row r="536" spans="1:14" x14ac:dyDescent="0.2">
      <c r="F536">
        <v>1</v>
      </c>
      <c r="G536">
        <v>0</v>
      </c>
      <c r="H536">
        <v>2.4</v>
      </c>
      <c r="I536">
        <v>1.4</v>
      </c>
      <c r="J536">
        <v>5.5</v>
      </c>
      <c r="K536">
        <f t="shared" si="20"/>
        <v>7.6999999999999993</v>
      </c>
      <c r="L536" t="s">
        <v>1209</v>
      </c>
    </row>
    <row r="537" spans="1:14" x14ac:dyDescent="0.2">
      <c r="F537">
        <v>1</v>
      </c>
      <c r="G537">
        <v>0</v>
      </c>
      <c r="H537">
        <v>4</v>
      </c>
      <c r="I537">
        <v>2.5</v>
      </c>
      <c r="J537">
        <v>8.6</v>
      </c>
      <c r="K537">
        <f t="shared" si="20"/>
        <v>21.5</v>
      </c>
      <c r="L537" t="s">
        <v>1211</v>
      </c>
    </row>
    <row r="538" spans="1:14" x14ac:dyDescent="0.2">
      <c r="F538">
        <v>1</v>
      </c>
      <c r="G538">
        <v>0</v>
      </c>
      <c r="H538">
        <v>5.6</v>
      </c>
      <c r="I538">
        <v>3.2</v>
      </c>
      <c r="J538">
        <v>24.9</v>
      </c>
      <c r="K538">
        <f t="shared" si="20"/>
        <v>79.680000000000007</v>
      </c>
      <c r="L538" t="s">
        <v>1212</v>
      </c>
    </row>
    <row r="539" spans="1:14" x14ac:dyDescent="0.2">
      <c r="F539">
        <v>1</v>
      </c>
      <c r="G539">
        <v>0</v>
      </c>
      <c r="H539">
        <v>5.0999999999999996</v>
      </c>
      <c r="I539">
        <v>3.1</v>
      </c>
      <c r="J539">
        <v>15.2</v>
      </c>
      <c r="K539">
        <f t="shared" si="20"/>
        <v>47.12</v>
      </c>
      <c r="L539" t="s">
        <v>1213</v>
      </c>
    </row>
    <row r="540" spans="1:14" x14ac:dyDescent="0.2">
      <c r="F540">
        <v>1</v>
      </c>
      <c r="G540">
        <v>0</v>
      </c>
      <c r="H540">
        <v>3.6</v>
      </c>
      <c r="I540">
        <v>2.2000000000000002</v>
      </c>
      <c r="J540">
        <v>12.7</v>
      </c>
      <c r="K540">
        <f t="shared" si="20"/>
        <v>27.94</v>
      </c>
      <c r="L540" t="s">
        <v>1215</v>
      </c>
    </row>
    <row r="542" spans="1:14" x14ac:dyDescent="0.2">
      <c r="F542">
        <v>0</v>
      </c>
      <c r="G542">
        <v>1</v>
      </c>
      <c r="H542">
        <v>3.3</v>
      </c>
      <c r="I542">
        <v>2</v>
      </c>
      <c r="J542">
        <v>3.7</v>
      </c>
      <c r="K542">
        <f t="shared" si="20"/>
        <v>7.4</v>
      </c>
      <c r="L542" t="s">
        <v>1216</v>
      </c>
    </row>
    <row r="543" spans="1:14" x14ac:dyDescent="0.2">
      <c r="F543">
        <v>0</v>
      </c>
      <c r="G543">
        <v>1</v>
      </c>
      <c r="H543">
        <v>2.6</v>
      </c>
      <c r="I543">
        <v>1.5</v>
      </c>
      <c r="J543">
        <v>5.5</v>
      </c>
      <c r="K543">
        <f t="shared" si="20"/>
        <v>8.25</v>
      </c>
      <c r="L543" t="s">
        <v>1217</v>
      </c>
    </row>
    <row r="544" spans="1:14" x14ac:dyDescent="0.2">
      <c r="F544">
        <v>0</v>
      </c>
      <c r="G544">
        <v>1</v>
      </c>
      <c r="H544">
        <v>3.3</v>
      </c>
      <c r="I544">
        <v>2.1</v>
      </c>
      <c r="J544">
        <v>9.6</v>
      </c>
      <c r="K544">
        <f t="shared" si="20"/>
        <v>20.16</v>
      </c>
      <c r="L544" t="s">
        <v>1204</v>
      </c>
    </row>
    <row r="545" spans="1:14" x14ac:dyDescent="0.2">
      <c r="F545">
        <v>0</v>
      </c>
      <c r="G545">
        <v>1</v>
      </c>
      <c r="H545">
        <v>2.9</v>
      </c>
      <c r="I545">
        <v>1.6</v>
      </c>
      <c r="J545">
        <v>6</v>
      </c>
      <c r="K545">
        <f t="shared" si="20"/>
        <v>9.6000000000000014</v>
      </c>
      <c r="L545" t="s">
        <v>1214</v>
      </c>
    </row>
    <row r="547" spans="1:14" x14ac:dyDescent="0.2">
      <c r="D547" s="1">
        <v>44298</v>
      </c>
      <c r="F547">
        <v>1</v>
      </c>
      <c r="G547">
        <v>0</v>
      </c>
      <c r="H547">
        <v>2.2000000000000002</v>
      </c>
      <c r="I547">
        <v>1.3</v>
      </c>
      <c r="J547">
        <v>2.8</v>
      </c>
      <c r="K547">
        <f>(I547*J547)</f>
        <v>3.6399999999999997</v>
      </c>
      <c r="L547" t="s">
        <v>1219</v>
      </c>
      <c r="M547">
        <v>1</v>
      </c>
      <c r="N547">
        <v>1</v>
      </c>
    </row>
    <row r="548" spans="1:14" x14ac:dyDescent="0.2">
      <c r="F548">
        <v>1</v>
      </c>
      <c r="G548">
        <v>0</v>
      </c>
      <c r="H548">
        <v>1.5</v>
      </c>
      <c r="I548">
        <v>0.9</v>
      </c>
      <c r="J548">
        <v>8.3000000000000007</v>
      </c>
      <c r="K548">
        <f>(I548*J548)</f>
        <v>7.4700000000000006</v>
      </c>
      <c r="L548" t="s">
        <v>1220</v>
      </c>
    </row>
    <row r="549" spans="1:14" x14ac:dyDescent="0.2">
      <c r="F549">
        <v>1</v>
      </c>
      <c r="G549">
        <v>0</v>
      </c>
      <c r="H549">
        <v>1.9</v>
      </c>
      <c r="I549">
        <v>1.1000000000000001</v>
      </c>
      <c r="J549">
        <v>7.7</v>
      </c>
      <c r="K549">
        <f>(I549*J549)</f>
        <v>8.4700000000000006</v>
      </c>
      <c r="L549" t="s">
        <v>1214</v>
      </c>
    </row>
    <row r="550" spans="1:14" x14ac:dyDescent="0.2">
      <c r="F550">
        <v>1</v>
      </c>
      <c r="G550">
        <v>0</v>
      </c>
      <c r="H550">
        <v>2.6</v>
      </c>
      <c r="I550">
        <v>1.6</v>
      </c>
      <c r="J550">
        <v>4.5</v>
      </c>
      <c r="K550">
        <f>(I550*J550)</f>
        <v>7.2</v>
      </c>
      <c r="L550" t="s">
        <v>1221</v>
      </c>
    </row>
    <row r="552" spans="1:14" x14ac:dyDescent="0.2">
      <c r="F552">
        <v>0</v>
      </c>
      <c r="G552">
        <v>1</v>
      </c>
      <c r="H552">
        <v>3.1</v>
      </c>
      <c r="I552">
        <v>2.4</v>
      </c>
      <c r="J552">
        <v>1.8</v>
      </c>
      <c r="K552">
        <f>(I552*J552)</f>
        <v>4.32</v>
      </c>
      <c r="L552" t="s">
        <v>1218</v>
      </c>
    </row>
    <row r="554" spans="1:14" x14ac:dyDescent="0.2">
      <c r="A554">
        <v>30</v>
      </c>
      <c r="B554" t="s">
        <v>1223</v>
      </c>
      <c r="C554" s="1">
        <v>32031</v>
      </c>
      <c r="D554" s="1">
        <v>44127</v>
      </c>
      <c r="E554" t="s">
        <v>1224</v>
      </c>
      <c r="F554">
        <v>1</v>
      </c>
      <c r="G554">
        <v>0</v>
      </c>
      <c r="H554">
        <v>6.7</v>
      </c>
      <c r="I554">
        <v>3.6</v>
      </c>
      <c r="J554">
        <v>6.8</v>
      </c>
      <c r="K554">
        <f t="shared" ref="K554:K607" si="21">(I554*J554)</f>
        <v>24.48</v>
      </c>
      <c r="L554" t="s">
        <v>1225</v>
      </c>
      <c r="M554">
        <v>0</v>
      </c>
      <c r="N554">
        <v>1</v>
      </c>
    </row>
    <row r="555" spans="1:14" x14ac:dyDescent="0.2">
      <c r="F555">
        <v>1</v>
      </c>
      <c r="G555">
        <v>0</v>
      </c>
      <c r="H555">
        <v>5.0999999999999996</v>
      </c>
      <c r="I555">
        <v>3</v>
      </c>
      <c r="J555">
        <v>5.5</v>
      </c>
      <c r="K555">
        <f t="shared" si="21"/>
        <v>16.5</v>
      </c>
      <c r="L555" t="s">
        <v>1226</v>
      </c>
    </row>
    <row r="556" spans="1:14" x14ac:dyDescent="0.2">
      <c r="F556">
        <v>1</v>
      </c>
      <c r="G556">
        <v>0</v>
      </c>
      <c r="H556">
        <v>2.8</v>
      </c>
      <c r="I556">
        <v>1.7</v>
      </c>
      <c r="J556">
        <v>7</v>
      </c>
      <c r="K556">
        <f t="shared" si="21"/>
        <v>11.9</v>
      </c>
      <c r="L556" t="s">
        <v>1230</v>
      </c>
    </row>
    <row r="557" spans="1:14" x14ac:dyDescent="0.2">
      <c r="F557">
        <v>1</v>
      </c>
      <c r="G557">
        <v>0</v>
      </c>
      <c r="H557">
        <v>3.2</v>
      </c>
      <c r="I557">
        <v>1.8</v>
      </c>
      <c r="J557">
        <v>6.3</v>
      </c>
      <c r="K557">
        <f t="shared" si="21"/>
        <v>11.34</v>
      </c>
      <c r="L557" t="s">
        <v>1227</v>
      </c>
    </row>
    <row r="558" spans="1:14" x14ac:dyDescent="0.2">
      <c r="F558">
        <v>1</v>
      </c>
      <c r="G558">
        <v>0</v>
      </c>
      <c r="H558">
        <v>3.9</v>
      </c>
      <c r="I558">
        <v>2.2999999999999998</v>
      </c>
      <c r="J558">
        <v>7.6</v>
      </c>
      <c r="K558">
        <f t="shared" si="21"/>
        <v>17.479999999999997</v>
      </c>
      <c r="L558" t="s">
        <v>1228</v>
      </c>
    </row>
    <row r="559" spans="1:14" x14ac:dyDescent="0.2">
      <c r="F559">
        <v>1</v>
      </c>
      <c r="G559">
        <v>0</v>
      </c>
      <c r="H559">
        <v>10.5</v>
      </c>
      <c r="I559">
        <v>6</v>
      </c>
      <c r="J559">
        <v>35.9</v>
      </c>
      <c r="K559">
        <f t="shared" si="21"/>
        <v>215.39999999999998</v>
      </c>
      <c r="L559" t="s">
        <v>115</v>
      </c>
    </row>
    <row r="560" spans="1:14" x14ac:dyDescent="0.2">
      <c r="F560">
        <v>1</v>
      </c>
      <c r="G560">
        <v>0</v>
      </c>
      <c r="H560">
        <v>11.8</v>
      </c>
      <c r="I560">
        <v>6.3</v>
      </c>
      <c r="J560">
        <v>12</v>
      </c>
      <c r="K560">
        <f t="shared" si="21"/>
        <v>75.599999999999994</v>
      </c>
      <c r="L560" t="s">
        <v>168</v>
      </c>
    </row>
    <row r="561" spans="1:14" x14ac:dyDescent="0.2">
      <c r="F561">
        <v>1</v>
      </c>
      <c r="G561">
        <v>0</v>
      </c>
      <c r="H561">
        <v>4.3</v>
      </c>
      <c r="I561">
        <v>2.2000000000000002</v>
      </c>
      <c r="J561">
        <v>24.3</v>
      </c>
      <c r="K561">
        <f t="shared" si="21"/>
        <v>53.460000000000008</v>
      </c>
      <c r="L561" t="s">
        <v>1229</v>
      </c>
    </row>
    <row r="562" spans="1:14" x14ac:dyDescent="0.2">
      <c r="F562">
        <v>1</v>
      </c>
      <c r="G562">
        <v>0</v>
      </c>
      <c r="H562">
        <v>6.3</v>
      </c>
      <c r="I562">
        <v>3.4</v>
      </c>
      <c r="J562">
        <v>28.6</v>
      </c>
      <c r="K562">
        <f t="shared" si="21"/>
        <v>97.240000000000009</v>
      </c>
      <c r="L562" t="s">
        <v>1231</v>
      </c>
    </row>
    <row r="564" spans="1:14" x14ac:dyDescent="0.2">
      <c r="D564" s="1">
        <v>44326</v>
      </c>
      <c r="F564">
        <v>1</v>
      </c>
      <c r="G564">
        <v>0</v>
      </c>
      <c r="H564">
        <v>4</v>
      </c>
      <c r="I564">
        <v>2.1</v>
      </c>
      <c r="J564">
        <v>8.6</v>
      </c>
      <c r="K564">
        <f t="shared" si="21"/>
        <v>18.059999999999999</v>
      </c>
      <c r="L564" t="s">
        <v>1232</v>
      </c>
      <c r="M564">
        <v>0</v>
      </c>
      <c r="N564">
        <v>1</v>
      </c>
    </row>
    <row r="565" spans="1:14" x14ac:dyDescent="0.2">
      <c r="F565">
        <v>1</v>
      </c>
      <c r="G565">
        <v>0</v>
      </c>
      <c r="H565">
        <v>3.4</v>
      </c>
      <c r="I565">
        <v>2</v>
      </c>
      <c r="J565">
        <v>19.3</v>
      </c>
      <c r="K565">
        <f t="shared" si="21"/>
        <v>38.6</v>
      </c>
      <c r="L565" t="s">
        <v>1233</v>
      </c>
    </row>
    <row r="566" spans="1:14" x14ac:dyDescent="0.2">
      <c r="F566">
        <v>1</v>
      </c>
      <c r="G566">
        <v>0</v>
      </c>
      <c r="H566">
        <v>1.9</v>
      </c>
      <c r="I566">
        <v>1.1000000000000001</v>
      </c>
      <c r="J566">
        <v>23.6</v>
      </c>
      <c r="K566">
        <f t="shared" si="21"/>
        <v>25.960000000000004</v>
      </c>
      <c r="L566" t="s">
        <v>1228</v>
      </c>
    </row>
    <row r="567" spans="1:14" x14ac:dyDescent="0.2">
      <c r="F567">
        <v>1</v>
      </c>
      <c r="G567">
        <v>0</v>
      </c>
      <c r="H567">
        <v>7</v>
      </c>
      <c r="I567">
        <v>4</v>
      </c>
      <c r="J567">
        <v>36.1</v>
      </c>
      <c r="K567">
        <f t="shared" si="21"/>
        <v>144.4</v>
      </c>
      <c r="L567" t="s">
        <v>115</v>
      </c>
    </row>
    <row r="568" spans="1:14" x14ac:dyDescent="0.2">
      <c r="F568">
        <v>1</v>
      </c>
      <c r="G568">
        <v>0</v>
      </c>
      <c r="H568">
        <v>6.7</v>
      </c>
      <c r="I568">
        <v>3.5</v>
      </c>
      <c r="J568">
        <v>22.9</v>
      </c>
      <c r="K568">
        <f t="shared" si="21"/>
        <v>80.149999999999991</v>
      </c>
      <c r="L568" t="s">
        <v>168</v>
      </c>
    </row>
    <row r="569" spans="1:14" x14ac:dyDescent="0.2">
      <c r="F569">
        <v>1</v>
      </c>
      <c r="G569">
        <v>0</v>
      </c>
      <c r="H569">
        <v>2.7</v>
      </c>
      <c r="I569">
        <v>1.6</v>
      </c>
      <c r="J569">
        <v>9.5</v>
      </c>
      <c r="K569">
        <f t="shared" si="21"/>
        <v>15.200000000000001</v>
      </c>
      <c r="L569" t="s">
        <v>702</v>
      </c>
    </row>
    <row r="571" spans="1:14" x14ac:dyDescent="0.2">
      <c r="A571">
        <v>31</v>
      </c>
      <c r="B571" t="s">
        <v>1234</v>
      </c>
      <c r="C571" s="1">
        <v>22275</v>
      </c>
      <c r="D571" s="1">
        <v>44137</v>
      </c>
      <c r="E571" t="s">
        <v>1224</v>
      </c>
      <c r="F571">
        <v>1</v>
      </c>
      <c r="G571">
        <v>0</v>
      </c>
      <c r="H571">
        <v>5.3</v>
      </c>
      <c r="I571">
        <v>3.2</v>
      </c>
      <c r="J571">
        <v>23.9</v>
      </c>
      <c r="K571">
        <f t="shared" si="21"/>
        <v>76.48</v>
      </c>
      <c r="L571" t="s">
        <v>686</v>
      </c>
      <c r="M571">
        <v>1</v>
      </c>
      <c r="N571">
        <v>1</v>
      </c>
    </row>
    <row r="572" spans="1:14" x14ac:dyDescent="0.2">
      <c r="F572">
        <v>1</v>
      </c>
      <c r="G572">
        <v>0</v>
      </c>
      <c r="H572">
        <v>3.8</v>
      </c>
      <c r="I572">
        <v>2.2000000000000002</v>
      </c>
      <c r="J572">
        <v>7.3</v>
      </c>
      <c r="K572">
        <f t="shared" si="21"/>
        <v>16.060000000000002</v>
      </c>
      <c r="L572" t="s">
        <v>701</v>
      </c>
    </row>
    <row r="573" spans="1:14" x14ac:dyDescent="0.2">
      <c r="F573">
        <v>1</v>
      </c>
      <c r="G573">
        <v>0</v>
      </c>
      <c r="H573">
        <v>2</v>
      </c>
      <c r="I573">
        <v>1.2</v>
      </c>
      <c r="J573">
        <v>2.2999999999999998</v>
      </c>
      <c r="K573">
        <f t="shared" si="21"/>
        <v>2.76</v>
      </c>
      <c r="L573" t="s">
        <v>1237</v>
      </c>
    </row>
    <row r="574" spans="1:14" x14ac:dyDescent="0.2">
      <c r="F574">
        <v>1</v>
      </c>
      <c r="G574">
        <v>0</v>
      </c>
      <c r="H574">
        <v>4.5</v>
      </c>
      <c r="I574">
        <v>2.8</v>
      </c>
      <c r="J574">
        <v>8.6999999999999993</v>
      </c>
      <c r="K574">
        <f t="shared" si="21"/>
        <v>24.359999999999996</v>
      </c>
      <c r="L574" t="s">
        <v>1238</v>
      </c>
    </row>
    <row r="575" spans="1:14" x14ac:dyDescent="0.2">
      <c r="F575">
        <v>1</v>
      </c>
      <c r="G575">
        <v>0</v>
      </c>
      <c r="H575">
        <v>5.4</v>
      </c>
      <c r="I575">
        <v>3.3</v>
      </c>
      <c r="J575">
        <v>8.6</v>
      </c>
      <c r="K575">
        <f t="shared" si="21"/>
        <v>28.38</v>
      </c>
      <c r="L575" t="s">
        <v>1239</v>
      </c>
    </row>
    <row r="576" spans="1:14" x14ac:dyDescent="0.2">
      <c r="F576">
        <v>1</v>
      </c>
      <c r="G576">
        <v>0</v>
      </c>
      <c r="H576">
        <v>3.7</v>
      </c>
      <c r="I576">
        <v>2.2000000000000002</v>
      </c>
      <c r="J576">
        <v>9.9</v>
      </c>
      <c r="K576">
        <f t="shared" si="21"/>
        <v>21.78</v>
      </c>
      <c r="L576" t="s">
        <v>1240</v>
      </c>
    </row>
    <row r="578" spans="1:14" x14ac:dyDescent="0.2">
      <c r="F578">
        <v>0</v>
      </c>
      <c r="G578">
        <v>1</v>
      </c>
      <c r="H578">
        <v>4.7</v>
      </c>
      <c r="I578">
        <v>3.1</v>
      </c>
      <c r="J578">
        <v>3.4</v>
      </c>
      <c r="K578">
        <f t="shared" si="21"/>
        <v>10.54</v>
      </c>
      <c r="L578" t="s">
        <v>1235</v>
      </c>
    </row>
    <row r="579" spans="1:14" x14ac:dyDescent="0.2">
      <c r="F579">
        <v>0</v>
      </c>
      <c r="G579">
        <v>1</v>
      </c>
      <c r="H579">
        <v>2.8</v>
      </c>
      <c r="I579">
        <v>1.6</v>
      </c>
      <c r="J579">
        <v>4.2</v>
      </c>
      <c r="K579">
        <f t="shared" si="21"/>
        <v>6.7200000000000006</v>
      </c>
      <c r="L579" t="s">
        <v>1236</v>
      </c>
    </row>
    <row r="580" spans="1:14" x14ac:dyDescent="0.2">
      <c r="F580">
        <v>0</v>
      </c>
      <c r="G580">
        <v>1</v>
      </c>
      <c r="H580">
        <v>4.0999999999999996</v>
      </c>
      <c r="I580">
        <v>2.4</v>
      </c>
      <c r="J580">
        <v>13.1</v>
      </c>
      <c r="K580">
        <f t="shared" si="21"/>
        <v>31.439999999999998</v>
      </c>
      <c r="L580" t="s">
        <v>775</v>
      </c>
    </row>
    <row r="582" spans="1:14" x14ac:dyDescent="0.2">
      <c r="D582" s="1">
        <v>44337</v>
      </c>
      <c r="F582">
        <v>1</v>
      </c>
      <c r="G582">
        <v>0</v>
      </c>
      <c r="H582">
        <v>4.5999999999999996</v>
      </c>
      <c r="I582">
        <v>2.7</v>
      </c>
      <c r="J582">
        <v>16.600000000000001</v>
      </c>
      <c r="K582">
        <f t="shared" si="21"/>
        <v>44.820000000000007</v>
      </c>
      <c r="L582" t="s">
        <v>642</v>
      </c>
      <c r="M582">
        <v>1</v>
      </c>
      <c r="N582">
        <v>1</v>
      </c>
    </row>
    <row r="583" spans="1:14" x14ac:dyDescent="0.2">
      <c r="F583">
        <v>1</v>
      </c>
      <c r="G583">
        <v>0</v>
      </c>
      <c r="H583">
        <v>3.8</v>
      </c>
      <c r="I583">
        <v>2.2000000000000002</v>
      </c>
      <c r="J583">
        <v>23.5</v>
      </c>
      <c r="K583">
        <f t="shared" si="21"/>
        <v>51.7</v>
      </c>
      <c r="L583" t="s">
        <v>641</v>
      </c>
    </row>
    <row r="584" spans="1:14" x14ac:dyDescent="0.2">
      <c r="F584">
        <v>1</v>
      </c>
      <c r="G584">
        <v>0</v>
      </c>
      <c r="H584">
        <v>3.4</v>
      </c>
      <c r="I584">
        <v>2.1</v>
      </c>
      <c r="J584">
        <v>9</v>
      </c>
      <c r="K584">
        <f t="shared" si="21"/>
        <v>18.900000000000002</v>
      </c>
      <c r="L584" t="s">
        <v>1241</v>
      </c>
    </row>
    <row r="586" spans="1:14" x14ac:dyDescent="0.2">
      <c r="F586">
        <v>0</v>
      </c>
      <c r="G586">
        <v>1</v>
      </c>
      <c r="H586">
        <v>4</v>
      </c>
      <c r="I586">
        <v>2.6</v>
      </c>
      <c r="J586">
        <v>10.199999999999999</v>
      </c>
      <c r="K586">
        <f t="shared" si="21"/>
        <v>26.52</v>
      </c>
      <c r="L586" t="s">
        <v>1242</v>
      </c>
    </row>
    <row r="587" spans="1:14" x14ac:dyDescent="0.2">
      <c r="F587">
        <v>0</v>
      </c>
      <c r="G587">
        <v>1</v>
      </c>
      <c r="H587">
        <v>4.8</v>
      </c>
      <c r="I587">
        <v>2.8</v>
      </c>
      <c r="J587">
        <v>6.4</v>
      </c>
      <c r="K587">
        <f t="shared" si="21"/>
        <v>17.919999999999998</v>
      </c>
      <c r="L587" t="s">
        <v>631</v>
      </c>
    </row>
    <row r="589" spans="1:14" x14ac:dyDescent="0.2">
      <c r="A589">
        <v>32</v>
      </c>
      <c r="B589" t="s">
        <v>1243</v>
      </c>
      <c r="C589" s="1">
        <v>19170</v>
      </c>
      <c r="D589" s="1">
        <v>44148</v>
      </c>
      <c r="E589" t="s">
        <v>1224</v>
      </c>
      <c r="F589">
        <v>1</v>
      </c>
      <c r="G589">
        <v>0</v>
      </c>
      <c r="H589">
        <v>4.0999999999999996</v>
      </c>
      <c r="I589">
        <v>2.1</v>
      </c>
      <c r="J589">
        <v>36.6</v>
      </c>
      <c r="K589">
        <f t="shared" si="21"/>
        <v>76.86</v>
      </c>
      <c r="L589" t="s">
        <v>1245</v>
      </c>
      <c r="M589">
        <v>1</v>
      </c>
      <c r="N589">
        <v>1</v>
      </c>
    </row>
    <row r="590" spans="1:14" x14ac:dyDescent="0.2">
      <c r="F590">
        <v>1</v>
      </c>
      <c r="G590">
        <v>0</v>
      </c>
      <c r="H590">
        <v>4</v>
      </c>
      <c r="I590">
        <v>2.5</v>
      </c>
      <c r="J590">
        <v>5</v>
      </c>
      <c r="K590">
        <f t="shared" si="21"/>
        <v>12.5</v>
      </c>
      <c r="L590" t="s">
        <v>701</v>
      </c>
    </row>
    <row r="591" spans="1:14" x14ac:dyDescent="0.2">
      <c r="F591">
        <v>1</v>
      </c>
      <c r="G591">
        <v>0</v>
      </c>
      <c r="H591">
        <v>4.4000000000000004</v>
      </c>
      <c r="I591">
        <v>2.2999999999999998</v>
      </c>
      <c r="J591">
        <v>9</v>
      </c>
      <c r="K591">
        <f t="shared" si="21"/>
        <v>20.7</v>
      </c>
      <c r="L591" t="s">
        <v>702</v>
      </c>
    </row>
    <row r="592" spans="1:14" x14ac:dyDescent="0.2">
      <c r="F592">
        <v>1</v>
      </c>
      <c r="G592">
        <v>0</v>
      </c>
      <c r="H592">
        <v>5.7</v>
      </c>
      <c r="I592">
        <v>3.1</v>
      </c>
      <c r="J592">
        <v>16.5</v>
      </c>
      <c r="K592">
        <f t="shared" si="21"/>
        <v>51.15</v>
      </c>
      <c r="L592" t="s">
        <v>1246</v>
      </c>
    </row>
    <row r="593" spans="6:12" x14ac:dyDescent="0.2">
      <c r="F593">
        <v>1</v>
      </c>
      <c r="G593">
        <v>0</v>
      </c>
      <c r="H593">
        <v>6.9</v>
      </c>
      <c r="I593">
        <v>4</v>
      </c>
      <c r="J593">
        <v>8.3000000000000007</v>
      </c>
      <c r="K593">
        <f t="shared" si="21"/>
        <v>33.200000000000003</v>
      </c>
      <c r="L593" t="s">
        <v>1247</v>
      </c>
    </row>
    <row r="594" spans="6:12" x14ac:dyDescent="0.2">
      <c r="F594">
        <v>1</v>
      </c>
      <c r="G594">
        <v>0</v>
      </c>
      <c r="H594">
        <v>2.8</v>
      </c>
      <c r="I594">
        <v>1.7</v>
      </c>
      <c r="J594">
        <v>8.4</v>
      </c>
      <c r="K594">
        <f t="shared" si="21"/>
        <v>14.28</v>
      </c>
      <c r="L594" t="s">
        <v>1251</v>
      </c>
    </row>
    <row r="595" spans="6:12" x14ac:dyDescent="0.2">
      <c r="F595">
        <v>1</v>
      </c>
      <c r="G595">
        <v>0</v>
      </c>
      <c r="H595">
        <v>2.2000000000000002</v>
      </c>
      <c r="I595">
        <v>1.2</v>
      </c>
      <c r="J595">
        <v>7.9</v>
      </c>
      <c r="K595">
        <f t="shared" si="21"/>
        <v>9.48</v>
      </c>
      <c r="L595" t="s">
        <v>1252</v>
      </c>
    </row>
    <row r="596" spans="6:12" x14ac:dyDescent="0.2">
      <c r="F596">
        <v>1</v>
      </c>
      <c r="G596">
        <v>0</v>
      </c>
      <c r="H596">
        <v>1.8</v>
      </c>
      <c r="I596">
        <v>1.1000000000000001</v>
      </c>
      <c r="J596">
        <v>4.8</v>
      </c>
      <c r="K596">
        <f t="shared" si="21"/>
        <v>5.28</v>
      </c>
      <c r="L596" t="s">
        <v>1253</v>
      </c>
    </row>
    <row r="597" spans="6:12" x14ac:dyDescent="0.2">
      <c r="F597">
        <v>1</v>
      </c>
      <c r="G597">
        <v>0</v>
      </c>
      <c r="H597">
        <v>3.9</v>
      </c>
      <c r="I597">
        <v>2.2999999999999998</v>
      </c>
      <c r="J597">
        <v>5.6</v>
      </c>
      <c r="K597">
        <f t="shared" si="21"/>
        <v>12.879999999999999</v>
      </c>
      <c r="L597" t="s">
        <v>1254</v>
      </c>
    </row>
    <row r="599" spans="6:12" x14ac:dyDescent="0.2">
      <c r="F599">
        <v>0</v>
      </c>
      <c r="G599">
        <v>1</v>
      </c>
      <c r="H599">
        <v>4.8</v>
      </c>
      <c r="I599">
        <v>2.7</v>
      </c>
      <c r="J599">
        <v>6.1</v>
      </c>
      <c r="K599">
        <f t="shared" si="21"/>
        <v>16.47</v>
      </c>
      <c r="L599" t="s">
        <v>629</v>
      </c>
    </row>
    <row r="600" spans="6:12" x14ac:dyDescent="0.2">
      <c r="F600">
        <v>0</v>
      </c>
      <c r="G600">
        <v>1</v>
      </c>
      <c r="H600">
        <v>4.0999999999999996</v>
      </c>
      <c r="I600">
        <v>2</v>
      </c>
      <c r="J600">
        <v>20.6</v>
      </c>
      <c r="K600">
        <f t="shared" si="21"/>
        <v>41.2</v>
      </c>
      <c r="L600" t="s">
        <v>1244</v>
      </c>
    </row>
    <row r="601" spans="6:12" x14ac:dyDescent="0.2">
      <c r="F601">
        <v>0</v>
      </c>
      <c r="G601">
        <v>1</v>
      </c>
      <c r="H601">
        <v>6.5</v>
      </c>
      <c r="I601">
        <v>3.5</v>
      </c>
      <c r="J601">
        <v>56.4</v>
      </c>
      <c r="K601">
        <f t="shared" si="21"/>
        <v>197.4</v>
      </c>
      <c r="L601" t="s">
        <v>835</v>
      </c>
    </row>
    <row r="602" spans="6:12" x14ac:dyDescent="0.2">
      <c r="F602">
        <v>0</v>
      </c>
      <c r="G602">
        <v>1</v>
      </c>
      <c r="H602">
        <v>5</v>
      </c>
      <c r="I602">
        <v>2.2999999999999998</v>
      </c>
      <c r="J602">
        <v>55.5</v>
      </c>
      <c r="K602">
        <f t="shared" si="21"/>
        <v>127.64999999999999</v>
      </c>
      <c r="L602" t="s">
        <v>1272</v>
      </c>
    </row>
    <row r="603" spans="6:12" x14ac:dyDescent="0.2">
      <c r="F603">
        <v>0</v>
      </c>
      <c r="G603">
        <v>1</v>
      </c>
      <c r="H603">
        <v>2.5</v>
      </c>
      <c r="I603">
        <v>1.4</v>
      </c>
      <c r="J603">
        <v>3.7</v>
      </c>
      <c r="K603">
        <f t="shared" si="21"/>
        <v>5.18</v>
      </c>
      <c r="L603" t="s">
        <v>640</v>
      </c>
    </row>
    <row r="604" spans="6:12" x14ac:dyDescent="0.2">
      <c r="F604">
        <v>0</v>
      </c>
      <c r="G604">
        <v>1</v>
      </c>
      <c r="H604">
        <v>3.4</v>
      </c>
      <c r="I604">
        <v>1.9</v>
      </c>
      <c r="J604">
        <v>19.7</v>
      </c>
      <c r="K604">
        <f t="shared" si="21"/>
        <v>37.43</v>
      </c>
      <c r="L604" t="s">
        <v>1248</v>
      </c>
    </row>
    <row r="605" spans="6:12" x14ac:dyDescent="0.2">
      <c r="F605">
        <v>0</v>
      </c>
      <c r="G605">
        <v>1</v>
      </c>
      <c r="H605">
        <v>3.5</v>
      </c>
      <c r="I605">
        <v>2.2000000000000002</v>
      </c>
      <c r="J605">
        <v>16.600000000000001</v>
      </c>
      <c r="K605">
        <f t="shared" si="21"/>
        <v>36.520000000000003</v>
      </c>
      <c r="L605" t="s">
        <v>1249</v>
      </c>
    </row>
    <row r="606" spans="6:12" x14ac:dyDescent="0.2">
      <c r="F606">
        <v>0</v>
      </c>
      <c r="G606">
        <v>1</v>
      </c>
      <c r="H606">
        <v>4.5</v>
      </c>
      <c r="I606">
        <v>2.5</v>
      </c>
      <c r="J606">
        <v>6</v>
      </c>
      <c r="K606">
        <f t="shared" si="21"/>
        <v>15</v>
      </c>
      <c r="L606" t="s">
        <v>1250</v>
      </c>
    </row>
    <row r="607" spans="6:12" x14ac:dyDescent="0.2">
      <c r="F607">
        <v>0</v>
      </c>
      <c r="G607">
        <v>1</v>
      </c>
      <c r="H607">
        <v>4.5</v>
      </c>
      <c r="I607">
        <v>2.6</v>
      </c>
      <c r="J607">
        <v>20.100000000000001</v>
      </c>
      <c r="K607">
        <f t="shared" si="21"/>
        <v>52.260000000000005</v>
      </c>
      <c r="L607" t="s">
        <v>686</v>
      </c>
    </row>
    <row r="609" spans="4:14" x14ac:dyDescent="0.2">
      <c r="D609" s="1">
        <v>44246</v>
      </c>
      <c r="F609">
        <v>1</v>
      </c>
      <c r="G609">
        <v>0</v>
      </c>
      <c r="H609">
        <v>3.8</v>
      </c>
      <c r="I609">
        <v>2.1</v>
      </c>
      <c r="J609">
        <v>7</v>
      </c>
      <c r="K609">
        <f>(I609*J609)</f>
        <v>14.700000000000001</v>
      </c>
      <c r="L609" t="s">
        <v>1270</v>
      </c>
      <c r="M609">
        <v>1</v>
      </c>
      <c r="N609">
        <v>1</v>
      </c>
    </row>
    <row r="610" spans="4:14" x14ac:dyDescent="0.2">
      <c r="F610">
        <v>1</v>
      </c>
      <c r="G610">
        <v>0</v>
      </c>
      <c r="H610">
        <v>5.3</v>
      </c>
      <c r="I610">
        <v>3</v>
      </c>
      <c r="J610">
        <v>4.0999999999999996</v>
      </c>
      <c r="K610">
        <f t="shared" ref="K610:K615" si="22">(I610*J610)</f>
        <v>12.299999999999999</v>
      </c>
      <c r="L610" t="s">
        <v>702</v>
      </c>
    </row>
    <row r="611" spans="4:14" x14ac:dyDescent="0.2">
      <c r="F611">
        <v>1</v>
      </c>
      <c r="G611">
        <v>0</v>
      </c>
      <c r="H611">
        <v>4.3</v>
      </c>
      <c r="I611">
        <v>2.2999999999999998</v>
      </c>
      <c r="J611">
        <v>11</v>
      </c>
      <c r="K611">
        <f t="shared" si="22"/>
        <v>25.299999999999997</v>
      </c>
      <c r="L611" t="s">
        <v>1246</v>
      </c>
    </row>
    <row r="612" spans="4:14" x14ac:dyDescent="0.2">
      <c r="F612">
        <v>1</v>
      </c>
      <c r="G612">
        <v>0</v>
      </c>
      <c r="H612">
        <v>5.3</v>
      </c>
      <c r="I612">
        <v>2.9</v>
      </c>
      <c r="J612">
        <v>18.600000000000001</v>
      </c>
      <c r="K612">
        <f t="shared" si="22"/>
        <v>53.940000000000005</v>
      </c>
      <c r="L612" t="s">
        <v>1247</v>
      </c>
    </row>
    <row r="613" spans="4:14" x14ac:dyDescent="0.2">
      <c r="F613">
        <v>1</v>
      </c>
      <c r="G613">
        <v>0</v>
      </c>
      <c r="H613">
        <v>3.6</v>
      </c>
      <c r="I613">
        <v>2.1</v>
      </c>
      <c r="J613">
        <v>9.8000000000000007</v>
      </c>
      <c r="K613">
        <f t="shared" si="22"/>
        <v>20.580000000000002</v>
      </c>
      <c r="L613" t="s">
        <v>1274</v>
      </c>
    </row>
    <row r="614" spans="4:14" x14ac:dyDescent="0.2">
      <c r="F614">
        <v>1</v>
      </c>
      <c r="G614">
        <v>0</v>
      </c>
      <c r="H614">
        <v>2.1</v>
      </c>
      <c r="I614">
        <v>1.4</v>
      </c>
      <c r="J614">
        <v>7.1</v>
      </c>
      <c r="K614">
        <f t="shared" si="22"/>
        <v>9.94</v>
      </c>
      <c r="L614" t="s">
        <v>1276</v>
      </c>
    </row>
    <row r="615" spans="4:14" x14ac:dyDescent="0.2">
      <c r="F615">
        <v>1</v>
      </c>
      <c r="G615">
        <v>0</v>
      </c>
      <c r="H615">
        <v>1.7</v>
      </c>
      <c r="I615">
        <v>1</v>
      </c>
      <c r="J615">
        <v>5.9</v>
      </c>
      <c r="K615">
        <f t="shared" si="22"/>
        <v>5.9</v>
      </c>
      <c r="L615" t="s">
        <v>1278</v>
      </c>
    </row>
    <row r="617" spans="4:14" x14ac:dyDescent="0.2">
      <c r="F617">
        <v>0</v>
      </c>
      <c r="G617">
        <v>1</v>
      </c>
      <c r="H617">
        <v>3.4</v>
      </c>
      <c r="I617">
        <v>1.9</v>
      </c>
      <c r="J617">
        <v>8.6</v>
      </c>
      <c r="K617">
        <f t="shared" ref="K617:K679" si="23">(I617*J617)</f>
        <v>16.34</v>
      </c>
      <c r="L617" t="s">
        <v>629</v>
      </c>
    </row>
    <row r="618" spans="4:14" x14ac:dyDescent="0.2">
      <c r="F618">
        <v>0</v>
      </c>
      <c r="G618">
        <v>1</v>
      </c>
      <c r="H618">
        <v>3.4</v>
      </c>
      <c r="I618">
        <v>1.7</v>
      </c>
      <c r="J618">
        <v>55.3</v>
      </c>
      <c r="K618">
        <f t="shared" si="23"/>
        <v>94.009999999999991</v>
      </c>
      <c r="L618" t="s">
        <v>106</v>
      </c>
    </row>
    <row r="619" spans="4:14" x14ac:dyDescent="0.2">
      <c r="F619">
        <v>0</v>
      </c>
      <c r="G619">
        <v>1</v>
      </c>
      <c r="H619">
        <v>3.1</v>
      </c>
      <c r="I619">
        <v>1.7</v>
      </c>
      <c r="J619">
        <v>8.6999999999999993</v>
      </c>
      <c r="K619">
        <f t="shared" si="23"/>
        <v>14.79</v>
      </c>
      <c r="L619" t="s">
        <v>165</v>
      </c>
    </row>
    <row r="620" spans="4:14" x14ac:dyDescent="0.2">
      <c r="F620">
        <v>0</v>
      </c>
      <c r="G620">
        <v>1</v>
      </c>
      <c r="H620">
        <v>2.5</v>
      </c>
      <c r="I620">
        <v>1.3</v>
      </c>
      <c r="J620">
        <v>15.2</v>
      </c>
      <c r="K620">
        <f t="shared" si="23"/>
        <v>19.759999999999998</v>
      </c>
      <c r="L620" t="s">
        <v>626</v>
      </c>
    </row>
    <row r="621" spans="4:14" x14ac:dyDescent="0.2">
      <c r="F621">
        <v>0</v>
      </c>
      <c r="G621">
        <v>1</v>
      </c>
      <c r="H621">
        <v>4.5</v>
      </c>
      <c r="I621">
        <v>2.5</v>
      </c>
      <c r="J621">
        <v>81.8</v>
      </c>
      <c r="K621">
        <f t="shared" si="23"/>
        <v>204.5</v>
      </c>
      <c r="L621" t="s">
        <v>1269</v>
      </c>
    </row>
    <row r="622" spans="4:14" x14ac:dyDescent="0.2">
      <c r="F622">
        <v>0</v>
      </c>
      <c r="G622">
        <v>1</v>
      </c>
      <c r="H622">
        <v>7.2</v>
      </c>
      <c r="I622">
        <v>3.7</v>
      </c>
      <c r="J622">
        <v>70</v>
      </c>
      <c r="K622">
        <f t="shared" si="23"/>
        <v>259</v>
      </c>
      <c r="L622" t="s">
        <v>170</v>
      </c>
    </row>
    <row r="623" spans="4:14" x14ac:dyDescent="0.2">
      <c r="F623">
        <v>0</v>
      </c>
      <c r="G623">
        <v>1</v>
      </c>
      <c r="H623">
        <v>3</v>
      </c>
      <c r="I623">
        <v>1.6</v>
      </c>
      <c r="J623">
        <v>122.9</v>
      </c>
      <c r="K623">
        <f t="shared" si="23"/>
        <v>196.64000000000001</v>
      </c>
      <c r="L623" t="s">
        <v>1271</v>
      </c>
    </row>
    <row r="624" spans="4:14" x14ac:dyDescent="0.2">
      <c r="F624">
        <v>0</v>
      </c>
      <c r="G624">
        <v>1</v>
      </c>
      <c r="H624">
        <v>3.4</v>
      </c>
      <c r="I624">
        <v>1.8</v>
      </c>
      <c r="J624">
        <v>28.3</v>
      </c>
      <c r="K624">
        <f t="shared" si="23"/>
        <v>50.940000000000005</v>
      </c>
      <c r="L624" t="s">
        <v>1248</v>
      </c>
    </row>
    <row r="625" spans="1:14" x14ac:dyDescent="0.2">
      <c r="F625">
        <v>0</v>
      </c>
      <c r="G625">
        <v>1</v>
      </c>
      <c r="H625">
        <v>2.4</v>
      </c>
      <c r="I625">
        <v>1.5</v>
      </c>
      <c r="J625">
        <v>3.3</v>
      </c>
      <c r="K625">
        <f t="shared" si="23"/>
        <v>4.9499999999999993</v>
      </c>
      <c r="L625" t="s">
        <v>1275</v>
      </c>
    </row>
    <row r="626" spans="1:14" x14ac:dyDescent="0.2">
      <c r="F626">
        <v>0</v>
      </c>
      <c r="G626">
        <v>1</v>
      </c>
      <c r="H626">
        <v>4.8</v>
      </c>
      <c r="I626">
        <v>2.7</v>
      </c>
      <c r="J626">
        <v>16</v>
      </c>
      <c r="K626">
        <f t="shared" si="23"/>
        <v>43.2</v>
      </c>
      <c r="L626" t="s">
        <v>446</v>
      </c>
    </row>
    <row r="627" spans="1:14" x14ac:dyDescent="0.2">
      <c r="F627">
        <v>0</v>
      </c>
      <c r="G627">
        <v>1</v>
      </c>
      <c r="H627">
        <v>1.9</v>
      </c>
      <c r="I627">
        <v>1.3</v>
      </c>
      <c r="J627">
        <v>2.6</v>
      </c>
      <c r="K627">
        <f t="shared" si="23"/>
        <v>3.3800000000000003</v>
      </c>
      <c r="L627" t="s">
        <v>1277</v>
      </c>
    </row>
    <row r="628" spans="1:14" x14ac:dyDescent="0.2">
      <c r="F628">
        <v>0</v>
      </c>
      <c r="G628">
        <v>1</v>
      </c>
      <c r="H628">
        <v>2.6</v>
      </c>
      <c r="I628">
        <v>1.6</v>
      </c>
      <c r="J628">
        <v>3.6</v>
      </c>
      <c r="K628">
        <f t="shared" si="23"/>
        <v>5.7600000000000007</v>
      </c>
      <c r="L628" t="s">
        <v>1273</v>
      </c>
    </row>
    <row r="630" spans="1:14" x14ac:dyDescent="0.2">
      <c r="A630">
        <v>33</v>
      </c>
      <c r="B630" t="s">
        <v>1279</v>
      </c>
      <c r="C630" s="1">
        <v>21205</v>
      </c>
      <c r="D630" s="1">
        <v>44179</v>
      </c>
      <c r="E630" t="s">
        <v>1224</v>
      </c>
      <c r="F630">
        <v>1</v>
      </c>
      <c r="G630">
        <v>0</v>
      </c>
      <c r="H630">
        <v>2.9</v>
      </c>
      <c r="I630">
        <v>1.8</v>
      </c>
      <c r="J630">
        <v>5.4</v>
      </c>
      <c r="K630">
        <f t="shared" si="23"/>
        <v>9.7200000000000006</v>
      </c>
      <c r="L630" t="s">
        <v>701</v>
      </c>
      <c r="M630">
        <v>1</v>
      </c>
      <c r="N630">
        <v>1</v>
      </c>
    </row>
    <row r="631" spans="1:14" x14ac:dyDescent="0.2">
      <c r="F631">
        <v>1</v>
      </c>
      <c r="G631">
        <v>0</v>
      </c>
      <c r="H631">
        <v>1.9</v>
      </c>
      <c r="I631">
        <v>1.1000000000000001</v>
      </c>
      <c r="J631">
        <v>6.3</v>
      </c>
      <c r="K631">
        <f t="shared" si="23"/>
        <v>6.9300000000000006</v>
      </c>
      <c r="L631" t="s">
        <v>1282</v>
      </c>
    </row>
    <row r="632" spans="1:14" x14ac:dyDescent="0.2">
      <c r="F632">
        <v>1</v>
      </c>
      <c r="G632">
        <v>0</v>
      </c>
      <c r="H632">
        <v>2.9</v>
      </c>
      <c r="I632">
        <v>1.6</v>
      </c>
      <c r="J632">
        <v>7.1</v>
      </c>
      <c r="K632">
        <f t="shared" si="23"/>
        <v>11.36</v>
      </c>
      <c r="L632" t="s">
        <v>1280</v>
      </c>
    </row>
    <row r="633" spans="1:14" x14ac:dyDescent="0.2">
      <c r="F633">
        <v>1</v>
      </c>
      <c r="G633">
        <v>0</v>
      </c>
      <c r="H633">
        <v>2.4</v>
      </c>
      <c r="I633">
        <v>1.7</v>
      </c>
      <c r="J633">
        <v>3.4</v>
      </c>
      <c r="K633">
        <f t="shared" si="23"/>
        <v>5.7799999999999994</v>
      </c>
      <c r="L633" t="s">
        <v>1281</v>
      </c>
    </row>
    <row r="635" spans="1:14" x14ac:dyDescent="0.2">
      <c r="D635" s="1">
        <v>44347</v>
      </c>
      <c r="F635">
        <v>1</v>
      </c>
      <c r="G635">
        <v>0</v>
      </c>
      <c r="H635">
        <v>2.6</v>
      </c>
      <c r="I635">
        <v>1.4</v>
      </c>
      <c r="J635">
        <v>16</v>
      </c>
      <c r="K635">
        <f t="shared" si="23"/>
        <v>22.4</v>
      </c>
      <c r="L635" t="s">
        <v>702</v>
      </c>
      <c r="M635">
        <v>0</v>
      </c>
      <c r="N635">
        <v>1</v>
      </c>
    </row>
    <row r="637" spans="1:14" x14ac:dyDescent="0.2">
      <c r="A637">
        <v>34</v>
      </c>
      <c r="B637" t="s">
        <v>1283</v>
      </c>
      <c r="C637" s="1">
        <v>35319</v>
      </c>
      <c r="D637" s="1">
        <v>44316</v>
      </c>
      <c r="E637" t="s">
        <v>13</v>
      </c>
      <c r="F637">
        <v>1</v>
      </c>
      <c r="G637">
        <v>0</v>
      </c>
      <c r="H637">
        <v>2.4</v>
      </c>
      <c r="I637">
        <v>1.3</v>
      </c>
      <c r="J637">
        <v>7.3</v>
      </c>
      <c r="K637">
        <f t="shared" si="23"/>
        <v>9.49</v>
      </c>
      <c r="L637" t="s">
        <v>629</v>
      </c>
      <c r="M637">
        <v>0</v>
      </c>
      <c r="N637">
        <v>1</v>
      </c>
    </row>
    <row r="638" spans="1:14" x14ac:dyDescent="0.2">
      <c r="F638">
        <v>1</v>
      </c>
      <c r="G638">
        <v>0</v>
      </c>
      <c r="H638">
        <v>1.9</v>
      </c>
      <c r="I638">
        <v>1.1000000000000001</v>
      </c>
      <c r="J638">
        <v>2.1</v>
      </c>
      <c r="K638">
        <f t="shared" si="23"/>
        <v>2.3100000000000005</v>
      </c>
      <c r="L638" t="s">
        <v>1284</v>
      </c>
    </row>
    <row r="639" spans="1:14" x14ac:dyDescent="0.2">
      <c r="F639">
        <v>1</v>
      </c>
      <c r="G639">
        <v>0</v>
      </c>
      <c r="H639">
        <v>8.3000000000000007</v>
      </c>
      <c r="I639">
        <v>5.3</v>
      </c>
      <c r="J639">
        <v>3.1</v>
      </c>
      <c r="K639">
        <f t="shared" si="23"/>
        <v>16.43</v>
      </c>
      <c r="L639" t="s">
        <v>1286</v>
      </c>
    </row>
    <row r="640" spans="1:14" x14ac:dyDescent="0.2">
      <c r="F640">
        <v>1</v>
      </c>
      <c r="G640">
        <v>0</v>
      </c>
      <c r="H640">
        <v>5.4</v>
      </c>
      <c r="I640">
        <v>3.2</v>
      </c>
      <c r="J640">
        <v>1.3</v>
      </c>
      <c r="K640">
        <f t="shared" si="23"/>
        <v>4.16</v>
      </c>
      <c r="L640" t="s">
        <v>1287</v>
      </c>
    </row>
    <row r="641" spans="6:12" x14ac:dyDescent="0.2">
      <c r="F641">
        <v>1</v>
      </c>
      <c r="G641">
        <v>0</v>
      </c>
      <c r="H641">
        <v>7.7</v>
      </c>
      <c r="I641">
        <v>4.3</v>
      </c>
      <c r="J641">
        <v>7.5</v>
      </c>
      <c r="K641">
        <f t="shared" si="23"/>
        <v>32.25</v>
      </c>
      <c r="L641" t="s">
        <v>1285</v>
      </c>
    </row>
    <row r="642" spans="6:12" x14ac:dyDescent="0.2">
      <c r="F642">
        <v>1</v>
      </c>
      <c r="G642">
        <v>0</v>
      </c>
      <c r="H642">
        <v>3.2</v>
      </c>
      <c r="I642">
        <v>1.7</v>
      </c>
      <c r="J642">
        <v>1.9</v>
      </c>
      <c r="K642">
        <f t="shared" si="23"/>
        <v>3.23</v>
      </c>
      <c r="L642" t="s">
        <v>1288</v>
      </c>
    </row>
    <row r="643" spans="6:12" x14ac:dyDescent="0.2">
      <c r="F643">
        <v>1</v>
      </c>
      <c r="G643">
        <v>0</v>
      </c>
      <c r="H643">
        <v>2.9</v>
      </c>
      <c r="I643">
        <v>1.7</v>
      </c>
      <c r="J643">
        <v>1</v>
      </c>
      <c r="K643">
        <f t="shared" si="23"/>
        <v>1.7</v>
      </c>
      <c r="L643" t="s">
        <v>1250</v>
      </c>
    </row>
    <row r="644" spans="6:12" x14ac:dyDescent="0.2">
      <c r="F644">
        <v>1</v>
      </c>
      <c r="G644">
        <v>0</v>
      </c>
      <c r="H644">
        <v>3.9</v>
      </c>
      <c r="I644">
        <v>2.6</v>
      </c>
      <c r="J644">
        <v>1.6</v>
      </c>
      <c r="K644">
        <f t="shared" si="23"/>
        <v>4.16</v>
      </c>
      <c r="L644" t="s">
        <v>1289</v>
      </c>
    </row>
    <row r="645" spans="6:12" x14ac:dyDescent="0.2">
      <c r="F645">
        <v>1</v>
      </c>
      <c r="G645">
        <v>0</v>
      </c>
      <c r="H645">
        <v>3.2</v>
      </c>
      <c r="I645">
        <v>1.9</v>
      </c>
      <c r="J645">
        <v>1.1000000000000001</v>
      </c>
      <c r="K645">
        <f t="shared" si="23"/>
        <v>2.09</v>
      </c>
      <c r="L645" t="s">
        <v>1290</v>
      </c>
    </row>
    <row r="646" spans="6:12" x14ac:dyDescent="0.2">
      <c r="F646">
        <v>1</v>
      </c>
      <c r="G646">
        <v>0</v>
      </c>
      <c r="H646">
        <v>2.4</v>
      </c>
      <c r="I646">
        <v>1.4</v>
      </c>
      <c r="J646">
        <v>2.4</v>
      </c>
      <c r="K646">
        <f t="shared" si="23"/>
        <v>3.36</v>
      </c>
      <c r="L646" t="s">
        <v>1291</v>
      </c>
    </row>
    <row r="647" spans="6:12" x14ac:dyDescent="0.2">
      <c r="F647">
        <v>1</v>
      </c>
      <c r="G647">
        <v>0</v>
      </c>
      <c r="H647">
        <v>7.5</v>
      </c>
      <c r="I647">
        <v>4.0999999999999996</v>
      </c>
      <c r="J647">
        <v>11.7</v>
      </c>
      <c r="K647">
        <f t="shared" si="23"/>
        <v>47.969999999999992</v>
      </c>
      <c r="L647" t="s">
        <v>1292</v>
      </c>
    </row>
    <row r="648" spans="6:12" x14ac:dyDescent="0.2">
      <c r="F648">
        <v>1</v>
      </c>
      <c r="G648">
        <v>0</v>
      </c>
      <c r="H648">
        <v>4.5</v>
      </c>
      <c r="I648">
        <v>2.8</v>
      </c>
      <c r="J648">
        <v>5.7</v>
      </c>
      <c r="K648">
        <f t="shared" si="23"/>
        <v>15.959999999999999</v>
      </c>
      <c r="L648" t="s">
        <v>1293</v>
      </c>
    </row>
    <row r="649" spans="6:12" x14ac:dyDescent="0.2">
      <c r="F649">
        <v>1</v>
      </c>
      <c r="G649">
        <v>0</v>
      </c>
      <c r="H649">
        <v>6.8</v>
      </c>
      <c r="I649">
        <v>4.5</v>
      </c>
      <c r="J649">
        <v>4.2</v>
      </c>
      <c r="K649">
        <f t="shared" si="23"/>
        <v>18.900000000000002</v>
      </c>
      <c r="L649" t="s">
        <v>1294</v>
      </c>
    </row>
    <row r="650" spans="6:12" x14ac:dyDescent="0.2">
      <c r="F650">
        <v>1</v>
      </c>
      <c r="G650">
        <v>0</v>
      </c>
      <c r="H650">
        <v>4.3</v>
      </c>
      <c r="I650">
        <v>3.2</v>
      </c>
      <c r="J650">
        <v>2.2999999999999998</v>
      </c>
      <c r="K650">
        <f t="shared" si="23"/>
        <v>7.3599999999999994</v>
      </c>
      <c r="L650" t="s">
        <v>1278</v>
      </c>
    </row>
    <row r="651" spans="6:12" x14ac:dyDescent="0.2">
      <c r="F651">
        <v>1</v>
      </c>
      <c r="G651">
        <v>0</v>
      </c>
      <c r="H651">
        <v>7.6</v>
      </c>
      <c r="I651">
        <v>4.2</v>
      </c>
      <c r="J651">
        <v>12</v>
      </c>
      <c r="K651">
        <f t="shared" si="23"/>
        <v>50.400000000000006</v>
      </c>
      <c r="L651" t="s">
        <v>1295</v>
      </c>
    </row>
    <row r="652" spans="6:12" x14ac:dyDescent="0.2">
      <c r="F652">
        <v>1</v>
      </c>
      <c r="G652">
        <v>0</v>
      </c>
      <c r="H652">
        <v>4.5999999999999996</v>
      </c>
      <c r="I652">
        <v>2.8</v>
      </c>
      <c r="J652">
        <v>2.9</v>
      </c>
      <c r="K652">
        <f t="shared" si="23"/>
        <v>8.1199999999999992</v>
      </c>
      <c r="L652" t="s">
        <v>1296</v>
      </c>
    </row>
    <row r="653" spans="6:12" x14ac:dyDescent="0.2">
      <c r="F653">
        <v>1</v>
      </c>
      <c r="G653">
        <v>0</v>
      </c>
      <c r="H653">
        <v>3.8</v>
      </c>
      <c r="I653">
        <v>2.4</v>
      </c>
      <c r="J653">
        <v>7.4</v>
      </c>
      <c r="K653">
        <f t="shared" si="23"/>
        <v>17.760000000000002</v>
      </c>
      <c r="L653" t="s">
        <v>1297</v>
      </c>
    </row>
    <row r="654" spans="6:12" x14ac:dyDescent="0.2">
      <c r="F654">
        <v>1</v>
      </c>
      <c r="G654">
        <v>0</v>
      </c>
      <c r="H654">
        <v>4.3</v>
      </c>
      <c r="I654">
        <v>2.7</v>
      </c>
      <c r="J654">
        <v>2.2000000000000002</v>
      </c>
      <c r="K654">
        <f t="shared" si="23"/>
        <v>5.9400000000000013</v>
      </c>
      <c r="L654" t="s">
        <v>1276</v>
      </c>
    </row>
    <row r="655" spans="6:12" x14ac:dyDescent="0.2">
      <c r="F655">
        <v>1</v>
      </c>
      <c r="G655">
        <v>0</v>
      </c>
      <c r="H655">
        <v>4.5999999999999996</v>
      </c>
      <c r="I655">
        <v>2.7</v>
      </c>
      <c r="J655">
        <v>4.3</v>
      </c>
      <c r="K655">
        <f t="shared" si="23"/>
        <v>11.61</v>
      </c>
      <c r="L655" t="s">
        <v>1298</v>
      </c>
    </row>
    <row r="656" spans="6:12" x14ac:dyDescent="0.2">
      <c r="F656">
        <v>1</v>
      </c>
      <c r="G656">
        <v>0</v>
      </c>
      <c r="H656">
        <v>10</v>
      </c>
      <c r="I656">
        <v>5.3</v>
      </c>
      <c r="J656">
        <v>15.5</v>
      </c>
      <c r="K656">
        <f t="shared" si="23"/>
        <v>82.149999999999991</v>
      </c>
      <c r="L656" t="s">
        <v>817</v>
      </c>
    </row>
    <row r="658" spans="1:14" x14ac:dyDescent="0.2">
      <c r="D658" s="1">
        <v>44452</v>
      </c>
      <c r="F658">
        <v>1</v>
      </c>
      <c r="G658">
        <v>0</v>
      </c>
      <c r="H658">
        <v>3.1</v>
      </c>
      <c r="I658">
        <v>1.5</v>
      </c>
      <c r="J658">
        <v>50.3</v>
      </c>
      <c r="K658">
        <f t="shared" si="23"/>
        <v>75.449999999999989</v>
      </c>
      <c r="L658" t="s">
        <v>1231</v>
      </c>
      <c r="M658">
        <v>1</v>
      </c>
      <c r="N658">
        <v>1</v>
      </c>
    </row>
    <row r="659" spans="1:14" x14ac:dyDescent="0.2">
      <c r="F659">
        <v>1</v>
      </c>
      <c r="G659">
        <v>0</v>
      </c>
      <c r="H659">
        <v>1.8</v>
      </c>
      <c r="I659">
        <v>1</v>
      </c>
      <c r="J659">
        <v>12.6</v>
      </c>
      <c r="K659">
        <f t="shared" si="23"/>
        <v>12.6</v>
      </c>
      <c r="L659" t="s">
        <v>1299</v>
      </c>
    </row>
    <row r="660" spans="1:14" x14ac:dyDescent="0.2">
      <c r="F660">
        <v>1</v>
      </c>
      <c r="G660">
        <v>0</v>
      </c>
      <c r="H660">
        <v>1.7</v>
      </c>
      <c r="I660">
        <v>1.1000000000000001</v>
      </c>
      <c r="J660">
        <v>2.2000000000000002</v>
      </c>
      <c r="K660">
        <f t="shared" si="23"/>
        <v>2.4200000000000004</v>
      </c>
      <c r="L660" t="s">
        <v>1300</v>
      </c>
    </row>
    <row r="661" spans="1:14" x14ac:dyDescent="0.2">
      <c r="F661">
        <v>1</v>
      </c>
      <c r="G661">
        <v>0</v>
      </c>
      <c r="H661">
        <v>1.4</v>
      </c>
      <c r="I661">
        <v>0.8</v>
      </c>
      <c r="J661">
        <v>9.6</v>
      </c>
      <c r="K661">
        <f t="shared" si="23"/>
        <v>7.68</v>
      </c>
      <c r="L661" t="s">
        <v>672</v>
      </c>
    </row>
    <row r="662" spans="1:14" x14ac:dyDescent="0.2">
      <c r="F662">
        <v>1</v>
      </c>
      <c r="G662">
        <v>0</v>
      </c>
      <c r="H662">
        <v>2.2000000000000002</v>
      </c>
      <c r="I662">
        <v>1.3</v>
      </c>
      <c r="J662">
        <v>24</v>
      </c>
      <c r="K662">
        <f t="shared" si="23"/>
        <v>31.200000000000003</v>
      </c>
      <c r="L662" t="s">
        <v>1295</v>
      </c>
    </row>
    <row r="663" spans="1:14" x14ac:dyDescent="0.2">
      <c r="F663">
        <v>1</v>
      </c>
      <c r="G663">
        <v>0</v>
      </c>
      <c r="H663">
        <v>3.3</v>
      </c>
      <c r="I663">
        <v>2.2000000000000002</v>
      </c>
      <c r="J663">
        <v>3.1</v>
      </c>
      <c r="K663">
        <f t="shared" si="23"/>
        <v>6.8200000000000012</v>
      </c>
      <c r="L663" t="s">
        <v>1294</v>
      </c>
    </row>
    <row r="664" spans="1:14" x14ac:dyDescent="0.2">
      <c r="F664">
        <v>1</v>
      </c>
      <c r="G664">
        <v>0</v>
      </c>
      <c r="H664">
        <v>1.8</v>
      </c>
      <c r="I664">
        <v>1.3</v>
      </c>
      <c r="J664">
        <v>4.4000000000000004</v>
      </c>
      <c r="K664">
        <f t="shared" si="23"/>
        <v>5.7200000000000006</v>
      </c>
      <c r="L664" t="s">
        <v>1278</v>
      </c>
    </row>
    <row r="665" spans="1:14" x14ac:dyDescent="0.2">
      <c r="F665">
        <v>1</v>
      </c>
      <c r="G665">
        <v>0</v>
      </c>
      <c r="H665">
        <v>1.2</v>
      </c>
      <c r="I665">
        <v>0.8</v>
      </c>
      <c r="J665">
        <v>4.5999999999999996</v>
      </c>
      <c r="K665">
        <f t="shared" si="23"/>
        <v>3.6799999999999997</v>
      </c>
      <c r="L665" t="s">
        <v>1276</v>
      </c>
    </row>
    <row r="667" spans="1:14" x14ac:dyDescent="0.2">
      <c r="F667">
        <v>0</v>
      </c>
      <c r="G667">
        <v>1</v>
      </c>
      <c r="H667">
        <v>4.5999999999999996</v>
      </c>
      <c r="I667">
        <v>2.6</v>
      </c>
      <c r="J667">
        <v>7.8</v>
      </c>
      <c r="K667">
        <f t="shared" si="23"/>
        <v>20.28</v>
      </c>
      <c r="L667" t="s">
        <v>1301</v>
      </c>
    </row>
    <row r="668" spans="1:14" x14ac:dyDescent="0.2">
      <c r="F668">
        <v>0</v>
      </c>
      <c r="G668">
        <v>1</v>
      </c>
      <c r="H668">
        <v>1.3</v>
      </c>
      <c r="I668">
        <v>0.9</v>
      </c>
      <c r="J668">
        <v>4.7</v>
      </c>
      <c r="K668">
        <f t="shared" si="23"/>
        <v>4.2300000000000004</v>
      </c>
      <c r="L668" t="s">
        <v>1302</v>
      </c>
    </row>
    <row r="670" spans="1:14" x14ac:dyDescent="0.2">
      <c r="A670">
        <v>35</v>
      </c>
      <c r="B670" t="s">
        <v>1303</v>
      </c>
      <c r="C670" s="1">
        <v>29802</v>
      </c>
      <c r="D670" s="1">
        <v>44218</v>
      </c>
      <c r="E670" t="s">
        <v>387</v>
      </c>
      <c r="F670">
        <v>1</v>
      </c>
      <c r="G670">
        <v>0</v>
      </c>
      <c r="H670">
        <v>5.7</v>
      </c>
      <c r="I670">
        <v>3.2</v>
      </c>
      <c r="J670">
        <v>6.7</v>
      </c>
      <c r="K670">
        <f t="shared" si="23"/>
        <v>21.44</v>
      </c>
      <c r="L670" t="s">
        <v>1304</v>
      </c>
      <c r="M670">
        <v>0</v>
      </c>
      <c r="N670">
        <v>1</v>
      </c>
    </row>
    <row r="671" spans="1:14" x14ac:dyDescent="0.2">
      <c r="F671">
        <v>1</v>
      </c>
      <c r="G671">
        <v>0</v>
      </c>
      <c r="H671">
        <v>5.8</v>
      </c>
      <c r="I671">
        <v>3.5</v>
      </c>
      <c r="J671">
        <v>4.5999999999999996</v>
      </c>
      <c r="K671">
        <f t="shared" si="23"/>
        <v>16.099999999999998</v>
      </c>
      <c r="L671" t="s">
        <v>1305</v>
      </c>
    </row>
    <row r="672" spans="1:14" x14ac:dyDescent="0.2">
      <c r="F672">
        <v>1</v>
      </c>
      <c r="G672">
        <v>0</v>
      </c>
      <c r="H672">
        <v>4</v>
      </c>
      <c r="I672">
        <v>2.2000000000000002</v>
      </c>
      <c r="J672">
        <v>21.1</v>
      </c>
      <c r="K672">
        <f t="shared" si="23"/>
        <v>46.420000000000009</v>
      </c>
      <c r="L672" t="s">
        <v>642</v>
      </c>
    </row>
    <row r="673" spans="1:14" x14ac:dyDescent="0.2">
      <c r="F673">
        <v>1</v>
      </c>
      <c r="G673">
        <v>0</v>
      </c>
      <c r="H673">
        <v>4.7</v>
      </c>
      <c r="I673">
        <v>1.6</v>
      </c>
      <c r="J673">
        <v>7.6</v>
      </c>
      <c r="K673">
        <f t="shared" si="23"/>
        <v>12.16</v>
      </c>
      <c r="L673" t="s">
        <v>1306</v>
      </c>
    </row>
    <row r="674" spans="1:14" x14ac:dyDescent="0.2">
      <c r="F674">
        <v>1</v>
      </c>
      <c r="G674">
        <v>0</v>
      </c>
      <c r="H674">
        <v>5.7</v>
      </c>
      <c r="I674">
        <v>2.9</v>
      </c>
      <c r="J674">
        <v>32.200000000000003</v>
      </c>
      <c r="K674">
        <f t="shared" si="23"/>
        <v>93.38000000000001</v>
      </c>
      <c r="L674" t="s">
        <v>1307</v>
      </c>
    </row>
    <row r="675" spans="1:14" x14ac:dyDescent="0.2">
      <c r="F675">
        <v>1</v>
      </c>
      <c r="G675">
        <v>0</v>
      </c>
      <c r="H675">
        <v>2.4</v>
      </c>
      <c r="I675">
        <v>1.3</v>
      </c>
      <c r="J675">
        <v>34.5</v>
      </c>
      <c r="K675">
        <f t="shared" si="23"/>
        <v>44.85</v>
      </c>
      <c r="L675" t="s">
        <v>169</v>
      </c>
    </row>
    <row r="676" spans="1:14" x14ac:dyDescent="0.2">
      <c r="F676">
        <v>1</v>
      </c>
      <c r="G676">
        <v>0</v>
      </c>
      <c r="H676">
        <v>4.5999999999999996</v>
      </c>
      <c r="I676">
        <v>2.4</v>
      </c>
      <c r="J676">
        <v>28.4</v>
      </c>
      <c r="K676">
        <f t="shared" si="23"/>
        <v>68.16</v>
      </c>
      <c r="L676" t="s">
        <v>1308</v>
      </c>
    </row>
    <row r="678" spans="1:14" x14ac:dyDescent="0.2">
      <c r="D678" s="1">
        <v>44361</v>
      </c>
      <c r="F678">
        <v>1</v>
      </c>
      <c r="G678">
        <v>0</v>
      </c>
      <c r="H678">
        <v>4.0999999999999996</v>
      </c>
      <c r="I678">
        <v>2.2999999999999998</v>
      </c>
      <c r="J678">
        <v>3.7</v>
      </c>
      <c r="K678">
        <f t="shared" si="23"/>
        <v>8.51</v>
      </c>
      <c r="L678" t="s">
        <v>1309</v>
      </c>
      <c r="M678">
        <v>0</v>
      </c>
      <c r="N678">
        <v>1</v>
      </c>
    </row>
    <row r="679" spans="1:14" x14ac:dyDescent="0.2">
      <c r="F679">
        <v>1</v>
      </c>
      <c r="G679">
        <v>0</v>
      </c>
      <c r="H679">
        <v>3</v>
      </c>
      <c r="I679">
        <v>1.7</v>
      </c>
      <c r="J679">
        <v>17.3</v>
      </c>
      <c r="K679">
        <f t="shared" si="23"/>
        <v>29.41</v>
      </c>
      <c r="L679" t="s">
        <v>1307</v>
      </c>
    </row>
    <row r="680" spans="1:14" x14ac:dyDescent="0.2">
      <c r="F680">
        <v>1</v>
      </c>
      <c r="G680">
        <v>0</v>
      </c>
      <c r="H680">
        <v>3.7</v>
      </c>
      <c r="I680">
        <v>1.9</v>
      </c>
      <c r="J680">
        <v>46.2</v>
      </c>
      <c r="K680">
        <f t="shared" ref="K680:K737" si="24">(I680*J680)</f>
        <v>87.78</v>
      </c>
      <c r="L680" t="s">
        <v>169</v>
      </c>
    </row>
    <row r="681" spans="1:14" x14ac:dyDescent="0.2">
      <c r="F681">
        <v>1</v>
      </c>
      <c r="G681">
        <v>0</v>
      </c>
      <c r="H681">
        <v>2</v>
      </c>
      <c r="I681">
        <v>1.1000000000000001</v>
      </c>
      <c r="J681">
        <v>4.5999999999999996</v>
      </c>
      <c r="K681">
        <f t="shared" si="24"/>
        <v>5.0599999999999996</v>
      </c>
      <c r="L681" t="s">
        <v>1310</v>
      </c>
    </row>
    <row r="683" spans="1:14" x14ac:dyDescent="0.2">
      <c r="A683">
        <v>35</v>
      </c>
      <c r="B683" t="s">
        <v>1311</v>
      </c>
      <c r="C683" s="1">
        <v>29807</v>
      </c>
      <c r="D683" s="1">
        <v>44393</v>
      </c>
      <c r="E683" t="s">
        <v>447</v>
      </c>
      <c r="F683">
        <v>1</v>
      </c>
      <c r="G683">
        <v>0</v>
      </c>
      <c r="H683">
        <v>3</v>
      </c>
      <c r="I683">
        <v>1.7</v>
      </c>
      <c r="J683">
        <v>11.7</v>
      </c>
      <c r="K683">
        <f t="shared" si="24"/>
        <v>19.889999999999997</v>
      </c>
      <c r="L683" t="s">
        <v>1312</v>
      </c>
      <c r="M683">
        <v>1</v>
      </c>
      <c r="N683">
        <v>1</v>
      </c>
    </row>
    <row r="684" spans="1:14" x14ac:dyDescent="0.2">
      <c r="F684">
        <v>1</v>
      </c>
      <c r="G684">
        <v>0</v>
      </c>
      <c r="H684">
        <v>2.8</v>
      </c>
      <c r="I684">
        <v>1.4</v>
      </c>
      <c r="J684">
        <v>112</v>
      </c>
      <c r="K684">
        <f t="shared" si="24"/>
        <v>156.79999999999998</v>
      </c>
      <c r="L684" t="s">
        <v>802</v>
      </c>
    </row>
    <row r="685" spans="1:14" x14ac:dyDescent="0.2">
      <c r="F685">
        <v>1</v>
      </c>
      <c r="G685">
        <v>0</v>
      </c>
      <c r="H685">
        <v>2.8</v>
      </c>
      <c r="I685">
        <v>1.7</v>
      </c>
      <c r="J685">
        <v>6.9</v>
      </c>
      <c r="K685">
        <f t="shared" si="24"/>
        <v>11.73</v>
      </c>
      <c r="L685" t="s">
        <v>1313</v>
      </c>
    </row>
    <row r="686" spans="1:14" x14ac:dyDescent="0.2">
      <c r="F686">
        <v>1</v>
      </c>
      <c r="G686">
        <v>0</v>
      </c>
      <c r="H686">
        <v>5</v>
      </c>
      <c r="I686">
        <v>3.1</v>
      </c>
      <c r="J686">
        <v>9.9</v>
      </c>
      <c r="K686">
        <f t="shared" si="24"/>
        <v>30.69</v>
      </c>
      <c r="L686" t="s">
        <v>1314</v>
      </c>
    </row>
    <row r="687" spans="1:14" x14ac:dyDescent="0.2">
      <c r="F687">
        <v>1</v>
      </c>
      <c r="G687">
        <v>0</v>
      </c>
      <c r="H687">
        <v>3.1</v>
      </c>
      <c r="I687">
        <v>1.9</v>
      </c>
      <c r="J687">
        <v>4.4000000000000004</v>
      </c>
      <c r="K687">
        <f t="shared" si="24"/>
        <v>8.36</v>
      </c>
      <c r="L687" t="s">
        <v>1315</v>
      </c>
    </row>
    <row r="688" spans="1:14" x14ac:dyDescent="0.2">
      <c r="F688">
        <v>1</v>
      </c>
      <c r="G688">
        <v>0</v>
      </c>
      <c r="H688">
        <v>3.9</v>
      </c>
      <c r="I688">
        <v>2.2999999999999998</v>
      </c>
      <c r="J688">
        <v>3.3</v>
      </c>
      <c r="K688">
        <f t="shared" si="24"/>
        <v>7.589999999999999</v>
      </c>
      <c r="L688" t="s">
        <v>688</v>
      </c>
    </row>
    <row r="689" spans="4:14" x14ac:dyDescent="0.2">
      <c r="F689">
        <v>1</v>
      </c>
      <c r="G689">
        <v>0</v>
      </c>
      <c r="H689">
        <v>2.6</v>
      </c>
      <c r="I689">
        <v>1.5</v>
      </c>
      <c r="J689">
        <v>6.3</v>
      </c>
      <c r="K689">
        <f t="shared" si="24"/>
        <v>9.4499999999999993</v>
      </c>
      <c r="L689" t="s">
        <v>1316</v>
      </c>
    </row>
    <row r="690" spans="4:14" x14ac:dyDescent="0.2">
      <c r="F690">
        <v>1</v>
      </c>
      <c r="G690">
        <v>0</v>
      </c>
      <c r="H690">
        <v>2.9</v>
      </c>
      <c r="I690">
        <v>1.8</v>
      </c>
      <c r="J690">
        <v>10.3</v>
      </c>
      <c r="K690">
        <f t="shared" si="24"/>
        <v>18.540000000000003</v>
      </c>
      <c r="L690" t="s">
        <v>1317</v>
      </c>
    </row>
    <row r="691" spans="4:14" x14ac:dyDescent="0.2">
      <c r="F691">
        <v>1</v>
      </c>
      <c r="G691">
        <v>0</v>
      </c>
      <c r="H691">
        <v>2.6</v>
      </c>
      <c r="I691">
        <v>1.5</v>
      </c>
      <c r="J691">
        <v>20.3</v>
      </c>
      <c r="K691">
        <f t="shared" si="24"/>
        <v>30.450000000000003</v>
      </c>
      <c r="L691" t="s">
        <v>1319</v>
      </c>
    </row>
    <row r="692" spans="4:14" x14ac:dyDescent="0.2">
      <c r="F692">
        <v>1</v>
      </c>
      <c r="G692">
        <v>0</v>
      </c>
      <c r="H692">
        <v>3.4</v>
      </c>
      <c r="I692">
        <v>1.9</v>
      </c>
      <c r="J692">
        <v>31.6</v>
      </c>
      <c r="K692">
        <f t="shared" si="24"/>
        <v>60.04</v>
      </c>
      <c r="L692" t="s">
        <v>1320</v>
      </c>
    </row>
    <row r="693" spans="4:14" x14ac:dyDescent="0.2">
      <c r="F693">
        <v>1</v>
      </c>
      <c r="G693">
        <v>0</v>
      </c>
      <c r="H693">
        <v>3</v>
      </c>
      <c r="I693">
        <v>1.7</v>
      </c>
      <c r="J693">
        <v>17.899999999999999</v>
      </c>
      <c r="K693">
        <f t="shared" si="24"/>
        <v>30.429999999999996</v>
      </c>
      <c r="L693" t="s">
        <v>1321</v>
      </c>
    </row>
    <row r="694" spans="4:14" x14ac:dyDescent="0.2">
      <c r="F694">
        <v>1</v>
      </c>
      <c r="G694">
        <v>0</v>
      </c>
      <c r="H694">
        <v>5.0999999999999996</v>
      </c>
      <c r="I694">
        <v>2.5</v>
      </c>
      <c r="J694">
        <v>24.6</v>
      </c>
      <c r="K694">
        <f t="shared" si="24"/>
        <v>61.5</v>
      </c>
      <c r="L694" t="s">
        <v>1292</v>
      </c>
    </row>
    <row r="695" spans="4:14" x14ac:dyDescent="0.2">
      <c r="F695">
        <v>1</v>
      </c>
      <c r="G695">
        <v>0</v>
      </c>
      <c r="H695">
        <v>2.2000000000000002</v>
      </c>
      <c r="I695">
        <v>1.8</v>
      </c>
      <c r="J695">
        <v>5.3</v>
      </c>
      <c r="K695">
        <f t="shared" si="24"/>
        <v>9.5399999999999991</v>
      </c>
      <c r="L695" t="s">
        <v>1322</v>
      </c>
    </row>
    <row r="696" spans="4:14" x14ac:dyDescent="0.2">
      <c r="F696">
        <v>1</v>
      </c>
      <c r="G696">
        <v>0</v>
      </c>
      <c r="H696">
        <v>3.1</v>
      </c>
      <c r="I696">
        <v>2</v>
      </c>
      <c r="J696">
        <v>9.1999999999999993</v>
      </c>
      <c r="K696">
        <f t="shared" si="24"/>
        <v>18.399999999999999</v>
      </c>
      <c r="L696" t="s">
        <v>1323</v>
      </c>
    </row>
    <row r="698" spans="4:14" x14ac:dyDescent="0.2">
      <c r="F698">
        <v>0</v>
      </c>
      <c r="G698">
        <v>1</v>
      </c>
      <c r="H698">
        <v>2.5</v>
      </c>
      <c r="I698">
        <v>1.7</v>
      </c>
      <c r="J698">
        <v>2.6</v>
      </c>
      <c r="K698">
        <f t="shared" si="24"/>
        <v>4.42</v>
      </c>
      <c r="L698" t="s">
        <v>1216</v>
      </c>
    </row>
    <row r="699" spans="4:14" x14ac:dyDescent="0.2">
      <c r="F699">
        <v>0</v>
      </c>
      <c r="G699">
        <v>1</v>
      </c>
      <c r="H699">
        <v>2.2999999999999998</v>
      </c>
      <c r="I699">
        <v>1.4</v>
      </c>
      <c r="J699">
        <v>4.7</v>
      </c>
      <c r="K699">
        <f t="shared" si="24"/>
        <v>6.58</v>
      </c>
      <c r="L699" t="s">
        <v>1318</v>
      </c>
    </row>
    <row r="701" spans="4:14" x14ac:dyDescent="0.2">
      <c r="D701" s="1">
        <v>44494</v>
      </c>
      <c r="F701">
        <v>1</v>
      </c>
      <c r="G701">
        <v>0</v>
      </c>
      <c r="H701">
        <v>3.4</v>
      </c>
      <c r="I701">
        <v>1.7</v>
      </c>
      <c r="J701">
        <v>65.099999999999994</v>
      </c>
      <c r="K701">
        <f t="shared" si="24"/>
        <v>110.66999999999999</v>
      </c>
      <c r="L701" t="s">
        <v>817</v>
      </c>
      <c r="M701">
        <v>1</v>
      </c>
      <c r="N701">
        <v>1</v>
      </c>
    </row>
    <row r="702" spans="4:14" x14ac:dyDescent="0.2">
      <c r="F702">
        <v>1</v>
      </c>
      <c r="G702">
        <v>0</v>
      </c>
      <c r="H702">
        <v>2.2000000000000002</v>
      </c>
      <c r="I702">
        <v>1.3</v>
      </c>
      <c r="J702">
        <v>3.4</v>
      </c>
      <c r="K702">
        <f t="shared" si="24"/>
        <v>4.42</v>
      </c>
      <c r="L702" t="s">
        <v>1315</v>
      </c>
    </row>
    <row r="703" spans="4:14" x14ac:dyDescent="0.2">
      <c r="F703">
        <v>1</v>
      </c>
      <c r="G703">
        <v>0</v>
      </c>
      <c r="H703">
        <v>3.8</v>
      </c>
      <c r="I703">
        <v>2.1</v>
      </c>
      <c r="J703">
        <v>9</v>
      </c>
      <c r="K703">
        <f t="shared" si="24"/>
        <v>18.900000000000002</v>
      </c>
      <c r="L703" t="s">
        <v>1324</v>
      </c>
    </row>
    <row r="704" spans="4:14" x14ac:dyDescent="0.2">
      <c r="F704">
        <v>1</v>
      </c>
      <c r="G704">
        <v>0</v>
      </c>
      <c r="H704">
        <v>3.3</v>
      </c>
      <c r="I704">
        <v>1.8</v>
      </c>
      <c r="J704">
        <v>9.4</v>
      </c>
      <c r="K704">
        <f t="shared" si="24"/>
        <v>16.920000000000002</v>
      </c>
      <c r="L704" t="s">
        <v>688</v>
      </c>
    </row>
    <row r="705" spans="6:12" x14ac:dyDescent="0.2">
      <c r="F705">
        <v>1</v>
      </c>
      <c r="G705">
        <v>0</v>
      </c>
      <c r="H705">
        <v>3.5</v>
      </c>
      <c r="I705">
        <v>1.8</v>
      </c>
      <c r="J705">
        <v>32.700000000000003</v>
      </c>
      <c r="K705">
        <f t="shared" si="24"/>
        <v>58.860000000000007</v>
      </c>
      <c r="L705" t="s">
        <v>1325</v>
      </c>
    </row>
    <row r="706" spans="6:12" x14ac:dyDescent="0.2">
      <c r="F706">
        <v>1</v>
      </c>
      <c r="G706">
        <v>0</v>
      </c>
      <c r="H706">
        <v>2.2999999999999998</v>
      </c>
      <c r="I706">
        <v>1.4</v>
      </c>
      <c r="J706">
        <v>8.3000000000000007</v>
      </c>
      <c r="K706">
        <f t="shared" si="24"/>
        <v>11.620000000000001</v>
      </c>
      <c r="L706" t="s">
        <v>1326</v>
      </c>
    </row>
    <row r="707" spans="6:12" x14ac:dyDescent="0.2">
      <c r="F707">
        <v>1</v>
      </c>
      <c r="G707">
        <v>0</v>
      </c>
      <c r="H707">
        <v>4.7</v>
      </c>
      <c r="I707">
        <v>2.8</v>
      </c>
      <c r="J707">
        <v>6.6</v>
      </c>
      <c r="K707">
        <f t="shared" si="24"/>
        <v>18.479999999999997</v>
      </c>
      <c r="L707" t="s">
        <v>1250</v>
      </c>
    </row>
    <row r="708" spans="6:12" x14ac:dyDescent="0.2">
      <c r="F708">
        <v>1</v>
      </c>
      <c r="G708">
        <v>0</v>
      </c>
      <c r="H708">
        <v>4.3</v>
      </c>
      <c r="I708">
        <v>2.4</v>
      </c>
      <c r="J708">
        <v>8.1999999999999993</v>
      </c>
      <c r="K708">
        <f t="shared" si="24"/>
        <v>19.679999999999996</v>
      </c>
      <c r="L708" t="s">
        <v>1327</v>
      </c>
    </row>
    <row r="709" spans="6:12" x14ac:dyDescent="0.2">
      <c r="F709">
        <v>1</v>
      </c>
      <c r="G709">
        <v>0</v>
      </c>
      <c r="H709">
        <v>3.4</v>
      </c>
      <c r="I709">
        <v>2.2000000000000002</v>
      </c>
      <c r="J709">
        <v>3.7</v>
      </c>
      <c r="K709">
        <f t="shared" si="24"/>
        <v>8.14</v>
      </c>
      <c r="L709" t="s">
        <v>1328</v>
      </c>
    </row>
    <row r="710" spans="6:12" x14ac:dyDescent="0.2">
      <c r="F710">
        <v>1</v>
      </c>
      <c r="G710">
        <v>0</v>
      </c>
      <c r="H710">
        <v>3.1</v>
      </c>
      <c r="I710">
        <v>1.8</v>
      </c>
      <c r="J710">
        <v>12</v>
      </c>
      <c r="K710">
        <f t="shared" si="24"/>
        <v>21.6</v>
      </c>
      <c r="L710" t="s">
        <v>1282</v>
      </c>
    </row>
    <row r="711" spans="6:12" x14ac:dyDescent="0.2">
      <c r="F711">
        <v>1</v>
      </c>
      <c r="G711">
        <v>0</v>
      </c>
      <c r="H711">
        <v>3.1</v>
      </c>
      <c r="I711">
        <v>1.8</v>
      </c>
      <c r="J711">
        <v>11.7</v>
      </c>
      <c r="K711">
        <f t="shared" si="24"/>
        <v>21.06</v>
      </c>
      <c r="L711" t="s">
        <v>1329</v>
      </c>
    </row>
    <row r="712" spans="6:12" x14ac:dyDescent="0.2">
      <c r="F712">
        <v>1</v>
      </c>
      <c r="G712">
        <v>0</v>
      </c>
      <c r="H712">
        <v>3.8</v>
      </c>
      <c r="I712">
        <v>2.1</v>
      </c>
      <c r="J712">
        <v>32.799999999999997</v>
      </c>
      <c r="K712">
        <f t="shared" si="24"/>
        <v>68.88</v>
      </c>
      <c r="L712" t="s">
        <v>1330</v>
      </c>
    </row>
    <row r="713" spans="6:12" x14ac:dyDescent="0.2">
      <c r="F713">
        <v>1</v>
      </c>
      <c r="G713">
        <v>0</v>
      </c>
      <c r="H713">
        <v>4</v>
      </c>
      <c r="I713">
        <v>2.2000000000000002</v>
      </c>
      <c r="J713">
        <v>9.5</v>
      </c>
      <c r="K713">
        <f t="shared" si="24"/>
        <v>20.900000000000002</v>
      </c>
      <c r="L713" t="s">
        <v>1323</v>
      </c>
    </row>
    <row r="714" spans="6:12" x14ac:dyDescent="0.2">
      <c r="F714">
        <v>1</v>
      </c>
      <c r="G714">
        <v>0</v>
      </c>
      <c r="H714">
        <v>2.7</v>
      </c>
      <c r="I714">
        <v>1.7</v>
      </c>
      <c r="J714">
        <v>5.6</v>
      </c>
      <c r="K714">
        <f t="shared" si="24"/>
        <v>9.52</v>
      </c>
      <c r="L714" t="s">
        <v>1216</v>
      </c>
    </row>
    <row r="715" spans="6:12" x14ac:dyDescent="0.2">
      <c r="F715">
        <v>1</v>
      </c>
      <c r="G715">
        <v>0</v>
      </c>
      <c r="H715">
        <v>3</v>
      </c>
      <c r="I715">
        <v>1.9</v>
      </c>
      <c r="J715">
        <v>6.2</v>
      </c>
      <c r="K715">
        <f t="shared" si="24"/>
        <v>11.78</v>
      </c>
      <c r="L715" t="s">
        <v>1331</v>
      </c>
    </row>
    <row r="716" spans="6:12" x14ac:dyDescent="0.2">
      <c r="F716">
        <v>1</v>
      </c>
      <c r="G716">
        <v>0</v>
      </c>
      <c r="H716">
        <v>2.9</v>
      </c>
      <c r="I716">
        <v>1.9</v>
      </c>
      <c r="J716">
        <v>15.1</v>
      </c>
      <c r="K716">
        <f t="shared" si="24"/>
        <v>28.689999999999998</v>
      </c>
      <c r="L716" t="s">
        <v>1277</v>
      </c>
    </row>
    <row r="717" spans="6:12" x14ac:dyDescent="0.2">
      <c r="F717">
        <v>1</v>
      </c>
      <c r="G717">
        <v>0</v>
      </c>
      <c r="H717">
        <v>2.9</v>
      </c>
      <c r="I717">
        <v>1.7</v>
      </c>
      <c r="J717">
        <v>9.5</v>
      </c>
      <c r="K717">
        <f t="shared" si="24"/>
        <v>16.149999999999999</v>
      </c>
      <c r="L717" t="s">
        <v>1221</v>
      </c>
    </row>
    <row r="718" spans="6:12" x14ac:dyDescent="0.2">
      <c r="F718">
        <v>1</v>
      </c>
      <c r="G718">
        <v>0</v>
      </c>
      <c r="H718">
        <v>3.1</v>
      </c>
      <c r="I718">
        <v>1.8</v>
      </c>
      <c r="J718">
        <v>18.899999999999999</v>
      </c>
      <c r="K718">
        <f t="shared" si="24"/>
        <v>34.019999999999996</v>
      </c>
      <c r="L718" t="s">
        <v>1332</v>
      </c>
    </row>
    <row r="720" spans="6:12" x14ac:dyDescent="0.2">
      <c r="F720">
        <v>0</v>
      </c>
      <c r="G720">
        <v>1</v>
      </c>
      <c r="H720">
        <v>2.2999999999999998</v>
      </c>
      <c r="I720">
        <v>1.2</v>
      </c>
      <c r="J720">
        <v>45.8</v>
      </c>
      <c r="K720">
        <f t="shared" si="24"/>
        <v>54.959999999999994</v>
      </c>
      <c r="L720" t="s">
        <v>106</v>
      </c>
    </row>
    <row r="722" spans="1:14" x14ac:dyDescent="0.2">
      <c r="A722">
        <v>36</v>
      </c>
      <c r="B722" t="s">
        <v>1071</v>
      </c>
      <c r="C722" s="1">
        <v>21583</v>
      </c>
      <c r="D722" s="1">
        <v>44235</v>
      </c>
      <c r="E722" t="s">
        <v>447</v>
      </c>
      <c r="F722">
        <v>1</v>
      </c>
      <c r="G722">
        <v>0</v>
      </c>
      <c r="H722">
        <v>2.9</v>
      </c>
      <c r="I722">
        <v>1.5</v>
      </c>
      <c r="J722">
        <v>15.7</v>
      </c>
      <c r="K722">
        <f t="shared" si="24"/>
        <v>23.549999999999997</v>
      </c>
      <c r="L722" t="s">
        <v>1333</v>
      </c>
      <c r="M722">
        <v>1</v>
      </c>
      <c r="N722">
        <v>1</v>
      </c>
    </row>
    <row r="723" spans="1:14" x14ac:dyDescent="0.2">
      <c r="F723">
        <v>1</v>
      </c>
      <c r="G723">
        <v>0</v>
      </c>
      <c r="H723">
        <v>2.7</v>
      </c>
      <c r="I723">
        <v>1.5</v>
      </c>
      <c r="J723">
        <v>7.9</v>
      </c>
      <c r="K723">
        <f t="shared" si="24"/>
        <v>11.850000000000001</v>
      </c>
      <c r="L723" t="s">
        <v>1334</v>
      </c>
    </row>
    <row r="724" spans="1:14" x14ac:dyDescent="0.2">
      <c r="F724">
        <v>1</v>
      </c>
      <c r="G724">
        <v>0</v>
      </c>
      <c r="H724">
        <v>3.4</v>
      </c>
      <c r="I724">
        <v>1.8</v>
      </c>
      <c r="J724">
        <v>12.1</v>
      </c>
      <c r="K724">
        <f t="shared" si="24"/>
        <v>21.78</v>
      </c>
      <c r="L724" t="s">
        <v>769</v>
      </c>
    </row>
    <row r="725" spans="1:14" x14ac:dyDescent="0.2">
      <c r="F725">
        <v>1</v>
      </c>
      <c r="G725">
        <v>0</v>
      </c>
      <c r="H725">
        <v>3.1</v>
      </c>
      <c r="I725">
        <v>1.7</v>
      </c>
      <c r="J725">
        <v>15.5</v>
      </c>
      <c r="K725">
        <f t="shared" si="24"/>
        <v>26.349999999999998</v>
      </c>
      <c r="L725" t="s">
        <v>703</v>
      </c>
    </row>
    <row r="726" spans="1:14" x14ac:dyDescent="0.2">
      <c r="F726">
        <v>1</v>
      </c>
      <c r="G726">
        <v>0</v>
      </c>
      <c r="H726">
        <v>2.6</v>
      </c>
      <c r="I726">
        <v>1.4</v>
      </c>
      <c r="J726">
        <v>9.4</v>
      </c>
      <c r="K726">
        <f t="shared" si="24"/>
        <v>13.16</v>
      </c>
      <c r="L726" t="s">
        <v>1337</v>
      </c>
    </row>
    <row r="727" spans="1:14" x14ac:dyDescent="0.2">
      <c r="F727">
        <v>1</v>
      </c>
      <c r="G727">
        <v>0</v>
      </c>
      <c r="H727">
        <v>6.6</v>
      </c>
      <c r="I727">
        <v>3.5</v>
      </c>
      <c r="J727">
        <v>35.299999999999997</v>
      </c>
      <c r="K727">
        <f t="shared" si="24"/>
        <v>123.54999999999998</v>
      </c>
      <c r="L727" t="s">
        <v>1246</v>
      </c>
    </row>
    <row r="728" spans="1:14" x14ac:dyDescent="0.2">
      <c r="F728">
        <v>1</v>
      </c>
      <c r="G728">
        <v>0</v>
      </c>
      <c r="H728">
        <v>4.3</v>
      </c>
      <c r="I728">
        <v>2.2999999999999998</v>
      </c>
      <c r="J728">
        <v>31.4</v>
      </c>
      <c r="K728">
        <f t="shared" si="24"/>
        <v>72.219999999999985</v>
      </c>
      <c r="L728" t="s">
        <v>1338</v>
      </c>
    </row>
    <row r="729" spans="1:14" x14ac:dyDescent="0.2">
      <c r="F729">
        <v>1</v>
      </c>
      <c r="G729">
        <v>0</v>
      </c>
      <c r="H729">
        <v>4</v>
      </c>
      <c r="I729">
        <v>2.5</v>
      </c>
      <c r="J729">
        <v>4.5</v>
      </c>
      <c r="K729">
        <f t="shared" si="24"/>
        <v>11.25</v>
      </c>
      <c r="L729" t="s">
        <v>1339</v>
      </c>
    </row>
    <row r="730" spans="1:14" x14ac:dyDescent="0.2">
      <c r="F730">
        <v>1</v>
      </c>
      <c r="G730">
        <v>0</v>
      </c>
      <c r="H730">
        <v>4.4000000000000004</v>
      </c>
      <c r="I730">
        <v>2.8</v>
      </c>
      <c r="J730">
        <v>16.7</v>
      </c>
      <c r="K730">
        <f t="shared" si="24"/>
        <v>46.76</v>
      </c>
      <c r="L730" t="s">
        <v>1340</v>
      </c>
    </row>
    <row r="731" spans="1:14" x14ac:dyDescent="0.2">
      <c r="F731">
        <v>1</v>
      </c>
      <c r="G731">
        <v>0</v>
      </c>
      <c r="H731">
        <v>5.6</v>
      </c>
      <c r="I731">
        <v>3.2</v>
      </c>
      <c r="J731">
        <v>11.8</v>
      </c>
      <c r="K731">
        <f t="shared" si="24"/>
        <v>37.760000000000005</v>
      </c>
      <c r="L731" t="s">
        <v>1291</v>
      </c>
    </row>
    <row r="732" spans="1:14" x14ac:dyDescent="0.2">
      <c r="F732">
        <v>1</v>
      </c>
      <c r="G732">
        <v>0</v>
      </c>
      <c r="H732">
        <v>4.8</v>
      </c>
      <c r="I732">
        <v>2.8</v>
      </c>
      <c r="J732">
        <v>11.5</v>
      </c>
      <c r="K732">
        <f t="shared" si="24"/>
        <v>32.199999999999996</v>
      </c>
      <c r="L732" t="s">
        <v>1341</v>
      </c>
    </row>
    <row r="733" spans="1:14" x14ac:dyDescent="0.2">
      <c r="F733">
        <v>1</v>
      </c>
      <c r="G733">
        <v>0</v>
      </c>
      <c r="H733">
        <v>6.5</v>
      </c>
      <c r="I733">
        <v>3.9</v>
      </c>
      <c r="J733">
        <v>50.9</v>
      </c>
      <c r="K733">
        <f t="shared" si="24"/>
        <v>198.51</v>
      </c>
      <c r="L733" t="s">
        <v>1292</v>
      </c>
    </row>
    <row r="734" spans="1:14" x14ac:dyDescent="0.2">
      <c r="F734">
        <v>1</v>
      </c>
      <c r="G734">
        <v>0</v>
      </c>
      <c r="H734">
        <v>2.6</v>
      </c>
      <c r="I734">
        <v>1.7</v>
      </c>
      <c r="J734">
        <v>3</v>
      </c>
      <c r="K734">
        <f t="shared" si="24"/>
        <v>5.0999999999999996</v>
      </c>
      <c r="L734" t="s">
        <v>1342</v>
      </c>
    </row>
    <row r="735" spans="1:14" x14ac:dyDescent="0.2">
      <c r="F735">
        <v>1</v>
      </c>
      <c r="G735">
        <v>0</v>
      </c>
      <c r="H735">
        <v>7.2</v>
      </c>
      <c r="I735">
        <v>3.9</v>
      </c>
      <c r="J735">
        <v>29.2</v>
      </c>
      <c r="K735">
        <f t="shared" si="24"/>
        <v>113.88</v>
      </c>
      <c r="L735" t="s">
        <v>1295</v>
      </c>
    </row>
    <row r="736" spans="1:14" x14ac:dyDescent="0.2">
      <c r="F736">
        <v>1</v>
      </c>
      <c r="G736">
        <v>0</v>
      </c>
      <c r="H736">
        <v>4.7</v>
      </c>
      <c r="I736">
        <v>3.1</v>
      </c>
      <c r="J736">
        <v>9.6</v>
      </c>
      <c r="K736">
        <f t="shared" si="24"/>
        <v>29.759999999999998</v>
      </c>
      <c r="L736" t="s">
        <v>1297</v>
      </c>
    </row>
    <row r="737" spans="4:14" x14ac:dyDescent="0.2">
      <c r="F737">
        <v>1</v>
      </c>
      <c r="G737">
        <v>0</v>
      </c>
      <c r="H737">
        <v>4.5999999999999996</v>
      </c>
      <c r="I737">
        <v>2.9</v>
      </c>
      <c r="J737">
        <v>7.4</v>
      </c>
      <c r="K737">
        <f t="shared" si="24"/>
        <v>21.46</v>
      </c>
      <c r="L737" t="s">
        <v>1294</v>
      </c>
    </row>
    <row r="739" spans="4:14" x14ac:dyDescent="0.2">
      <c r="F739">
        <v>0</v>
      </c>
      <c r="G739">
        <v>1</v>
      </c>
      <c r="H739">
        <v>2.7</v>
      </c>
      <c r="I739">
        <v>1.5</v>
      </c>
      <c r="J739">
        <v>5.7</v>
      </c>
      <c r="K739">
        <f>(I739*J739)</f>
        <v>8.5500000000000007</v>
      </c>
      <c r="L739" t="s">
        <v>1335</v>
      </c>
    </row>
    <row r="740" spans="4:14" x14ac:dyDescent="0.2">
      <c r="F740">
        <v>0</v>
      </c>
      <c r="G740">
        <v>1</v>
      </c>
      <c r="H740">
        <v>3</v>
      </c>
      <c r="I740">
        <v>1.8</v>
      </c>
      <c r="J740">
        <v>3.7</v>
      </c>
      <c r="K740">
        <f>(I740*J740)</f>
        <v>6.66</v>
      </c>
      <c r="L740" t="s">
        <v>1336</v>
      </c>
    </row>
    <row r="742" spans="4:14" x14ac:dyDescent="0.2">
      <c r="D742" s="1">
        <v>44396</v>
      </c>
      <c r="F742">
        <v>1</v>
      </c>
      <c r="G742">
        <v>0</v>
      </c>
      <c r="H742">
        <v>3.6</v>
      </c>
      <c r="I742">
        <v>1.9</v>
      </c>
      <c r="J742">
        <v>12</v>
      </c>
      <c r="K742">
        <f t="shared" ref="K742:K778" si="25">(I742*J742)</f>
        <v>22.799999999999997</v>
      </c>
      <c r="L742" t="s">
        <v>165</v>
      </c>
      <c r="M742">
        <v>1</v>
      </c>
      <c r="N742">
        <v>1</v>
      </c>
    </row>
    <row r="743" spans="4:14" x14ac:dyDescent="0.2">
      <c r="F743">
        <v>1</v>
      </c>
      <c r="G743">
        <v>0</v>
      </c>
      <c r="H743">
        <v>2.7</v>
      </c>
      <c r="I743">
        <v>1.4</v>
      </c>
      <c r="J743">
        <v>18.600000000000001</v>
      </c>
      <c r="K743">
        <f t="shared" si="25"/>
        <v>26.04</v>
      </c>
      <c r="L743" t="s">
        <v>105</v>
      </c>
    </row>
    <row r="744" spans="4:14" x14ac:dyDescent="0.2">
      <c r="F744">
        <v>1</v>
      </c>
      <c r="G744">
        <v>0</v>
      </c>
      <c r="H744">
        <v>3.1</v>
      </c>
      <c r="I744">
        <v>1.7</v>
      </c>
      <c r="J744">
        <v>12.6</v>
      </c>
      <c r="K744">
        <f t="shared" si="25"/>
        <v>21.419999999999998</v>
      </c>
      <c r="L744" t="s">
        <v>1343</v>
      </c>
    </row>
    <row r="745" spans="4:14" x14ac:dyDescent="0.2">
      <c r="F745">
        <v>1</v>
      </c>
      <c r="G745">
        <v>0</v>
      </c>
      <c r="H745">
        <v>2.7</v>
      </c>
      <c r="I745">
        <v>1.4</v>
      </c>
      <c r="J745">
        <v>13.9</v>
      </c>
      <c r="K745">
        <f t="shared" si="25"/>
        <v>19.46</v>
      </c>
      <c r="L745" t="s">
        <v>702</v>
      </c>
    </row>
    <row r="746" spans="4:14" x14ac:dyDescent="0.2">
      <c r="F746">
        <v>1</v>
      </c>
      <c r="G746">
        <v>0</v>
      </c>
      <c r="H746">
        <v>7</v>
      </c>
      <c r="I746">
        <v>3.9</v>
      </c>
      <c r="J746">
        <v>20.2</v>
      </c>
      <c r="K746">
        <f t="shared" si="25"/>
        <v>78.78</v>
      </c>
      <c r="L746" t="s">
        <v>1308</v>
      </c>
    </row>
    <row r="747" spans="4:14" x14ac:dyDescent="0.2">
      <c r="F747">
        <v>1</v>
      </c>
      <c r="G747">
        <v>0</v>
      </c>
      <c r="H747">
        <v>5.5</v>
      </c>
      <c r="I747">
        <v>3</v>
      </c>
      <c r="J747">
        <v>29.4</v>
      </c>
      <c r="K747">
        <f t="shared" si="25"/>
        <v>88.199999999999989</v>
      </c>
      <c r="L747" t="s">
        <v>1338</v>
      </c>
    </row>
    <row r="748" spans="4:14" x14ac:dyDescent="0.2">
      <c r="F748">
        <v>1</v>
      </c>
      <c r="G748">
        <v>0</v>
      </c>
      <c r="H748">
        <v>4.7</v>
      </c>
      <c r="I748">
        <v>2.8</v>
      </c>
      <c r="J748">
        <v>22.1</v>
      </c>
      <c r="K748">
        <f t="shared" si="25"/>
        <v>61.88</v>
      </c>
      <c r="L748" t="s">
        <v>1345</v>
      </c>
    </row>
    <row r="749" spans="4:14" x14ac:dyDescent="0.2">
      <c r="F749">
        <v>1</v>
      </c>
      <c r="G749">
        <v>0</v>
      </c>
      <c r="H749">
        <v>5.6</v>
      </c>
      <c r="I749">
        <v>3.2</v>
      </c>
      <c r="J749">
        <v>13.2</v>
      </c>
      <c r="K749">
        <f t="shared" si="25"/>
        <v>42.24</v>
      </c>
      <c r="L749" t="s">
        <v>672</v>
      </c>
    </row>
    <row r="750" spans="4:14" x14ac:dyDescent="0.2">
      <c r="F750">
        <v>1</v>
      </c>
      <c r="G750">
        <v>0</v>
      </c>
      <c r="H750">
        <v>4.8</v>
      </c>
      <c r="I750">
        <v>2.9</v>
      </c>
      <c r="J750">
        <v>4.5</v>
      </c>
      <c r="K750">
        <f t="shared" si="25"/>
        <v>13.049999999999999</v>
      </c>
      <c r="L750" t="s">
        <v>1348</v>
      </c>
    </row>
    <row r="751" spans="4:14" x14ac:dyDescent="0.2">
      <c r="F751">
        <v>1</v>
      </c>
      <c r="G751">
        <v>0</v>
      </c>
      <c r="H751">
        <v>3.7</v>
      </c>
      <c r="I751">
        <v>2.1</v>
      </c>
      <c r="J751">
        <v>15.4</v>
      </c>
      <c r="K751">
        <f t="shared" si="25"/>
        <v>32.340000000000003</v>
      </c>
      <c r="L751" t="s">
        <v>1349</v>
      </c>
    </row>
    <row r="752" spans="4:14" x14ac:dyDescent="0.2">
      <c r="F752">
        <v>1</v>
      </c>
      <c r="G752">
        <v>0</v>
      </c>
      <c r="H752">
        <v>9.1</v>
      </c>
      <c r="I752">
        <v>5</v>
      </c>
      <c r="J752">
        <v>35.6</v>
      </c>
      <c r="K752">
        <f t="shared" si="25"/>
        <v>178</v>
      </c>
      <c r="L752" t="s">
        <v>1292</v>
      </c>
    </row>
    <row r="753" spans="4:14" x14ac:dyDescent="0.2">
      <c r="F753">
        <v>1</v>
      </c>
      <c r="G753">
        <v>0</v>
      </c>
      <c r="H753">
        <v>4.5</v>
      </c>
      <c r="I753">
        <v>2.7</v>
      </c>
      <c r="J753">
        <v>5.2</v>
      </c>
      <c r="K753">
        <f t="shared" si="25"/>
        <v>14.040000000000001</v>
      </c>
      <c r="L753" t="s">
        <v>1350</v>
      </c>
    </row>
    <row r="754" spans="4:14" x14ac:dyDescent="0.2">
      <c r="F754">
        <v>1</v>
      </c>
      <c r="G754">
        <v>0</v>
      </c>
      <c r="H754">
        <v>4.2</v>
      </c>
      <c r="I754">
        <v>2.6</v>
      </c>
      <c r="J754">
        <v>1.9</v>
      </c>
      <c r="K754">
        <f t="shared" si="25"/>
        <v>4.9399999999999995</v>
      </c>
      <c r="L754" t="s">
        <v>1351</v>
      </c>
    </row>
    <row r="755" spans="4:14" x14ac:dyDescent="0.2">
      <c r="F755">
        <v>1</v>
      </c>
      <c r="G755">
        <v>0</v>
      </c>
      <c r="H755">
        <v>9.8000000000000007</v>
      </c>
      <c r="I755">
        <v>5.4</v>
      </c>
      <c r="J755">
        <v>25.8</v>
      </c>
      <c r="K755">
        <f t="shared" si="25"/>
        <v>139.32000000000002</v>
      </c>
      <c r="L755" t="s">
        <v>1295</v>
      </c>
    </row>
    <row r="756" spans="4:14" x14ac:dyDescent="0.2">
      <c r="F756">
        <v>1</v>
      </c>
      <c r="G756">
        <v>0</v>
      </c>
      <c r="H756">
        <v>2.4</v>
      </c>
      <c r="I756">
        <v>1.4</v>
      </c>
      <c r="J756">
        <v>2.6</v>
      </c>
      <c r="K756">
        <f t="shared" si="25"/>
        <v>3.6399999999999997</v>
      </c>
      <c r="L756" t="s">
        <v>1352</v>
      </c>
    </row>
    <row r="757" spans="4:14" x14ac:dyDescent="0.2">
      <c r="F757">
        <v>1</v>
      </c>
      <c r="G757">
        <v>0</v>
      </c>
      <c r="H757">
        <v>7.2</v>
      </c>
      <c r="I757">
        <v>4.4000000000000004</v>
      </c>
      <c r="J757">
        <v>10.7</v>
      </c>
      <c r="K757">
        <f t="shared" si="25"/>
        <v>47.08</v>
      </c>
      <c r="L757" t="s">
        <v>1297</v>
      </c>
    </row>
    <row r="758" spans="4:14" x14ac:dyDescent="0.2">
      <c r="F758">
        <v>1</v>
      </c>
      <c r="G758">
        <v>0</v>
      </c>
      <c r="H758">
        <v>6.5</v>
      </c>
      <c r="I758">
        <v>4.3</v>
      </c>
      <c r="J758">
        <v>10.4</v>
      </c>
      <c r="K758">
        <f t="shared" si="25"/>
        <v>44.72</v>
      </c>
      <c r="L758" t="s">
        <v>1353</v>
      </c>
    </row>
    <row r="760" spans="4:14" x14ac:dyDescent="0.2">
      <c r="F760">
        <v>0</v>
      </c>
      <c r="G760">
        <v>1</v>
      </c>
      <c r="H760">
        <v>2.4</v>
      </c>
      <c r="I760">
        <v>1.4</v>
      </c>
      <c r="J760">
        <v>4.2</v>
      </c>
      <c r="K760">
        <f t="shared" si="25"/>
        <v>5.88</v>
      </c>
      <c r="L760" t="s">
        <v>1344</v>
      </c>
    </row>
    <row r="761" spans="4:14" x14ac:dyDescent="0.2">
      <c r="F761">
        <v>0</v>
      </c>
      <c r="G761">
        <v>1</v>
      </c>
      <c r="H761">
        <v>2.1</v>
      </c>
      <c r="I761">
        <v>1.5</v>
      </c>
      <c r="J761">
        <v>1.8</v>
      </c>
      <c r="K761">
        <f t="shared" si="25"/>
        <v>2.7</v>
      </c>
      <c r="L761" t="s">
        <v>1346</v>
      </c>
    </row>
    <row r="762" spans="4:14" x14ac:dyDescent="0.2">
      <c r="F762">
        <v>0</v>
      </c>
      <c r="G762">
        <v>1</v>
      </c>
      <c r="H762">
        <v>2.6</v>
      </c>
      <c r="I762">
        <v>1.6</v>
      </c>
      <c r="J762">
        <v>2.6</v>
      </c>
      <c r="K762">
        <f t="shared" si="25"/>
        <v>4.16</v>
      </c>
      <c r="L762" t="s">
        <v>1347</v>
      </c>
    </row>
    <row r="763" spans="4:14" x14ac:dyDescent="0.2">
      <c r="F763">
        <v>0</v>
      </c>
      <c r="G763">
        <v>1</v>
      </c>
      <c r="H763">
        <v>2.7</v>
      </c>
      <c r="I763">
        <v>1.6</v>
      </c>
      <c r="J763">
        <v>3.4</v>
      </c>
      <c r="K763">
        <f t="shared" si="25"/>
        <v>5.44</v>
      </c>
      <c r="L763" t="s">
        <v>1331</v>
      </c>
    </row>
    <row r="765" spans="4:14" x14ac:dyDescent="0.2">
      <c r="D765" s="1">
        <v>44613</v>
      </c>
      <c r="F765">
        <v>1</v>
      </c>
      <c r="G765">
        <v>0</v>
      </c>
      <c r="H765">
        <v>8.1999999999999993</v>
      </c>
      <c r="I765">
        <v>4.9000000000000004</v>
      </c>
      <c r="J765">
        <v>21.7</v>
      </c>
      <c r="K765">
        <f t="shared" si="25"/>
        <v>106.33</v>
      </c>
      <c r="L765" t="s">
        <v>701</v>
      </c>
      <c r="M765">
        <v>1</v>
      </c>
      <c r="N765">
        <v>1</v>
      </c>
    </row>
    <row r="766" spans="4:14" x14ac:dyDescent="0.2">
      <c r="F766">
        <v>1</v>
      </c>
      <c r="G766">
        <v>0</v>
      </c>
      <c r="H766">
        <v>5.0999999999999996</v>
      </c>
      <c r="I766">
        <v>3</v>
      </c>
      <c r="J766">
        <v>6.1</v>
      </c>
      <c r="K766">
        <f t="shared" si="25"/>
        <v>18.299999999999997</v>
      </c>
      <c r="L766" t="s">
        <v>1357</v>
      </c>
    </row>
    <row r="767" spans="4:14" x14ac:dyDescent="0.2">
      <c r="F767">
        <v>1</v>
      </c>
      <c r="G767">
        <v>0</v>
      </c>
      <c r="H767">
        <v>5.8</v>
      </c>
      <c r="I767">
        <v>4.2</v>
      </c>
      <c r="J767">
        <v>23.4</v>
      </c>
      <c r="K767">
        <f t="shared" si="25"/>
        <v>98.28</v>
      </c>
      <c r="L767" t="s">
        <v>693</v>
      </c>
    </row>
    <row r="768" spans="4:14" x14ac:dyDescent="0.2">
      <c r="F768">
        <v>1</v>
      </c>
      <c r="G768">
        <v>0</v>
      </c>
      <c r="H768">
        <v>4.2</v>
      </c>
      <c r="I768">
        <v>2.5</v>
      </c>
      <c r="J768">
        <v>12.2</v>
      </c>
      <c r="K768">
        <f t="shared" si="25"/>
        <v>30.5</v>
      </c>
      <c r="L768" t="s">
        <v>672</v>
      </c>
    </row>
    <row r="769" spans="6:12" x14ac:dyDescent="0.2">
      <c r="F769">
        <v>1</v>
      </c>
      <c r="G769">
        <v>0</v>
      </c>
      <c r="H769">
        <v>8.1999999999999993</v>
      </c>
      <c r="I769">
        <v>5.0999999999999996</v>
      </c>
      <c r="J769">
        <v>2.2999999999999998</v>
      </c>
      <c r="K769">
        <f t="shared" si="25"/>
        <v>11.729999999999999</v>
      </c>
      <c r="L769" t="s">
        <v>1237</v>
      </c>
    </row>
    <row r="770" spans="6:12" x14ac:dyDescent="0.2">
      <c r="F770">
        <v>1</v>
      </c>
      <c r="G770">
        <v>0</v>
      </c>
      <c r="H770">
        <v>3.3</v>
      </c>
      <c r="I770">
        <v>2</v>
      </c>
      <c r="J770">
        <v>12.7</v>
      </c>
      <c r="K770">
        <f t="shared" si="25"/>
        <v>25.4</v>
      </c>
      <c r="L770" t="s">
        <v>1359</v>
      </c>
    </row>
    <row r="771" spans="6:12" x14ac:dyDescent="0.2">
      <c r="F771">
        <v>1</v>
      </c>
      <c r="G771">
        <v>0</v>
      </c>
      <c r="H771">
        <v>4.8</v>
      </c>
      <c r="I771">
        <v>2.8</v>
      </c>
      <c r="J771">
        <v>9.4</v>
      </c>
      <c r="K771">
        <f t="shared" si="25"/>
        <v>26.32</v>
      </c>
      <c r="L771" t="s">
        <v>1360</v>
      </c>
    </row>
    <row r="772" spans="6:12" x14ac:dyDescent="0.2">
      <c r="F772">
        <v>1</v>
      </c>
      <c r="G772">
        <v>0</v>
      </c>
      <c r="H772">
        <v>7.5</v>
      </c>
      <c r="I772">
        <v>4.7</v>
      </c>
      <c r="J772">
        <v>6.1</v>
      </c>
      <c r="K772">
        <f t="shared" si="25"/>
        <v>28.669999999999998</v>
      </c>
      <c r="L772" t="s">
        <v>1361</v>
      </c>
    </row>
    <row r="773" spans="6:12" x14ac:dyDescent="0.2">
      <c r="F773">
        <v>1</v>
      </c>
      <c r="G773">
        <v>0</v>
      </c>
      <c r="H773">
        <v>4.4000000000000004</v>
      </c>
      <c r="I773">
        <v>2.9</v>
      </c>
      <c r="J773">
        <v>4.5</v>
      </c>
      <c r="K773">
        <f t="shared" si="25"/>
        <v>13.049999999999999</v>
      </c>
      <c r="L773" t="s">
        <v>1362</v>
      </c>
    </row>
    <row r="775" spans="6:12" x14ac:dyDescent="0.2">
      <c r="F775">
        <v>0</v>
      </c>
      <c r="G775">
        <v>1</v>
      </c>
      <c r="H775">
        <v>4.5</v>
      </c>
      <c r="I775">
        <v>2.8</v>
      </c>
      <c r="J775">
        <v>3</v>
      </c>
      <c r="K775">
        <f t="shared" si="25"/>
        <v>8.3999999999999986</v>
      </c>
      <c r="L775" t="s">
        <v>1354</v>
      </c>
    </row>
    <row r="776" spans="6:12" x14ac:dyDescent="0.2">
      <c r="F776">
        <v>0</v>
      </c>
      <c r="G776">
        <v>1</v>
      </c>
      <c r="H776">
        <v>2.8</v>
      </c>
      <c r="I776">
        <v>1.8</v>
      </c>
      <c r="J776">
        <v>7.8</v>
      </c>
      <c r="K776">
        <f t="shared" si="25"/>
        <v>14.04</v>
      </c>
      <c r="L776" t="s">
        <v>1355</v>
      </c>
    </row>
    <row r="777" spans="6:12" x14ac:dyDescent="0.2">
      <c r="F777">
        <v>0</v>
      </c>
      <c r="G777">
        <v>1</v>
      </c>
      <c r="H777">
        <v>2.4</v>
      </c>
      <c r="I777">
        <v>1.4</v>
      </c>
      <c r="J777">
        <v>14.7</v>
      </c>
      <c r="K777">
        <f t="shared" si="25"/>
        <v>20.58</v>
      </c>
      <c r="L777" t="s">
        <v>1356</v>
      </c>
    </row>
    <row r="778" spans="6:12" x14ac:dyDescent="0.2">
      <c r="F778">
        <v>0</v>
      </c>
      <c r="G778">
        <v>1</v>
      </c>
      <c r="H778">
        <v>5</v>
      </c>
      <c r="I778">
        <v>3.3</v>
      </c>
      <c r="J778">
        <v>1.3</v>
      </c>
      <c r="K778">
        <f t="shared" si="25"/>
        <v>4.29</v>
      </c>
      <c r="L778" t="s">
        <v>1358</v>
      </c>
    </row>
  </sheetData>
  <pageMargins left="0.7" right="0.7" top="0.78740157499999996" bottom="0.78740157499999996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73"/>
  <sheetViews>
    <sheetView workbookViewId="0">
      <pane ySplit="1" topLeftCell="A41" activePane="bottomLeft" state="frozen"/>
      <selection pane="bottomLeft" activeCell="E67" sqref="E67"/>
    </sheetView>
  </sheetViews>
  <sheetFormatPr baseColWidth="10" defaultRowHeight="15" x14ac:dyDescent="0.2"/>
  <cols>
    <col min="2" max="2" width="23.83203125" bestFit="1" customWidth="1"/>
    <col min="6" max="6" width="68.1640625" bestFit="1" customWidth="1"/>
  </cols>
  <sheetData>
    <row r="1" spans="1:7" x14ac:dyDescent="0.2">
      <c r="B1" t="s">
        <v>0</v>
      </c>
      <c r="C1" t="s">
        <v>1</v>
      </c>
      <c r="D1" t="s">
        <v>2</v>
      </c>
      <c r="E1" t="s">
        <v>3</v>
      </c>
      <c r="F1" t="s">
        <v>1088</v>
      </c>
      <c r="G1" t="s">
        <v>1084</v>
      </c>
    </row>
    <row r="2" spans="1:7" x14ac:dyDescent="0.2">
      <c r="A2">
        <v>1</v>
      </c>
      <c r="B2" t="s">
        <v>17</v>
      </c>
      <c r="C2" s="1">
        <v>23328</v>
      </c>
      <c r="D2" s="1">
        <v>43416</v>
      </c>
      <c r="E2" t="s">
        <v>18</v>
      </c>
      <c r="F2">
        <v>3</v>
      </c>
      <c r="G2" s="1">
        <v>43294</v>
      </c>
    </row>
    <row r="3" spans="1:7" x14ac:dyDescent="0.2">
      <c r="A3">
        <v>2</v>
      </c>
      <c r="B3" t="s">
        <v>19</v>
      </c>
      <c r="C3" s="1">
        <v>30062</v>
      </c>
      <c r="D3" s="1">
        <v>43423</v>
      </c>
      <c r="E3" t="s">
        <v>429</v>
      </c>
      <c r="F3" t="s">
        <v>1083</v>
      </c>
      <c r="G3" s="1">
        <v>43375</v>
      </c>
    </row>
    <row r="4" spans="1:7" x14ac:dyDescent="0.2">
      <c r="A4">
        <v>3</v>
      </c>
      <c r="B4" t="s">
        <v>20</v>
      </c>
      <c r="C4" s="1">
        <v>27932</v>
      </c>
      <c r="D4" s="1">
        <v>43423</v>
      </c>
      <c r="E4" t="s">
        <v>447</v>
      </c>
      <c r="F4">
        <v>1</v>
      </c>
      <c r="G4" s="1">
        <v>43410</v>
      </c>
    </row>
    <row r="5" spans="1:7" x14ac:dyDescent="0.2">
      <c r="A5">
        <v>4</v>
      </c>
      <c r="B5" t="s">
        <v>21</v>
      </c>
      <c r="C5" s="1">
        <v>24418</v>
      </c>
      <c r="D5" s="1">
        <v>43430</v>
      </c>
      <c r="E5" t="s">
        <v>429</v>
      </c>
      <c r="F5">
        <v>3</v>
      </c>
      <c r="G5" s="1">
        <v>43397</v>
      </c>
    </row>
    <row r="6" spans="1:7" x14ac:dyDescent="0.2">
      <c r="A6">
        <v>5</v>
      </c>
      <c r="B6" t="s">
        <v>26</v>
      </c>
      <c r="C6" s="1">
        <v>21589</v>
      </c>
      <c r="D6" s="1">
        <v>43444</v>
      </c>
      <c r="E6" t="s">
        <v>429</v>
      </c>
      <c r="F6">
        <v>3</v>
      </c>
      <c r="G6" s="1">
        <v>43424</v>
      </c>
    </row>
    <row r="7" spans="1:7" x14ac:dyDescent="0.2">
      <c r="A7">
        <v>6</v>
      </c>
      <c r="B7" t="s">
        <v>30</v>
      </c>
      <c r="C7" s="1">
        <v>18099</v>
      </c>
      <c r="D7" s="1">
        <v>43472</v>
      </c>
      <c r="E7" t="s">
        <v>447</v>
      </c>
      <c r="F7">
        <v>4</v>
      </c>
      <c r="G7" s="1">
        <v>43343</v>
      </c>
    </row>
    <row r="8" spans="1:7" x14ac:dyDescent="0.2">
      <c r="A8">
        <v>7</v>
      </c>
      <c r="B8" t="s">
        <v>34</v>
      </c>
      <c r="C8" s="1">
        <v>20776</v>
      </c>
      <c r="D8" s="1">
        <v>43479</v>
      </c>
      <c r="E8" t="s">
        <v>35</v>
      </c>
      <c r="F8">
        <v>2</v>
      </c>
      <c r="G8" s="1">
        <v>43417</v>
      </c>
    </row>
    <row r="9" spans="1:7" x14ac:dyDescent="0.2">
      <c r="A9">
        <v>8</v>
      </c>
      <c r="B9" t="s">
        <v>39</v>
      </c>
      <c r="C9" s="1">
        <v>24023</v>
      </c>
      <c r="D9" s="1">
        <v>43493</v>
      </c>
      <c r="E9" t="s">
        <v>16</v>
      </c>
      <c r="F9">
        <v>2</v>
      </c>
      <c r="G9" s="1">
        <v>43479</v>
      </c>
    </row>
    <row r="10" spans="1:7" x14ac:dyDescent="0.2">
      <c r="A10">
        <v>9</v>
      </c>
      <c r="B10" t="s">
        <v>51</v>
      </c>
      <c r="C10" s="1">
        <v>23985</v>
      </c>
      <c r="D10" s="1">
        <v>43514</v>
      </c>
      <c r="E10" t="s">
        <v>13</v>
      </c>
      <c r="F10">
        <v>3.4</v>
      </c>
      <c r="G10" s="1">
        <v>43347</v>
      </c>
    </row>
    <row r="11" spans="1:7" x14ac:dyDescent="0.2">
      <c r="A11">
        <v>10</v>
      </c>
      <c r="B11" t="s">
        <v>54</v>
      </c>
      <c r="C11" s="1">
        <v>24436</v>
      </c>
      <c r="D11" s="1">
        <v>43521</v>
      </c>
      <c r="E11" t="s">
        <v>35</v>
      </c>
      <c r="F11">
        <v>3</v>
      </c>
      <c r="G11" s="1">
        <v>43467</v>
      </c>
    </row>
    <row r="12" spans="1:7" x14ac:dyDescent="0.2">
      <c r="A12">
        <v>11</v>
      </c>
      <c r="B12" t="s">
        <v>55</v>
      </c>
      <c r="C12" s="1">
        <v>21899</v>
      </c>
      <c r="D12" s="1">
        <v>43521</v>
      </c>
      <c r="E12" t="s">
        <v>16</v>
      </c>
      <c r="F12">
        <v>1</v>
      </c>
      <c r="G12" s="1">
        <v>43755</v>
      </c>
    </row>
    <row r="13" spans="1:7" x14ac:dyDescent="0.2">
      <c r="A13">
        <v>12</v>
      </c>
      <c r="B13" t="s">
        <v>60</v>
      </c>
      <c r="C13" s="1">
        <v>22404</v>
      </c>
      <c r="D13" s="1">
        <v>43549</v>
      </c>
      <c r="E13" t="s">
        <v>35</v>
      </c>
      <c r="F13">
        <v>1</v>
      </c>
      <c r="G13" s="1">
        <v>43521</v>
      </c>
    </row>
    <row r="14" spans="1:7" x14ac:dyDescent="0.2">
      <c r="A14">
        <v>13</v>
      </c>
      <c r="B14" t="s">
        <v>62</v>
      </c>
      <c r="C14" s="1">
        <v>27215</v>
      </c>
      <c r="D14" s="1">
        <v>43556</v>
      </c>
      <c r="E14" t="s">
        <v>16</v>
      </c>
      <c r="F14">
        <v>5</v>
      </c>
      <c r="G14" s="1">
        <v>43683</v>
      </c>
    </row>
    <row r="15" spans="1:7" x14ac:dyDescent="0.2">
      <c r="A15">
        <v>14</v>
      </c>
      <c r="B15" t="s">
        <v>72</v>
      </c>
      <c r="C15" s="1">
        <v>26463</v>
      </c>
      <c r="D15" s="1">
        <v>43605</v>
      </c>
      <c r="E15" t="s">
        <v>35</v>
      </c>
      <c r="F15">
        <v>3.5</v>
      </c>
      <c r="G15" s="1">
        <v>43605</v>
      </c>
    </row>
    <row r="16" spans="1:7" x14ac:dyDescent="0.2">
      <c r="A16">
        <v>15</v>
      </c>
      <c r="B16" t="s">
        <v>74</v>
      </c>
      <c r="C16" s="1">
        <v>20147</v>
      </c>
      <c r="D16" s="1">
        <v>43619</v>
      </c>
      <c r="E16" t="s">
        <v>35</v>
      </c>
      <c r="F16">
        <v>1</v>
      </c>
      <c r="G16" s="1">
        <v>44063</v>
      </c>
    </row>
    <row r="17" spans="1:7" x14ac:dyDescent="0.2">
      <c r="A17">
        <v>16</v>
      </c>
      <c r="B17" t="s">
        <v>75</v>
      </c>
      <c r="C17" s="1">
        <v>22411</v>
      </c>
      <c r="D17" s="1">
        <v>43619</v>
      </c>
      <c r="E17" t="s">
        <v>16</v>
      </c>
      <c r="F17">
        <v>1.5</v>
      </c>
      <c r="G17" s="1">
        <v>43978</v>
      </c>
    </row>
    <row r="18" spans="1:7" x14ac:dyDescent="0.2">
      <c r="A18">
        <v>17</v>
      </c>
      <c r="B18" t="s">
        <v>208</v>
      </c>
      <c r="C18" s="1">
        <v>32078</v>
      </c>
      <c r="D18" s="1">
        <v>43745</v>
      </c>
      <c r="E18" t="s">
        <v>16</v>
      </c>
      <c r="F18">
        <v>3</v>
      </c>
      <c r="G18" s="1">
        <v>43703</v>
      </c>
    </row>
    <row r="19" spans="1:7" x14ac:dyDescent="0.2">
      <c r="A19">
        <v>18</v>
      </c>
      <c r="B19" t="s">
        <v>311</v>
      </c>
      <c r="C19" s="1">
        <v>25148</v>
      </c>
      <c r="D19" s="1">
        <v>43752</v>
      </c>
      <c r="E19" t="s">
        <v>13</v>
      </c>
      <c r="F19">
        <v>1</v>
      </c>
      <c r="G19" s="1">
        <v>43776</v>
      </c>
    </row>
    <row r="20" spans="1:7" x14ac:dyDescent="0.2">
      <c r="A20">
        <v>19</v>
      </c>
      <c r="B20" t="s">
        <v>382</v>
      </c>
      <c r="C20" s="1">
        <v>25089</v>
      </c>
      <c r="D20" s="1">
        <v>43787</v>
      </c>
      <c r="E20" t="s">
        <v>16</v>
      </c>
      <c r="F20">
        <v>3</v>
      </c>
      <c r="G20" s="1">
        <v>43768</v>
      </c>
    </row>
    <row r="21" spans="1:7" x14ac:dyDescent="0.2">
      <c r="A21">
        <v>20</v>
      </c>
      <c r="B21" t="s">
        <v>384</v>
      </c>
      <c r="C21" s="1">
        <v>21542</v>
      </c>
      <c r="D21" s="1">
        <v>43794</v>
      </c>
      <c r="E21" t="s">
        <v>35</v>
      </c>
      <c r="F21" t="s">
        <v>1085</v>
      </c>
      <c r="G21" s="1">
        <v>43818</v>
      </c>
    </row>
    <row r="22" spans="1:7" x14ac:dyDescent="0.2">
      <c r="A22">
        <v>21</v>
      </c>
      <c r="B22" t="s">
        <v>386</v>
      </c>
      <c r="C22" s="1">
        <v>30985</v>
      </c>
      <c r="D22" s="1">
        <v>43801</v>
      </c>
      <c r="E22" t="s">
        <v>387</v>
      </c>
      <c r="F22">
        <v>3</v>
      </c>
      <c r="G22" s="1">
        <v>43745</v>
      </c>
    </row>
    <row r="23" spans="1:7" x14ac:dyDescent="0.2">
      <c r="A23">
        <v>22</v>
      </c>
      <c r="B23" t="s">
        <v>388</v>
      </c>
      <c r="C23" s="1">
        <v>30008</v>
      </c>
      <c r="D23" s="1">
        <v>43808</v>
      </c>
      <c r="E23" t="s">
        <v>387</v>
      </c>
      <c r="F23">
        <v>3</v>
      </c>
      <c r="G23" s="1">
        <v>44242</v>
      </c>
    </row>
    <row r="24" spans="1:7" x14ac:dyDescent="0.2">
      <c r="A24">
        <v>23</v>
      </c>
      <c r="B24" t="s">
        <v>389</v>
      </c>
      <c r="C24" s="1">
        <v>25193</v>
      </c>
      <c r="D24" s="1">
        <v>43815</v>
      </c>
      <c r="E24" t="s">
        <v>391</v>
      </c>
      <c r="F24">
        <v>1</v>
      </c>
      <c r="G24" s="1">
        <v>43719</v>
      </c>
    </row>
    <row r="25" spans="1:7" x14ac:dyDescent="0.2">
      <c r="A25">
        <v>24</v>
      </c>
      <c r="B25" t="s">
        <v>390</v>
      </c>
      <c r="C25" s="1">
        <v>23228</v>
      </c>
      <c r="D25" s="1">
        <v>43815</v>
      </c>
      <c r="E25" t="s">
        <v>387</v>
      </c>
      <c r="F25">
        <v>3</v>
      </c>
      <c r="G25" s="1">
        <v>43600</v>
      </c>
    </row>
    <row r="26" spans="1:7" x14ac:dyDescent="0.2">
      <c r="A26">
        <v>25</v>
      </c>
      <c r="B26" t="s">
        <v>393</v>
      </c>
      <c r="C26" s="1">
        <v>22284</v>
      </c>
      <c r="D26" s="1">
        <v>43850</v>
      </c>
      <c r="E26" t="s">
        <v>387</v>
      </c>
      <c r="F26">
        <v>3</v>
      </c>
      <c r="G26" s="1">
        <v>43929</v>
      </c>
    </row>
    <row r="27" spans="1:7" x14ac:dyDescent="0.2">
      <c r="A27">
        <v>26</v>
      </c>
      <c r="B27" t="s">
        <v>394</v>
      </c>
      <c r="C27" s="1">
        <v>28212</v>
      </c>
      <c r="D27" s="1">
        <v>43854</v>
      </c>
      <c r="E27" t="s">
        <v>387</v>
      </c>
      <c r="F27">
        <v>3</v>
      </c>
      <c r="G27" s="1">
        <v>43815</v>
      </c>
    </row>
    <row r="28" spans="1:7" x14ac:dyDescent="0.2">
      <c r="A28">
        <v>27</v>
      </c>
      <c r="B28" t="s">
        <v>395</v>
      </c>
      <c r="C28" s="1">
        <v>24547</v>
      </c>
      <c r="D28" s="1">
        <v>43854</v>
      </c>
      <c r="E28" t="s">
        <v>35</v>
      </c>
      <c r="F28">
        <v>1</v>
      </c>
      <c r="G28" s="1">
        <v>43753</v>
      </c>
    </row>
    <row r="29" spans="1:7" x14ac:dyDescent="0.2">
      <c r="A29">
        <v>28</v>
      </c>
      <c r="B29" s="4" t="s">
        <v>397</v>
      </c>
      <c r="C29" s="1">
        <v>32258</v>
      </c>
      <c r="D29" s="1">
        <v>43857</v>
      </c>
      <c r="E29" t="s">
        <v>387</v>
      </c>
      <c r="F29">
        <v>1.3</v>
      </c>
      <c r="G29" s="1">
        <v>43699</v>
      </c>
    </row>
    <row r="30" spans="1:7" x14ac:dyDescent="0.2">
      <c r="A30">
        <v>29</v>
      </c>
      <c r="B30" t="s">
        <v>613</v>
      </c>
      <c r="C30" s="1">
        <v>25439</v>
      </c>
      <c r="D30" s="1">
        <v>44088</v>
      </c>
      <c r="E30" t="s">
        <v>35</v>
      </c>
      <c r="F30">
        <v>1</v>
      </c>
      <c r="G30" s="1">
        <v>44180</v>
      </c>
    </row>
    <row r="31" spans="1:7" x14ac:dyDescent="0.2">
      <c r="A31">
        <v>30</v>
      </c>
      <c r="B31" t="s">
        <v>614</v>
      </c>
      <c r="C31" s="1">
        <v>32194</v>
      </c>
      <c r="D31" s="1">
        <v>44092</v>
      </c>
      <c r="E31" t="s">
        <v>387</v>
      </c>
      <c r="F31">
        <v>1.3</v>
      </c>
      <c r="G31" s="1">
        <v>44004</v>
      </c>
    </row>
    <row r="32" spans="1:7" x14ac:dyDescent="0.2">
      <c r="A32">
        <v>31</v>
      </c>
      <c r="B32" t="s">
        <v>615</v>
      </c>
      <c r="C32" s="1">
        <v>24911</v>
      </c>
      <c r="D32" s="1">
        <v>44099</v>
      </c>
      <c r="E32" t="s">
        <v>408</v>
      </c>
      <c r="F32">
        <v>1</v>
      </c>
      <c r="G32" s="1">
        <v>43998</v>
      </c>
    </row>
    <row r="33" spans="1:7" x14ac:dyDescent="0.2">
      <c r="A33">
        <v>32</v>
      </c>
      <c r="B33" t="s">
        <v>637</v>
      </c>
      <c r="C33" s="1">
        <v>28273</v>
      </c>
      <c r="D33" s="1">
        <v>44008</v>
      </c>
      <c r="E33" t="s">
        <v>408</v>
      </c>
      <c r="F33">
        <v>2</v>
      </c>
      <c r="G33" s="1">
        <v>43843</v>
      </c>
    </row>
    <row r="34" spans="1:7" x14ac:dyDescent="0.2">
      <c r="A34">
        <v>33</v>
      </c>
      <c r="B34" t="s">
        <v>410</v>
      </c>
      <c r="C34" s="1">
        <v>34137</v>
      </c>
      <c r="D34" s="1">
        <v>44015</v>
      </c>
      <c r="E34" t="s">
        <v>408</v>
      </c>
      <c r="F34">
        <v>3</v>
      </c>
      <c r="G34" s="1">
        <v>44111</v>
      </c>
    </row>
    <row r="35" spans="1:7" x14ac:dyDescent="0.2">
      <c r="A35">
        <v>34</v>
      </c>
      <c r="B35" t="s">
        <v>412</v>
      </c>
      <c r="C35" s="1">
        <v>35258</v>
      </c>
      <c r="D35" s="1">
        <v>44022</v>
      </c>
      <c r="E35" t="s">
        <v>387</v>
      </c>
      <c r="F35">
        <v>3</v>
      </c>
      <c r="G35" s="1">
        <v>44048</v>
      </c>
    </row>
    <row r="36" spans="1:7" x14ac:dyDescent="0.2">
      <c r="A36">
        <v>35</v>
      </c>
      <c r="B36" t="s">
        <v>649</v>
      </c>
      <c r="C36" s="1">
        <v>30375</v>
      </c>
      <c r="D36" s="1">
        <v>44032</v>
      </c>
      <c r="E36" t="s">
        <v>35</v>
      </c>
      <c r="F36">
        <v>3.5</v>
      </c>
      <c r="G36" s="1">
        <v>44025</v>
      </c>
    </row>
    <row r="37" spans="1:7" x14ac:dyDescent="0.2">
      <c r="A37">
        <v>36</v>
      </c>
      <c r="B37" t="s">
        <v>414</v>
      </c>
      <c r="C37" s="1">
        <v>23742</v>
      </c>
      <c r="D37" s="1">
        <v>44039</v>
      </c>
      <c r="E37" t="s">
        <v>387</v>
      </c>
      <c r="F37">
        <v>3</v>
      </c>
      <c r="G37" s="1">
        <v>43941</v>
      </c>
    </row>
    <row r="38" spans="1:7" x14ac:dyDescent="0.2">
      <c r="A38">
        <v>37</v>
      </c>
      <c r="B38" t="s">
        <v>852</v>
      </c>
      <c r="C38" s="1">
        <v>21507</v>
      </c>
      <c r="D38" s="1">
        <v>44047</v>
      </c>
      <c r="E38" t="s">
        <v>387</v>
      </c>
      <c r="F38">
        <v>3</v>
      </c>
      <c r="G38" s="1">
        <v>44028</v>
      </c>
    </row>
    <row r="39" spans="1:7" x14ac:dyDescent="0.2">
      <c r="A39">
        <v>38</v>
      </c>
      <c r="B39" t="s">
        <v>415</v>
      </c>
      <c r="C39" s="1">
        <v>29274</v>
      </c>
      <c r="D39" s="1">
        <v>44047</v>
      </c>
      <c r="E39" t="s">
        <v>387</v>
      </c>
      <c r="F39">
        <v>3</v>
      </c>
      <c r="G39" s="1">
        <v>43894</v>
      </c>
    </row>
    <row r="40" spans="1:7" x14ac:dyDescent="0.2">
      <c r="A40">
        <v>39</v>
      </c>
      <c r="B40" t="s">
        <v>683</v>
      </c>
      <c r="C40" s="1">
        <v>18112</v>
      </c>
      <c r="D40" s="1">
        <v>43976</v>
      </c>
      <c r="E40" t="s">
        <v>35</v>
      </c>
      <c r="F40">
        <v>2.2999999999999998</v>
      </c>
      <c r="G40" s="1">
        <v>43990</v>
      </c>
    </row>
    <row r="41" spans="1:7" x14ac:dyDescent="0.2">
      <c r="A41">
        <v>40</v>
      </c>
      <c r="B41" t="s">
        <v>689</v>
      </c>
      <c r="C41" s="1">
        <v>32518</v>
      </c>
      <c r="D41" s="1">
        <v>43976</v>
      </c>
      <c r="E41" t="s">
        <v>387</v>
      </c>
      <c r="F41">
        <v>3</v>
      </c>
      <c r="G41" s="1">
        <v>43791</v>
      </c>
    </row>
    <row r="42" spans="1:7" x14ac:dyDescent="0.2">
      <c r="A42">
        <v>41</v>
      </c>
      <c r="B42" t="s">
        <v>692</v>
      </c>
      <c r="C42" s="1">
        <v>24472</v>
      </c>
      <c r="D42" s="1">
        <v>43973</v>
      </c>
      <c r="E42" t="s">
        <v>35</v>
      </c>
      <c r="F42">
        <v>2.2999999999999998</v>
      </c>
      <c r="G42" s="1">
        <v>43903</v>
      </c>
    </row>
    <row r="43" spans="1:7" x14ac:dyDescent="0.2">
      <c r="A43">
        <v>42</v>
      </c>
      <c r="B43" t="s">
        <v>699</v>
      </c>
      <c r="C43" s="1">
        <v>17344</v>
      </c>
      <c r="D43" s="1">
        <v>43962</v>
      </c>
      <c r="E43" t="s">
        <v>35</v>
      </c>
      <c r="F43">
        <v>2</v>
      </c>
      <c r="G43" s="1">
        <v>44106</v>
      </c>
    </row>
    <row r="44" spans="1:7" x14ac:dyDescent="0.2">
      <c r="A44">
        <v>43</v>
      </c>
      <c r="B44" t="s">
        <v>709</v>
      </c>
      <c r="C44" s="1">
        <v>24895</v>
      </c>
      <c r="D44" s="1">
        <v>43959</v>
      </c>
      <c r="E44" t="s">
        <v>13</v>
      </c>
      <c r="F44">
        <v>1</v>
      </c>
      <c r="G44" s="1">
        <v>43936</v>
      </c>
    </row>
    <row r="45" spans="1:7" x14ac:dyDescent="0.2">
      <c r="A45">
        <v>44</v>
      </c>
      <c r="B45" t="s">
        <v>405</v>
      </c>
      <c r="C45" s="1">
        <v>31483</v>
      </c>
      <c r="D45" s="1">
        <v>43948</v>
      </c>
      <c r="E45" t="s">
        <v>429</v>
      </c>
      <c r="F45">
        <v>3</v>
      </c>
      <c r="G45" s="1">
        <v>43817</v>
      </c>
    </row>
    <row r="46" spans="1:7" x14ac:dyDescent="0.2">
      <c r="A46">
        <v>45</v>
      </c>
      <c r="B46" t="s">
        <v>723</v>
      </c>
      <c r="C46" s="1">
        <v>30034</v>
      </c>
      <c r="D46" s="1">
        <v>44085</v>
      </c>
      <c r="E46" t="s">
        <v>387</v>
      </c>
      <c r="F46">
        <v>3</v>
      </c>
      <c r="G46" s="1">
        <v>43924</v>
      </c>
    </row>
    <row r="47" spans="1:7" x14ac:dyDescent="0.2">
      <c r="A47">
        <v>46</v>
      </c>
      <c r="B47" t="s">
        <v>725</v>
      </c>
      <c r="C47" s="1">
        <v>25678</v>
      </c>
      <c r="D47" s="1">
        <v>43941</v>
      </c>
      <c r="E47" t="s">
        <v>387</v>
      </c>
      <c r="F47">
        <v>3</v>
      </c>
      <c r="G47" s="1">
        <v>43817</v>
      </c>
    </row>
    <row r="48" spans="1:7" x14ac:dyDescent="0.2">
      <c r="A48">
        <v>47</v>
      </c>
      <c r="B48" t="s">
        <v>402</v>
      </c>
      <c r="C48" s="1">
        <v>25500</v>
      </c>
      <c r="D48" s="1">
        <v>43927</v>
      </c>
      <c r="E48" t="s">
        <v>387</v>
      </c>
      <c r="F48">
        <v>4</v>
      </c>
      <c r="G48" s="1">
        <v>43986</v>
      </c>
    </row>
    <row r="49" spans="1:7" x14ac:dyDescent="0.2">
      <c r="A49">
        <v>48</v>
      </c>
      <c r="B49" t="s">
        <v>740</v>
      </c>
      <c r="C49" t="s">
        <v>741</v>
      </c>
      <c r="D49" s="1">
        <v>43924</v>
      </c>
      <c r="E49" t="s">
        <v>13</v>
      </c>
      <c r="F49">
        <v>3</v>
      </c>
      <c r="G49" s="1">
        <v>44094</v>
      </c>
    </row>
    <row r="50" spans="1:7" x14ac:dyDescent="0.2">
      <c r="A50">
        <v>49</v>
      </c>
      <c r="B50" t="s">
        <v>401</v>
      </c>
      <c r="C50" s="1">
        <v>26577</v>
      </c>
      <c r="D50" s="1">
        <v>43924</v>
      </c>
      <c r="E50" t="s">
        <v>387</v>
      </c>
      <c r="F50">
        <v>3</v>
      </c>
      <c r="G50" s="1">
        <v>43866</v>
      </c>
    </row>
    <row r="51" spans="1:7" x14ac:dyDescent="0.2">
      <c r="A51">
        <v>50</v>
      </c>
      <c r="B51" t="s">
        <v>1087</v>
      </c>
      <c r="C51" s="1">
        <v>30246</v>
      </c>
      <c r="D51" s="1">
        <v>43924</v>
      </c>
      <c r="E51" t="s">
        <v>387</v>
      </c>
      <c r="F51">
        <v>1.3</v>
      </c>
      <c r="G51" s="1">
        <v>43928</v>
      </c>
    </row>
    <row r="52" spans="1:7" x14ac:dyDescent="0.2">
      <c r="A52">
        <v>51</v>
      </c>
      <c r="B52" t="s">
        <v>758</v>
      </c>
      <c r="C52" s="1">
        <v>22028</v>
      </c>
      <c r="D52" s="1">
        <v>43906</v>
      </c>
      <c r="E52" t="s">
        <v>730</v>
      </c>
      <c r="F52">
        <v>1</v>
      </c>
      <c r="G52" s="1">
        <v>43895</v>
      </c>
    </row>
    <row r="53" spans="1:7" x14ac:dyDescent="0.2">
      <c r="A53">
        <v>52</v>
      </c>
      <c r="B53" t="s">
        <v>399</v>
      </c>
      <c r="C53" s="1">
        <v>29676</v>
      </c>
      <c r="D53" s="1">
        <v>43903</v>
      </c>
      <c r="E53" t="s">
        <v>730</v>
      </c>
      <c r="F53">
        <v>1</v>
      </c>
      <c r="G53" s="1">
        <v>43935</v>
      </c>
    </row>
    <row r="54" spans="1:7" x14ac:dyDescent="0.2">
      <c r="A54">
        <v>53</v>
      </c>
      <c r="B54" t="s">
        <v>780</v>
      </c>
      <c r="C54" s="1">
        <v>21332</v>
      </c>
      <c r="D54" s="1">
        <v>44106</v>
      </c>
      <c r="E54" t="s">
        <v>387</v>
      </c>
      <c r="F54">
        <v>3</v>
      </c>
      <c r="G54" s="1">
        <v>44092</v>
      </c>
    </row>
    <row r="55" spans="1:7" x14ac:dyDescent="0.2">
      <c r="A55">
        <v>54</v>
      </c>
      <c r="B55" t="s">
        <v>781</v>
      </c>
      <c r="C55" s="1">
        <v>22959</v>
      </c>
      <c r="D55" s="1">
        <v>44106</v>
      </c>
      <c r="E55" t="s">
        <v>13</v>
      </c>
      <c r="F55">
        <v>1</v>
      </c>
      <c r="G55" s="1">
        <v>44084</v>
      </c>
    </row>
    <row r="56" spans="1:7" x14ac:dyDescent="0.2">
      <c r="A56">
        <v>55</v>
      </c>
      <c r="B56" t="s">
        <v>782</v>
      </c>
      <c r="C56" s="1">
        <v>26584</v>
      </c>
      <c r="D56" s="1">
        <v>44109</v>
      </c>
      <c r="E56" t="s">
        <v>35</v>
      </c>
      <c r="F56">
        <v>6</v>
      </c>
      <c r="G56" s="1">
        <v>44148</v>
      </c>
    </row>
    <row r="57" spans="1:7" x14ac:dyDescent="0.2">
      <c r="A57">
        <v>56</v>
      </c>
      <c r="B57" t="s">
        <v>780</v>
      </c>
      <c r="C57" s="1">
        <v>21332</v>
      </c>
      <c r="D57" s="1">
        <v>44106</v>
      </c>
      <c r="E57" t="s">
        <v>387</v>
      </c>
      <c r="F57">
        <v>3</v>
      </c>
      <c r="G57" s="1">
        <v>44092</v>
      </c>
    </row>
    <row r="58" spans="1:7" x14ac:dyDescent="0.2">
      <c r="A58">
        <v>57</v>
      </c>
      <c r="B58" t="s">
        <v>798</v>
      </c>
      <c r="C58" s="1">
        <v>24469</v>
      </c>
      <c r="D58" s="1">
        <v>44123</v>
      </c>
      <c r="E58" t="s">
        <v>387</v>
      </c>
      <c r="F58">
        <v>3</v>
      </c>
      <c r="G58" s="1">
        <v>44006</v>
      </c>
    </row>
    <row r="59" spans="1:7" x14ac:dyDescent="0.2">
      <c r="A59">
        <v>58</v>
      </c>
      <c r="B59" t="s">
        <v>799</v>
      </c>
      <c r="C59" s="1">
        <v>21180</v>
      </c>
      <c r="D59" s="1">
        <v>44127</v>
      </c>
      <c r="E59" t="s">
        <v>387</v>
      </c>
      <c r="F59">
        <v>3</v>
      </c>
      <c r="G59" s="1">
        <v>44018</v>
      </c>
    </row>
    <row r="60" spans="1:7" x14ac:dyDescent="0.2">
      <c r="A60">
        <v>59</v>
      </c>
      <c r="B60" t="s">
        <v>800</v>
      </c>
      <c r="C60" s="1">
        <v>32031</v>
      </c>
      <c r="D60" s="1">
        <v>44127</v>
      </c>
      <c r="E60" t="s">
        <v>35</v>
      </c>
      <c r="F60">
        <v>3</v>
      </c>
      <c r="G60" s="1">
        <v>44084</v>
      </c>
    </row>
    <row r="61" spans="1:7" x14ac:dyDescent="0.2">
      <c r="A61">
        <v>60</v>
      </c>
      <c r="B61" t="s">
        <v>404</v>
      </c>
      <c r="C61" s="1">
        <v>26611</v>
      </c>
      <c r="D61" s="1">
        <v>43941</v>
      </c>
      <c r="E61" t="s">
        <v>35</v>
      </c>
      <c r="F61">
        <v>1</v>
      </c>
      <c r="G61" s="1">
        <v>44223</v>
      </c>
    </row>
    <row r="62" spans="1:7" x14ac:dyDescent="0.2">
      <c r="A62">
        <v>61</v>
      </c>
      <c r="B62" t="s">
        <v>407</v>
      </c>
      <c r="C62" s="1">
        <v>22680</v>
      </c>
      <c r="D62" s="1">
        <v>43990</v>
      </c>
      <c r="E62" t="s">
        <v>35</v>
      </c>
      <c r="F62">
        <v>1</v>
      </c>
      <c r="G62" s="1">
        <v>43976</v>
      </c>
    </row>
    <row r="63" spans="1:7" x14ac:dyDescent="0.2">
      <c r="A63">
        <v>62</v>
      </c>
      <c r="B63" t="s">
        <v>853</v>
      </c>
      <c r="C63" s="1">
        <v>24503</v>
      </c>
      <c r="D63" s="1">
        <v>44144</v>
      </c>
      <c r="E63" t="s">
        <v>35</v>
      </c>
      <c r="F63">
        <v>1.2</v>
      </c>
      <c r="G63" s="1">
        <v>44123</v>
      </c>
    </row>
    <row r="64" spans="1:7" x14ac:dyDescent="0.2">
      <c r="A64">
        <v>63</v>
      </c>
      <c r="B64" t="s">
        <v>856</v>
      </c>
      <c r="C64" s="1">
        <v>21626</v>
      </c>
      <c r="D64" s="1">
        <v>44148</v>
      </c>
      <c r="E64" t="s">
        <v>387</v>
      </c>
      <c r="F64">
        <v>3</v>
      </c>
      <c r="G64" s="1">
        <v>43930</v>
      </c>
    </row>
    <row r="65" spans="1:7" x14ac:dyDescent="0.2">
      <c r="A65">
        <v>64</v>
      </c>
      <c r="B65" t="s">
        <v>860</v>
      </c>
      <c r="C65" s="1">
        <v>19170</v>
      </c>
      <c r="D65" s="1">
        <v>44148</v>
      </c>
      <c r="E65" t="s">
        <v>35</v>
      </c>
      <c r="F65">
        <v>2</v>
      </c>
      <c r="G65" s="1">
        <v>44154</v>
      </c>
    </row>
    <row r="66" spans="1:7" x14ac:dyDescent="0.2">
      <c r="A66">
        <v>65</v>
      </c>
      <c r="B66" t="s">
        <v>888</v>
      </c>
      <c r="C66" s="1">
        <v>34047</v>
      </c>
      <c r="D66" s="1">
        <v>44053</v>
      </c>
      <c r="E66" t="s">
        <v>387</v>
      </c>
      <c r="F66">
        <v>3</v>
      </c>
      <c r="G66" s="1">
        <v>44097</v>
      </c>
    </row>
    <row r="67" spans="1:7" x14ac:dyDescent="0.2">
      <c r="A67">
        <v>66</v>
      </c>
      <c r="B67" t="s">
        <v>991</v>
      </c>
      <c r="C67" s="1">
        <v>23140</v>
      </c>
      <c r="D67" s="1">
        <v>44172</v>
      </c>
      <c r="E67" t="s">
        <v>387</v>
      </c>
      <c r="F67">
        <v>3</v>
      </c>
      <c r="G67" s="1">
        <v>44125</v>
      </c>
    </row>
    <row r="68" spans="1:7" x14ac:dyDescent="0.2">
      <c r="A68">
        <v>67</v>
      </c>
      <c r="B68" t="s">
        <v>993</v>
      </c>
      <c r="C68" s="1">
        <v>23277</v>
      </c>
      <c r="D68" s="1">
        <v>44176</v>
      </c>
      <c r="E68" t="s">
        <v>387</v>
      </c>
      <c r="F68">
        <v>3</v>
      </c>
      <c r="G68" s="1">
        <v>43896</v>
      </c>
    </row>
    <row r="69" spans="1:7" x14ac:dyDescent="0.2">
      <c r="A69">
        <v>68</v>
      </c>
      <c r="B69" t="s">
        <v>1038</v>
      </c>
      <c r="C69" s="1">
        <v>20860</v>
      </c>
      <c r="D69" s="1">
        <v>44214</v>
      </c>
      <c r="E69" t="s">
        <v>35</v>
      </c>
      <c r="F69">
        <v>1</v>
      </c>
      <c r="G69" s="1">
        <v>44169</v>
      </c>
    </row>
    <row r="70" spans="1:7" x14ac:dyDescent="0.2">
      <c r="A70">
        <v>69</v>
      </c>
      <c r="B70" t="s">
        <v>1039</v>
      </c>
      <c r="C70" s="1">
        <v>21266</v>
      </c>
      <c r="D70" s="1">
        <v>44214</v>
      </c>
      <c r="E70" t="s">
        <v>387</v>
      </c>
      <c r="F70">
        <v>3</v>
      </c>
      <c r="G70" s="1">
        <v>44067</v>
      </c>
    </row>
    <row r="71" spans="1:7" x14ac:dyDescent="0.2">
      <c r="A71">
        <v>70</v>
      </c>
      <c r="B71" t="s">
        <v>1040</v>
      </c>
      <c r="C71" s="1">
        <v>29802</v>
      </c>
      <c r="D71" s="1">
        <v>44249</v>
      </c>
      <c r="E71" t="s">
        <v>387</v>
      </c>
      <c r="F71">
        <v>3</v>
      </c>
      <c r="G71" s="1">
        <v>44249</v>
      </c>
    </row>
    <row r="72" spans="1:7" x14ac:dyDescent="0.2">
      <c r="A72">
        <v>71</v>
      </c>
      <c r="B72" t="s">
        <v>1056</v>
      </c>
      <c r="C72" s="1">
        <v>32963</v>
      </c>
      <c r="D72" s="1">
        <v>44221</v>
      </c>
      <c r="E72" t="s">
        <v>387</v>
      </c>
      <c r="F72">
        <v>3</v>
      </c>
      <c r="G72" s="1">
        <v>44125</v>
      </c>
    </row>
    <row r="73" spans="1:7" x14ac:dyDescent="0.2">
      <c r="A73">
        <v>72</v>
      </c>
      <c r="B73" t="s">
        <v>1071</v>
      </c>
      <c r="C73" s="1">
        <v>21583</v>
      </c>
      <c r="D73" s="1">
        <v>44235</v>
      </c>
      <c r="E73" t="s">
        <v>13</v>
      </c>
      <c r="F73">
        <v>1.2</v>
      </c>
      <c r="G73" s="1">
        <v>44181</v>
      </c>
    </row>
  </sheetData>
  <pageMargins left="0.7" right="0.7" top="0.78740157499999996" bottom="0.78740157499999996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13"/>
  <sheetViews>
    <sheetView workbookViewId="0">
      <selection activeCell="C34" sqref="C34"/>
    </sheetView>
  </sheetViews>
  <sheetFormatPr baseColWidth="10" defaultRowHeight="15" x14ac:dyDescent="0.2"/>
  <cols>
    <col min="3" max="3" width="17.33203125" bestFit="1" customWidth="1"/>
    <col min="4" max="4" width="13.83203125" bestFit="1" customWidth="1"/>
    <col min="5" max="5" width="20" bestFit="1" customWidth="1"/>
    <col min="6" max="7" width="16.5" bestFit="1" customWidth="1"/>
    <col min="9" max="9" width="21.33203125" bestFit="1" customWidth="1"/>
    <col min="10" max="10" width="23.5" bestFit="1" customWidth="1"/>
  </cols>
  <sheetData>
    <row r="1" spans="1:11" x14ac:dyDescent="0.2">
      <c r="A1" t="s">
        <v>0</v>
      </c>
      <c r="B1" t="s">
        <v>1</v>
      </c>
      <c r="C1" t="s">
        <v>362</v>
      </c>
      <c r="D1" t="s">
        <v>3</v>
      </c>
      <c r="E1" t="s">
        <v>84</v>
      </c>
      <c r="F1" t="s">
        <v>86</v>
      </c>
      <c r="G1" t="s">
        <v>87</v>
      </c>
      <c r="I1" t="s">
        <v>364</v>
      </c>
      <c r="J1" t="s">
        <v>363</v>
      </c>
      <c r="K1" t="s">
        <v>373</v>
      </c>
    </row>
    <row r="2" spans="1:11" x14ac:dyDescent="0.2">
      <c r="A2" t="s">
        <v>28</v>
      </c>
      <c r="B2" s="1">
        <v>31446</v>
      </c>
      <c r="C2" s="1">
        <v>43451</v>
      </c>
      <c r="D2" t="s">
        <v>29</v>
      </c>
      <c r="E2" s="1">
        <v>43717</v>
      </c>
      <c r="F2" s="1">
        <v>43551</v>
      </c>
      <c r="I2" t="s">
        <v>366</v>
      </c>
    </row>
    <row r="3" spans="1:11" x14ac:dyDescent="0.2">
      <c r="A3" s="2" t="s">
        <v>33</v>
      </c>
      <c r="B3" s="3">
        <v>22492</v>
      </c>
      <c r="C3" s="3">
        <v>43479</v>
      </c>
      <c r="D3" s="2" t="s">
        <v>29</v>
      </c>
      <c r="I3" t="s">
        <v>365</v>
      </c>
      <c r="J3" t="s">
        <v>372</v>
      </c>
      <c r="K3" s="1">
        <v>41583</v>
      </c>
    </row>
    <row r="4" spans="1:11" x14ac:dyDescent="0.2">
      <c r="A4" s="2" t="s">
        <v>38</v>
      </c>
      <c r="B4" s="3">
        <v>26816</v>
      </c>
      <c r="C4" s="3">
        <v>43493</v>
      </c>
      <c r="D4" s="2" t="s">
        <v>29</v>
      </c>
      <c r="E4" s="1">
        <v>43689</v>
      </c>
      <c r="F4" s="1">
        <v>43490</v>
      </c>
      <c r="G4" s="1">
        <v>43690</v>
      </c>
      <c r="I4" s="1" t="s">
        <v>365</v>
      </c>
      <c r="J4" t="s">
        <v>367</v>
      </c>
      <c r="K4" s="1">
        <v>43392</v>
      </c>
    </row>
    <row r="5" spans="1:11" x14ac:dyDescent="0.2">
      <c r="A5" s="2" t="s">
        <v>49</v>
      </c>
      <c r="B5" s="3">
        <v>12290</v>
      </c>
      <c r="C5" s="3">
        <v>43507</v>
      </c>
      <c r="D5" s="2" t="s">
        <v>29</v>
      </c>
      <c r="I5" t="s">
        <v>366</v>
      </c>
    </row>
    <row r="6" spans="1:11" x14ac:dyDescent="0.2">
      <c r="A6" t="s">
        <v>50</v>
      </c>
      <c r="B6" s="1">
        <v>19725</v>
      </c>
      <c r="C6" s="1">
        <v>43507</v>
      </c>
      <c r="D6" t="s">
        <v>29</v>
      </c>
      <c r="F6" s="1">
        <v>43501</v>
      </c>
      <c r="I6" t="s">
        <v>366</v>
      </c>
    </row>
    <row r="7" spans="1:11" x14ac:dyDescent="0.2">
      <c r="A7" s="2" t="s">
        <v>52</v>
      </c>
      <c r="B7" s="3">
        <v>33555</v>
      </c>
      <c r="C7" s="3">
        <v>43514</v>
      </c>
      <c r="D7" s="2" t="s">
        <v>29</v>
      </c>
      <c r="I7" t="s">
        <v>365</v>
      </c>
      <c r="J7" t="s">
        <v>368</v>
      </c>
      <c r="K7" s="1" t="s">
        <v>369</v>
      </c>
    </row>
    <row r="8" spans="1:11" s="4" customFormat="1" x14ac:dyDescent="0.2">
      <c r="A8" s="4" t="s">
        <v>56</v>
      </c>
      <c r="B8" s="5">
        <v>21725</v>
      </c>
      <c r="C8" s="5">
        <v>43521</v>
      </c>
      <c r="D8" s="4" t="s">
        <v>53</v>
      </c>
      <c r="F8" s="5">
        <v>43518</v>
      </c>
      <c r="I8" s="9" t="s">
        <v>365</v>
      </c>
      <c r="J8" s="9" t="s">
        <v>370</v>
      </c>
      <c r="K8" s="14">
        <v>43259</v>
      </c>
    </row>
    <row r="9" spans="1:11" x14ac:dyDescent="0.2">
      <c r="A9" t="s">
        <v>71</v>
      </c>
      <c r="B9" s="1">
        <v>24925</v>
      </c>
      <c r="C9" s="1">
        <v>43605</v>
      </c>
      <c r="D9" t="s">
        <v>73</v>
      </c>
      <c r="F9" s="1">
        <v>43606</v>
      </c>
      <c r="I9" t="s">
        <v>365</v>
      </c>
      <c r="J9" t="s">
        <v>371</v>
      </c>
      <c r="K9" s="1">
        <v>42593</v>
      </c>
    </row>
    <row r="10" spans="1:11" x14ac:dyDescent="0.2">
      <c r="A10" t="s">
        <v>79</v>
      </c>
      <c r="B10" s="1">
        <v>20420</v>
      </c>
      <c r="C10" s="1">
        <v>43647</v>
      </c>
      <c r="D10" t="s">
        <v>73</v>
      </c>
      <c r="F10" s="1">
        <v>43648</v>
      </c>
      <c r="I10" t="s">
        <v>365</v>
      </c>
      <c r="J10" t="s">
        <v>374</v>
      </c>
      <c r="K10" s="1">
        <v>43542</v>
      </c>
    </row>
    <row r="11" spans="1:11" x14ac:dyDescent="0.2">
      <c r="A11" t="s">
        <v>58</v>
      </c>
      <c r="B11" s="1">
        <v>21872</v>
      </c>
      <c r="C11" s="1">
        <v>43528</v>
      </c>
      <c r="D11" t="s">
        <v>53</v>
      </c>
      <c r="F11" s="1">
        <v>43531</v>
      </c>
      <c r="I11" t="s">
        <v>366</v>
      </c>
    </row>
    <row r="12" spans="1:11" s="4" customFormat="1" x14ac:dyDescent="0.2">
      <c r="A12" s="4" t="s">
        <v>59</v>
      </c>
      <c r="B12" s="5">
        <v>21814</v>
      </c>
      <c r="C12" s="5">
        <v>43528</v>
      </c>
      <c r="D12" s="4" t="s">
        <v>53</v>
      </c>
      <c r="F12" s="5">
        <v>43537</v>
      </c>
      <c r="I12" s="9" t="s">
        <v>366</v>
      </c>
    </row>
    <row r="13" spans="1:11" x14ac:dyDescent="0.2">
      <c r="A13" t="s">
        <v>313</v>
      </c>
      <c r="B13" s="1">
        <v>30190</v>
      </c>
      <c r="C13" s="1">
        <v>43752</v>
      </c>
      <c r="D13" t="s">
        <v>29</v>
      </c>
      <c r="I13" t="s">
        <v>366</v>
      </c>
    </row>
  </sheetData>
  <pageMargins left="0.7" right="0.7" top="0.78740157499999996" bottom="0.78740157499999996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M165"/>
  <sheetViews>
    <sheetView topLeftCell="AS1" zoomScale="96" zoomScaleNormal="96" workbookViewId="0">
      <pane ySplit="1" topLeftCell="A2" activePane="bottomLeft" state="frozen"/>
      <selection pane="bottomLeft" activeCell="BI28" sqref="BI28"/>
    </sheetView>
  </sheetViews>
  <sheetFormatPr baseColWidth="10" defaultRowHeight="15" x14ac:dyDescent="0.2"/>
  <cols>
    <col min="2" max="2" width="13.5" bestFit="1" customWidth="1"/>
    <col min="3" max="3" width="13.6640625" bestFit="1" customWidth="1"/>
    <col min="4" max="7" width="13.6640625" customWidth="1"/>
    <col min="8" max="8" width="17.5" style="6" bestFit="1" customWidth="1"/>
    <col min="9" max="9" width="46.6640625" bestFit="1" customWidth="1"/>
    <col min="10" max="10" width="14.6640625" style="6" bestFit="1" customWidth="1"/>
    <col min="11" max="39" width="11.5" style="6"/>
  </cols>
  <sheetData>
    <row r="1" spans="1:91" x14ac:dyDescent="0.2">
      <c r="B1" t="s">
        <v>0</v>
      </c>
      <c r="C1" t="s">
        <v>1</v>
      </c>
      <c r="D1" t="s">
        <v>124</v>
      </c>
      <c r="E1" t="s">
        <v>125</v>
      </c>
      <c r="F1" t="s">
        <v>126</v>
      </c>
      <c r="G1" t="s">
        <v>127</v>
      </c>
      <c r="H1" s="6" t="s">
        <v>95</v>
      </c>
      <c r="I1" t="s">
        <v>96</v>
      </c>
      <c r="J1" s="6" t="s">
        <v>120</v>
      </c>
      <c r="K1" s="6" t="s">
        <v>102</v>
      </c>
      <c r="L1" s="6" t="s">
        <v>98</v>
      </c>
      <c r="M1" s="6" t="s">
        <v>99</v>
      </c>
      <c r="N1" s="6" t="s">
        <v>100</v>
      </c>
      <c r="P1" s="6" t="s">
        <v>358</v>
      </c>
      <c r="T1" s="6" t="s">
        <v>320</v>
      </c>
      <c r="U1" s="6" t="s">
        <v>349</v>
      </c>
      <c r="W1" s="12" t="s">
        <v>350</v>
      </c>
      <c r="Y1" s="6" t="s">
        <v>343</v>
      </c>
      <c r="Z1" s="6" t="s">
        <v>344</v>
      </c>
      <c r="AA1" s="6" t="s">
        <v>345</v>
      </c>
      <c r="AB1" s="6" t="s">
        <v>346</v>
      </c>
      <c r="AC1" s="6" t="s">
        <v>347</v>
      </c>
      <c r="AF1" s="6" t="s">
        <v>331</v>
      </c>
      <c r="AG1" s="6" t="s">
        <v>332</v>
      </c>
      <c r="AH1" t="s">
        <v>333</v>
      </c>
      <c r="AI1" t="s">
        <v>334</v>
      </c>
      <c r="AK1" s="6" t="s">
        <v>320</v>
      </c>
      <c r="AL1" s="6" t="s">
        <v>321</v>
      </c>
      <c r="AM1" s="6" t="s">
        <v>322</v>
      </c>
      <c r="AO1" t="s">
        <v>121</v>
      </c>
      <c r="AP1" t="s">
        <v>102</v>
      </c>
      <c r="AQ1" t="s">
        <v>98</v>
      </c>
      <c r="AR1" t="s">
        <v>99</v>
      </c>
      <c r="AS1" t="s">
        <v>100</v>
      </c>
      <c r="AT1" s="6" t="s">
        <v>332</v>
      </c>
      <c r="AV1" t="s">
        <v>320</v>
      </c>
      <c r="AW1" t="s">
        <v>321</v>
      </c>
      <c r="AX1" t="s">
        <v>322</v>
      </c>
      <c r="AZ1" t="s">
        <v>122</v>
      </c>
      <c r="BA1" t="s">
        <v>102</v>
      </c>
      <c r="BB1" t="s">
        <v>98</v>
      </c>
      <c r="BC1" t="s">
        <v>99</v>
      </c>
      <c r="BD1" t="s">
        <v>100</v>
      </c>
      <c r="BF1" t="s">
        <v>320</v>
      </c>
      <c r="BG1" t="s">
        <v>351</v>
      </c>
      <c r="BI1" s="4" t="s">
        <v>357</v>
      </c>
      <c r="BK1" s="6" t="s">
        <v>343</v>
      </c>
      <c r="BL1" s="6" t="s">
        <v>344</v>
      </c>
      <c r="BM1" s="6" t="s">
        <v>345</v>
      </c>
      <c r="BN1" s="6" t="s">
        <v>346</v>
      </c>
      <c r="BO1" s="6" t="s">
        <v>347</v>
      </c>
      <c r="BQ1" t="s">
        <v>320</v>
      </c>
      <c r="BR1" t="s">
        <v>321</v>
      </c>
      <c r="BS1" t="s">
        <v>322</v>
      </c>
      <c r="BU1" t="s">
        <v>123</v>
      </c>
      <c r="BV1" t="s">
        <v>102</v>
      </c>
      <c r="BW1" t="s">
        <v>98</v>
      </c>
      <c r="BX1" t="s">
        <v>99</v>
      </c>
      <c r="BY1" t="s">
        <v>100</v>
      </c>
      <c r="BZ1" t="s">
        <v>334</v>
      </c>
      <c r="CB1" t="s">
        <v>320</v>
      </c>
      <c r="CC1" t="s">
        <v>321</v>
      </c>
      <c r="CD1" t="s">
        <v>322</v>
      </c>
      <c r="CF1" t="s">
        <v>128</v>
      </c>
      <c r="CJ1" t="s">
        <v>353</v>
      </c>
      <c r="CK1" t="s">
        <v>354</v>
      </c>
      <c r="CL1" t="s">
        <v>355</v>
      </c>
      <c r="CM1" t="s">
        <v>356</v>
      </c>
    </row>
    <row r="2" spans="1:91" x14ac:dyDescent="0.2">
      <c r="A2">
        <v>1</v>
      </c>
      <c r="B2" s="4" t="s">
        <v>28</v>
      </c>
      <c r="C2" s="1">
        <v>31446</v>
      </c>
      <c r="D2" s="1">
        <v>43451</v>
      </c>
      <c r="E2" s="1">
        <v>43717</v>
      </c>
      <c r="F2" s="1">
        <v>43551</v>
      </c>
      <c r="G2" s="1">
        <v>43718</v>
      </c>
      <c r="H2" s="6">
        <v>1</v>
      </c>
      <c r="I2" s="4" t="s">
        <v>129</v>
      </c>
      <c r="J2" s="6">
        <v>9.6999999999999993</v>
      </c>
      <c r="K2" s="6">
        <v>6.6</v>
      </c>
      <c r="L2" s="6">
        <v>5.2</v>
      </c>
      <c r="M2" s="6">
        <v>7.4</v>
      </c>
      <c r="N2" s="6">
        <f>(L2*M2)</f>
        <v>38.480000000000004</v>
      </c>
      <c r="R2" s="6">
        <v>1</v>
      </c>
      <c r="T2" s="6">
        <v>0.9</v>
      </c>
      <c r="W2" s="6">
        <f>J2/T2</f>
        <v>10.777777777777777</v>
      </c>
      <c r="Y2" s="6">
        <f>J2</f>
        <v>9.6999999999999993</v>
      </c>
      <c r="Z2" s="6">
        <f>K2</f>
        <v>6.6</v>
      </c>
      <c r="AA2" s="6">
        <f>L2</f>
        <v>5.2</v>
      </c>
      <c r="AB2" s="6">
        <f>M2</f>
        <v>7.4</v>
      </c>
      <c r="AC2" s="6">
        <f>N2</f>
        <v>38.480000000000004</v>
      </c>
      <c r="AE2" s="6" t="s">
        <v>335</v>
      </c>
      <c r="AF2" s="6">
        <v>38.479999999999997</v>
      </c>
      <c r="AG2" s="6">
        <v>30.1</v>
      </c>
      <c r="AH2" s="6">
        <v>20.16</v>
      </c>
      <c r="AI2" s="6">
        <v>0</v>
      </c>
      <c r="AJ2" s="6" t="s">
        <v>337</v>
      </c>
      <c r="AK2" s="6">
        <v>0.7</v>
      </c>
      <c r="AL2" s="6">
        <v>0.9</v>
      </c>
      <c r="AM2" s="6">
        <v>0.7</v>
      </c>
      <c r="AO2" s="6">
        <v>6.1</v>
      </c>
      <c r="AP2" s="6">
        <v>4.5999999999999996</v>
      </c>
      <c r="AQ2" s="6">
        <v>3.5</v>
      </c>
      <c r="AR2" s="6">
        <v>8.6</v>
      </c>
      <c r="AS2" s="6">
        <f>(AQ2*AR2)</f>
        <v>30.099999999999998</v>
      </c>
      <c r="AT2" s="6"/>
      <c r="AU2" s="6"/>
      <c r="AV2" s="6">
        <v>0.6</v>
      </c>
      <c r="AW2" s="6">
        <v>1.1000000000000001</v>
      </c>
      <c r="AX2" s="6">
        <v>0.5</v>
      </c>
      <c r="AZ2" s="6">
        <v>8.1</v>
      </c>
      <c r="BA2" s="6">
        <v>5.7</v>
      </c>
      <c r="BB2" s="6">
        <v>4.8</v>
      </c>
      <c r="BC2" s="6">
        <v>4.2</v>
      </c>
      <c r="BD2" s="6">
        <f>(BB2*BC2)</f>
        <v>20.16</v>
      </c>
      <c r="BE2" s="6"/>
      <c r="BF2" s="6">
        <v>1.7</v>
      </c>
      <c r="BG2" s="6"/>
      <c r="BH2" s="6"/>
      <c r="BI2" s="6">
        <f>(AZ2/BF2)</f>
        <v>4.7647058823529411</v>
      </c>
      <c r="BJ2" s="6"/>
      <c r="BK2" s="6">
        <v>8.1</v>
      </c>
      <c r="BL2" s="6">
        <v>5.7</v>
      </c>
      <c r="BM2" s="6">
        <v>4.8</v>
      </c>
      <c r="BN2" s="6">
        <v>4.2</v>
      </c>
      <c r="BO2" s="6">
        <f>(BM2*BN2)</f>
        <v>20.16</v>
      </c>
      <c r="BP2" s="6"/>
      <c r="BQ2" s="6">
        <v>1.7</v>
      </c>
      <c r="BR2" s="6">
        <v>0.5</v>
      </c>
      <c r="BS2" s="6">
        <v>2.2999999999999998</v>
      </c>
      <c r="BU2" s="6">
        <v>0</v>
      </c>
      <c r="BV2" s="6">
        <v>0</v>
      </c>
      <c r="BW2" s="6">
        <v>0</v>
      </c>
      <c r="BX2" s="6">
        <v>0</v>
      </c>
      <c r="BY2" s="6">
        <v>0</v>
      </c>
      <c r="BZ2" s="6"/>
      <c r="CA2" s="6"/>
      <c r="CB2" s="6">
        <v>1.6</v>
      </c>
      <c r="CC2" s="6">
        <v>0.5</v>
      </c>
      <c r="CD2" s="6">
        <v>2.2999999999999998</v>
      </c>
      <c r="CF2" t="s">
        <v>130</v>
      </c>
      <c r="CJ2">
        <v>272</v>
      </c>
      <c r="CK2">
        <v>281</v>
      </c>
      <c r="CL2">
        <v>141</v>
      </c>
      <c r="CM2">
        <v>152</v>
      </c>
    </row>
    <row r="3" spans="1:91" x14ac:dyDescent="0.2">
      <c r="C3" s="1"/>
      <c r="D3" s="1"/>
      <c r="E3" s="1"/>
      <c r="F3" s="1"/>
      <c r="G3" s="1"/>
      <c r="AO3" s="6"/>
      <c r="AP3" s="6"/>
      <c r="AQ3" s="6"/>
      <c r="AR3" s="6"/>
      <c r="AS3" s="6"/>
      <c r="AT3" s="6"/>
      <c r="AU3" s="6"/>
      <c r="AV3" s="6"/>
      <c r="AW3" s="6"/>
      <c r="AX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U3" s="6"/>
      <c r="BV3" s="6"/>
      <c r="BW3" s="6"/>
      <c r="BX3" s="6"/>
      <c r="BY3" s="6"/>
      <c r="BZ3" s="6"/>
      <c r="CA3" s="6"/>
      <c r="CB3" s="6"/>
      <c r="CC3" s="6"/>
      <c r="CD3" s="6"/>
    </row>
    <row r="4" spans="1:91" x14ac:dyDescent="0.2">
      <c r="A4">
        <v>2</v>
      </c>
      <c r="B4" t="s">
        <v>50</v>
      </c>
      <c r="C4" s="1">
        <v>19725</v>
      </c>
      <c r="D4" s="1">
        <v>43507</v>
      </c>
      <c r="E4" s="1">
        <v>43745</v>
      </c>
      <c r="F4" s="1">
        <v>43501</v>
      </c>
      <c r="G4" s="1">
        <v>43746</v>
      </c>
      <c r="H4" s="6">
        <v>1</v>
      </c>
      <c r="I4" t="s">
        <v>131</v>
      </c>
      <c r="J4" s="6">
        <v>7.1</v>
      </c>
      <c r="K4" s="6">
        <v>5.5</v>
      </c>
      <c r="L4" s="6">
        <v>3.7</v>
      </c>
      <c r="M4" s="6">
        <v>29.9</v>
      </c>
      <c r="N4" s="6">
        <f t="shared" ref="N4:N29" si="0">(L4*M4)</f>
        <v>110.63</v>
      </c>
      <c r="R4" s="6">
        <v>1</v>
      </c>
      <c r="T4" s="6">
        <v>0.8</v>
      </c>
      <c r="W4" s="6">
        <f>J4/T4</f>
        <v>8.8749999999999982</v>
      </c>
      <c r="Y4" s="6">
        <f>J4</f>
        <v>7.1</v>
      </c>
      <c r="Z4" s="6">
        <f>K4</f>
        <v>5.5</v>
      </c>
      <c r="AA4" s="6">
        <f>L4</f>
        <v>3.7</v>
      </c>
      <c r="AB4" s="6">
        <f>M4</f>
        <v>29.9</v>
      </c>
      <c r="AC4" s="6">
        <f>N4</f>
        <v>110.63</v>
      </c>
      <c r="AE4" s="6" t="s">
        <v>336</v>
      </c>
      <c r="AF4" s="6">
        <v>110.63</v>
      </c>
      <c r="AG4" s="6">
        <v>32.56</v>
      </c>
      <c r="AH4" s="6">
        <v>101.52</v>
      </c>
      <c r="AI4" s="6">
        <v>0</v>
      </c>
      <c r="AJ4" s="6" t="s">
        <v>337</v>
      </c>
      <c r="AK4" s="6">
        <v>0.8</v>
      </c>
      <c r="AL4" s="6">
        <v>0.9</v>
      </c>
      <c r="AM4" s="6">
        <v>0.4</v>
      </c>
      <c r="AO4" s="6">
        <v>4.2</v>
      </c>
      <c r="AP4" s="6">
        <v>2.8</v>
      </c>
      <c r="AQ4" s="6">
        <v>2.2000000000000002</v>
      </c>
      <c r="AR4" s="6">
        <v>14.8</v>
      </c>
      <c r="AS4" s="6">
        <f>(AQ4*AR4)</f>
        <v>32.56</v>
      </c>
      <c r="AT4" s="6"/>
      <c r="AU4" s="6"/>
      <c r="AV4" s="6">
        <v>1.1000000000000001</v>
      </c>
      <c r="AW4" s="6">
        <v>1.2</v>
      </c>
      <c r="AX4" s="6">
        <v>0.5</v>
      </c>
      <c r="AZ4">
        <v>5</v>
      </c>
      <c r="BA4">
        <v>4</v>
      </c>
      <c r="BB4">
        <v>2.7</v>
      </c>
      <c r="BC4">
        <v>37.6</v>
      </c>
      <c r="BD4" s="6">
        <f>(BB4*BC4)</f>
        <v>101.52000000000001</v>
      </c>
      <c r="BE4" s="6"/>
      <c r="BF4" s="6">
        <v>1.5</v>
      </c>
      <c r="BG4" s="6"/>
      <c r="BH4" s="6"/>
      <c r="BI4" s="6">
        <f>(AZ4/BF4)</f>
        <v>3.3333333333333335</v>
      </c>
      <c r="BJ4" s="6"/>
      <c r="BK4">
        <v>5</v>
      </c>
      <c r="BL4">
        <v>4</v>
      </c>
      <c r="BM4">
        <v>2.7</v>
      </c>
      <c r="BN4">
        <v>37.6</v>
      </c>
      <c r="BO4" s="6">
        <f>(BM4*BN4)</f>
        <v>101.52000000000001</v>
      </c>
      <c r="BP4" s="6"/>
      <c r="BQ4" s="6">
        <v>1.5</v>
      </c>
      <c r="BR4" s="6">
        <v>0.6</v>
      </c>
      <c r="BS4" s="6">
        <v>2.2000000000000002</v>
      </c>
      <c r="BU4">
        <v>0</v>
      </c>
      <c r="BV4">
        <v>0</v>
      </c>
      <c r="BW4">
        <v>0</v>
      </c>
      <c r="BX4">
        <v>0</v>
      </c>
      <c r="BY4">
        <v>0</v>
      </c>
      <c r="CB4">
        <v>1.5</v>
      </c>
      <c r="CC4">
        <v>0.6</v>
      </c>
      <c r="CD4">
        <v>2.4</v>
      </c>
      <c r="CF4" t="s">
        <v>211</v>
      </c>
      <c r="CJ4">
        <v>202</v>
      </c>
      <c r="CK4">
        <v>212</v>
      </c>
      <c r="CL4">
        <v>134</v>
      </c>
      <c r="CM4">
        <v>142</v>
      </c>
    </row>
    <row r="5" spans="1:91" x14ac:dyDescent="0.2">
      <c r="C5" s="1"/>
      <c r="D5" s="1"/>
      <c r="E5" s="1"/>
      <c r="F5" s="1"/>
      <c r="G5" s="1"/>
      <c r="AO5" s="6"/>
      <c r="AP5" s="6"/>
      <c r="AQ5" s="6"/>
      <c r="AR5" s="6"/>
      <c r="AS5" s="6"/>
      <c r="AT5" s="6"/>
      <c r="AU5" s="6"/>
      <c r="AV5" s="6"/>
      <c r="AW5" s="6"/>
      <c r="AX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</row>
    <row r="6" spans="1:91" x14ac:dyDescent="0.2">
      <c r="A6">
        <v>3</v>
      </c>
      <c r="B6" s="4" t="s">
        <v>71</v>
      </c>
      <c r="C6" s="1">
        <v>24925</v>
      </c>
      <c r="D6" s="1">
        <v>43605</v>
      </c>
      <c r="E6" s="1">
        <v>43766</v>
      </c>
      <c r="F6" s="1">
        <v>43606</v>
      </c>
      <c r="G6" s="1">
        <v>43767</v>
      </c>
      <c r="H6" s="6">
        <v>1</v>
      </c>
      <c r="I6" s="4" t="s">
        <v>132</v>
      </c>
      <c r="J6" s="6">
        <v>10.3</v>
      </c>
      <c r="K6" s="6">
        <v>4.4000000000000004</v>
      </c>
      <c r="L6" s="6">
        <v>6.5</v>
      </c>
      <c r="M6" s="6">
        <v>1.8</v>
      </c>
      <c r="N6" s="6">
        <f t="shared" si="0"/>
        <v>11.700000000000001</v>
      </c>
      <c r="P6" s="6">
        <v>1</v>
      </c>
      <c r="R6" s="6">
        <v>14</v>
      </c>
      <c r="T6" s="6">
        <v>0.7</v>
      </c>
      <c r="U6" s="6">
        <f>AVERAGE(J6:J19)</f>
        <v>6.9214285714285708</v>
      </c>
      <c r="W6" s="6">
        <f>(U6/T6)</f>
        <v>9.8877551020408152</v>
      </c>
      <c r="Y6" s="6">
        <f>MAX(J6:J19)</f>
        <v>11.9</v>
      </c>
      <c r="Z6" s="6">
        <f>AVERAGE(K6:K19)</f>
        <v>4.6571428571428575</v>
      </c>
      <c r="AA6" s="6">
        <f>AVERAGE(L6:L19)</f>
        <v>4.0428571428571427</v>
      </c>
      <c r="AB6" s="6">
        <f>AVERAGE(M6:M19)</f>
        <v>10.271428571428574</v>
      </c>
      <c r="AC6" s="6">
        <f>AVERAGE(N6:N19)</f>
        <v>47.83</v>
      </c>
      <c r="AE6" s="6" t="s">
        <v>336</v>
      </c>
      <c r="AF6" s="6">
        <f>SUM(N6:N19)</f>
        <v>669.62</v>
      </c>
      <c r="AG6" s="6">
        <f>SUM(AS6:AS19)</f>
        <v>146.32999999999996</v>
      </c>
      <c r="AH6" s="6">
        <v>425.65</v>
      </c>
      <c r="AI6" s="6">
        <v>8.1</v>
      </c>
      <c r="AJ6" s="6" t="s">
        <v>336</v>
      </c>
      <c r="AK6" s="6">
        <v>0.7</v>
      </c>
      <c r="AL6" s="6">
        <v>0.8</v>
      </c>
      <c r="AM6" s="6">
        <v>0.5</v>
      </c>
      <c r="AO6" s="6">
        <v>1.8</v>
      </c>
      <c r="AP6" s="6">
        <v>1.2</v>
      </c>
      <c r="AQ6" s="6">
        <v>1.2</v>
      </c>
      <c r="AR6" s="6">
        <v>1.6</v>
      </c>
      <c r="AS6" s="6">
        <f t="shared" ref="AS6:AS19" si="1">(AQ6*AR6)</f>
        <v>1.92</v>
      </c>
      <c r="AT6" s="6"/>
      <c r="AV6" s="6">
        <v>0.7</v>
      </c>
      <c r="AW6" s="6">
        <v>0.8</v>
      </c>
      <c r="AX6" s="6">
        <v>0.5</v>
      </c>
      <c r="AZ6">
        <v>12.8</v>
      </c>
      <c r="BA6">
        <v>10.199999999999999</v>
      </c>
      <c r="BB6">
        <v>8.9</v>
      </c>
      <c r="BC6">
        <v>3.5</v>
      </c>
      <c r="BD6" s="6">
        <f>(BB6*BC6)</f>
        <v>31.150000000000002</v>
      </c>
      <c r="BE6" s="6"/>
      <c r="BF6" s="8">
        <v>1.8</v>
      </c>
      <c r="BG6" s="8">
        <f>AVERAGE(AZ6:AZ19)</f>
        <v>6.0923076923076929</v>
      </c>
      <c r="BH6" s="8"/>
      <c r="BI6" s="8">
        <f>(BG6/BF6)</f>
        <v>3.384615384615385</v>
      </c>
      <c r="BJ6" s="6"/>
      <c r="BK6">
        <f>MAX(AZ6:AZ19)</f>
        <v>14.4</v>
      </c>
      <c r="BL6">
        <f>AVERAGE(BA6:BA19)</f>
        <v>4.5692307692307699</v>
      </c>
      <c r="BM6">
        <f>AVERAGE(BB8:BB19)</f>
        <v>3.3916666666666671</v>
      </c>
      <c r="BN6">
        <f>AVERAGE(BC8:BC19)</f>
        <v>8.85</v>
      </c>
      <c r="BO6" s="6">
        <f>AVERAGE(BD8:BD19)</f>
        <v>32.875</v>
      </c>
      <c r="BP6" s="6"/>
      <c r="BQ6" s="8">
        <v>1.8</v>
      </c>
      <c r="BR6" s="8">
        <v>0.6</v>
      </c>
      <c r="BS6" s="8">
        <v>2.2000000000000002</v>
      </c>
      <c r="BU6">
        <v>0</v>
      </c>
      <c r="BV6">
        <v>0</v>
      </c>
      <c r="BW6">
        <v>0</v>
      </c>
      <c r="BX6">
        <v>0</v>
      </c>
      <c r="BY6">
        <v>0</v>
      </c>
      <c r="CB6" s="8">
        <v>1.7</v>
      </c>
      <c r="CC6" s="8">
        <v>0.6</v>
      </c>
      <c r="CD6" s="8">
        <v>2.2000000000000002</v>
      </c>
      <c r="CJ6">
        <v>205</v>
      </c>
      <c r="CK6">
        <v>204</v>
      </c>
      <c r="CL6">
        <v>116</v>
      </c>
      <c r="CM6">
        <v>122</v>
      </c>
    </row>
    <row r="7" spans="1:91" x14ac:dyDescent="0.2">
      <c r="H7" s="6">
        <v>1</v>
      </c>
      <c r="I7" s="4" t="s">
        <v>133</v>
      </c>
      <c r="J7" s="6">
        <v>3.3</v>
      </c>
      <c r="K7" s="6">
        <v>1.4</v>
      </c>
      <c r="L7" s="6">
        <v>2.1</v>
      </c>
      <c r="M7" s="6">
        <v>1.1000000000000001</v>
      </c>
      <c r="N7" s="6">
        <f t="shared" si="0"/>
        <v>2.3100000000000005</v>
      </c>
      <c r="P7" s="6">
        <v>1</v>
      </c>
      <c r="AO7" s="6">
        <v>1.1000000000000001</v>
      </c>
      <c r="AP7" s="6">
        <v>0.7</v>
      </c>
      <c r="AQ7" s="6">
        <v>0.7</v>
      </c>
      <c r="AR7" s="6">
        <v>0.9</v>
      </c>
      <c r="AS7" s="6">
        <f t="shared" si="1"/>
        <v>0.63</v>
      </c>
      <c r="AT7" s="6"/>
      <c r="BU7" t="s">
        <v>141</v>
      </c>
      <c r="BV7" t="s">
        <v>141</v>
      </c>
      <c r="BW7" t="s">
        <v>141</v>
      </c>
      <c r="BX7" t="s">
        <v>141</v>
      </c>
      <c r="BY7" t="s">
        <v>141</v>
      </c>
    </row>
    <row r="8" spans="1:91" x14ac:dyDescent="0.2">
      <c r="H8" s="6">
        <v>1</v>
      </c>
      <c r="I8" s="4" t="s">
        <v>134</v>
      </c>
      <c r="J8" s="6">
        <v>11.9</v>
      </c>
      <c r="K8" s="6">
        <v>7.7</v>
      </c>
      <c r="L8" s="6">
        <v>6.8</v>
      </c>
      <c r="M8" s="6">
        <v>5.9</v>
      </c>
      <c r="N8" s="6">
        <f t="shared" si="0"/>
        <v>40.120000000000005</v>
      </c>
      <c r="AO8" s="6">
        <v>3.7</v>
      </c>
      <c r="AP8" s="6">
        <v>2.6</v>
      </c>
      <c r="AQ8" s="6">
        <v>2.1</v>
      </c>
      <c r="AR8" s="6">
        <v>5.9</v>
      </c>
      <c r="AS8" s="6">
        <f t="shared" si="1"/>
        <v>12.39</v>
      </c>
      <c r="AT8" s="6"/>
      <c r="AZ8">
        <v>14.4</v>
      </c>
      <c r="BA8">
        <v>10.3</v>
      </c>
      <c r="BB8">
        <v>8</v>
      </c>
      <c r="BC8">
        <v>8.3000000000000007</v>
      </c>
      <c r="BD8" s="8">
        <f>(BB8*BC8)</f>
        <v>66.400000000000006</v>
      </c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U8" s="8">
        <v>0</v>
      </c>
      <c r="BV8" s="8">
        <v>0</v>
      </c>
      <c r="BW8" s="8">
        <v>0</v>
      </c>
      <c r="BX8" s="8">
        <v>0</v>
      </c>
      <c r="BY8" s="8">
        <v>0</v>
      </c>
      <c r="BZ8" s="8"/>
      <c r="CB8" s="8"/>
      <c r="CC8" s="8"/>
      <c r="CD8" s="8"/>
    </row>
    <row r="9" spans="1:91" x14ac:dyDescent="0.2">
      <c r="H9" s="6">
        <v>1</v>
      </c>
      <c r="I9" t="s">
        <v>135</v>
      </c>
      <c r="J9" s="6">
        <v>11.3</v>
      </c>
      <c r="K9" s="6">
        <v>7.7</v>
      </c>
      <c r="L9" s="6">
        <v>6.3</v>
      </c>
      <c r="M9" s="6">
        <v>23.6</v>
      </c>
      <c r="N9" s="6">
        <f t="shared" si="0"/>
        <v>148.68</v>
      </c>
      <c r="AO9" s="6">
        <v>4.2</v>
      </c>
      <c r="AP9" s="6">
        <v>3.1</v>
      </c>
      <c r="AQ9" s="6">
        <v>2.2999999999999998</v>
      </c>
      <c r="AR9" s="6">
        <v>18</v>
      </c>
      <c r="AS9" s="6">
        <f t="shared" si="1"/>
        <v>41.4</v>
      </c>
      <c r="AT9" s="6"/>
      <c r="AZ9">
        <v>8.6</v>
      </c>
      <c r="BA9">
        <v>5.9</v>
      </c>
      <c r="BB9">
        <v>4.7</v>
      </c>
      <c r="BC9">
        <v>21.5</v>
      </c>
      <c r="BD9" s="8">
        <f t="shared" ref="BD9:BD19" si="2">(BB9*BC9)</f>
        <v>101.05</v>
      </c>
      <c r="BE9" s="8"/>
      <c r="BF9" s="8"/>
      <c r="BG9" s="8"/>
      <c r="BH9" s="8"/>
      <c r="BI9" s="8"/>
      <c r="BJ9" s="8"/>
      <c r="BK9" s="8"/>
      <c r="BL9" s="8"/>
      <c r="BM9" s="8"/>
      <c r="BN9" s="8"/>
      <c r="BO9" s="8"/>
      <c r="BP9" s="8"/>
      <c r="BQ9" s="8"/>
      <c r="BR9" s="8"/>
      <c r="BS9" s="8"/>
      <c r="BU9">
        <v>2.7</v>
      </c>
      <c r="BV9">
        <v>2.2999999999999998</v>
      </c>
      <c r="BW9">
        <v>1.8</v>
      </c>
      <c r="BX9">
        <v>4.5</v>
      </c>
      <c r="BY9" s="8">
        <f>(BW9*BX9)</f>
        <v>8.1</v>
      </c>
    </row>
    <row r="10" spans="1:91" x14ac:dyDescent="0.2">
      <c r="H10" s="6">
        <v>1</v>
      </c>
      <c r="I10" t="s">
        <v>136</v>
      </c>
      <c r="J10" s="6">
        <v>8.8000000000000007</v>
      </c>
      <c r="K10" s="6">
        <v>6.4</v>
      </c>
      <c r="L10" s="6">
        <v>4.5999999999999996</v>
      </c>
      <c r="M10" s="6">
        <v>49.9</v>
      </c>
      <c r="N10" s="6">
        <f t="shared" si="0"/>
        <v>229.53999999999996</v>
      </c>
      <c r="AO10" s="6">
        <v>4.0999999999999996</v>
      </c>
      <c r="AP10" s="6">
        <v>3</v>
      </c>
      <c r="AQ10" s="6">
        <v>2.2000000000000002</v>
      </c>
      <c r="AR10" s="6">
        <v>19.100000000000001</v>
      </c>
      <c r="AS10" s="6">
        <f t="shared" si="1"/>
        <v>42.02</v>
      </c>
      <c r="AT10" s="6"/>
      <c r="AZ10">
        <v>7.7</v>
      </c>
      <c r="BA10">
        <v>4.8</v>
      </c>
      <c r="BB10">
        <v>3.8</v>
      </c>
      <c r="BC10">
        <v>26</v>
      </c>
      <c r="BD10" s="8">
        <f t="shared" si="2"/>
        <v>98.8</v>
      </c>
      <c r="BE10" s="8"/>
      <c r="BF10" s="8"/>
      <c r="BG10" s="8"/>
      <c r="BH10" s="8"/>
      <c r="BI10" s="8"/>
      <c r="BJ10" s="8"/>
      <c r="BK10" s="8"/>
      <c r="BL10" s="8"/>
      <c r="BM10" s="8"/>
      <c r="BN10" s="8"/>
      <c r="BO10" s="8"/>
      <c r="BP10" s="8"/>
      <c r="BQ10" s="8"/>
      <c r="BR10" s="8"/>
      <c r="BS10" s="8"/>
      <c r="BU10">
        <v>0</v>
      </c>
      <c r="BV10">
        <v>0</v>
      </c>
      <c r="BW10">
        <v>0</v>
      </c>
      <c r="BX10">
        <v>0</v>
      </c>
      <c r="BY10">
        <v>0</v>
      </c>
    </row>
    <row r="11" spans="1:91" x14ac:dyDescent="0.2">
      <c r="H11" s="6">
        <v>1</v>
      </c>
      <c r="I11" t="s">
        <v>131</v>
      </c>
      <c r="J11" s="6">
        <v>7.6</v>
      </c>
      <c r="K11" s="6">
        <v>5</v>
      </c>
      <c r="L11" s="6">
        <v>3.9</v>
      </c>
      <c r="M11" s="6">
        <v>15.3</v>
      </c>
      <c r="N11" s="6">
        <f t="shared" si="0"/>
        <v>59.67</v>
      </c>
      <c r="AO11" s="6">
        <v>3</v>
      </c>
      <c r="AP11" s="6">
        <v>2.4</v>
      </c>
      <c r="AQ11" s="6">
        <v>1.6</v>
      </c>
      <c r="AR11" s="6">
        <v>11</v>
      </c>
      <c r="AS11" s="6">
        <f t="shared" si="1"/>
        <v>17.600000000000001</v>
      </c>
      <c r="AT11" s="6"/>
      <c r="AZ11">
        <v>4.3</v>
      </c>
      <c r="BA11">
        <v>2.9</v>
      </c>
      <c r="BB11">
        <v>2.2000000000000002</v>
      </c>
      <c r="BC11">
        <v>31</v>
      </c>
      <c r="BD11" s="8">
        <f t="shared" si="2"/>
        <v>68.2</v>
      </c>
      <c r="BE11" s="8"/>
      <c r="BF11" s="8"/>
      <c r="BG11" s="8"/>
      <c r="BH11" s="8"/>
      <c r="BI11" s="8"/>
      <c r="BJ11" s="8"/>
      <c r="BK11" s="8"/>
      <c r="BL11" s="8"/>
      <c r="BM11" s="8"/>
      <c r="BN11" s="8"/>
      <c r="BO11" s="8"/>
      <c r="BP11" s="8"/>
      <c r="BQ11" s="8"/>
      <c r="BR11" s="8"/>
      <c r="BS11" s="8"/>
      <c r="BU11">
        <v>0</v>
      </c>
      <c r="BV11">
        <v>0</v>
      </c>
      <c r="BW11">
        <v>0</v>
      </c>
      <c r="BX11">
        <v>0</v>
      </c>
      <c r="BY11">
        <v>0</v>
      </c>
    </row>
    <row r="12" spans="1:91" x14ac:dyDescent="0.2">
      <c r="H12" s="6">
        <v>1</v>
      </c>
      <c r="I12" t="s">
        <v>137</v>
      </c>
      <c r="J12" s="6">
        <v>5.0999999999999996</v>
      </c>
      <c r="K12" s="6">
        <v>3.2</v>
      </c>
      <c r="L12" s="6">
        <v>2.7</v>
      </c>
      <c r="M12" s="6">
        <v>4.7</v>
      </c>
      <c r="N12" s="6">
        <f t="shared" si="0"/>
        <v>12.690000000000001</v>
      </c>
      <c r="AO12" s="6">
        <v>1.8</v>
      </c>
      <c r="AP12" s="6">
        <v>1.6</v>
      </c>
      <c r="AQ12" s="6">
        <v>1.5</v>
      </c>
      <c r="AR12" s="6">
        <v>2.2000000000000002</v>
      </c>
      <c r="AS12" s="6">
        <f t="shared" si="1"/>
        <v>3.3000000000000003</v>
      </c>
      <c r="AT12" s="6"/>
      <c r="AZ12">
        <v>2.9</v>
      </c>
      <c r="BA12">
        <v>2.2999999999999998</v>
      </c>
      <c r="BB12">
        <v>2.1</v>
      </c>
      <c r="BC12">
        <v>2.4</v>
      </c>
      <c r="BD12" s="8">
        <f t="shared" si="2"/>
        <v>5.04</v>
      </c>
      <c r="BE12" s="8"/>
      <c r="BF12" s="8"/>
      <c r="BG12" s="8"/>
      <c r="BH12" s="8"/>
      <c r="BI12" s="8"/>
      <c r="BJ12" s="8"/>
      <c r="BK12" s="8"/>
      <c r="BL12" s="8"/>
      <c r="BM12" s="8"/>
      <c r="BN12" s="8"/>
      <c r="BO12" s="8"/>
      <c r="BP12" s="8"/>
      <c r="BQ12" s="8"/>
      <c r="BR12" s="8"/>
      <c r="BS12" s="8"/>
      <c r="BU12">
        <v>0</v>
      </c>
      <c r="BV12">
        <v>0</v>
      </c>
      <c r="BW12">
        <v>0</v>
      </c>
      <c r="BX12">
        <v>0</v>
      </c>
      <c r="BY12">
        <v>0</v>
      </c>
    </row>
    <row r="13" spans="1:91" x14ac:dyDescent="0.2">
      <c r="H13" s="6">
        <v>1</v>
      </c>
      <c r="I13" t="s">
        <v>138</v>
      </c>
      <c r="J13" s="6">
        <v>6.8</v>
      </c>
      <c r="K13" s="6">
        <v>4.5999999999999996</v>
      </c>
      <c r="L13" s="6">
        <v>3.9</v>
      </c>
      <c r="M13" s="6">
        <v>4.3</v>
      </c>
      <c r="N13" s="6">
        <f t="shared" si="0"/>
        <v>16.77</v>
      </c>
      <c r="AO13" s="6">
        <v>2.5</v>
      </c>
      <c r="AP13" s="6">
        <v>2</v>
      </c>
      <c r="AQ13" s="6">
        <v>1.4</v>
      </c>
      <c r="AR13" s="6">
        <v>2.1</v>
      </c>
      <c r="AS13" s="6">
        <f t="shared" si="1"/>
        <v>2.94</v>
      </c>
      <c r="AT13" s="6"/>
      <c r="AZ13">
        <v>3.1</v>
      </c>
      <c r="BA13">
        <v>2.7</v>
      </c>
      <c r="BB13">
        <v>2.2000000000000002</v>
      </c>
      <c r="BC13">
        <v>3.3</v>
      </c>
      <c r="BD13" s="8">
        <f t="shared" si="2"/>
        <v>7.26</v>
      </c>
      <c r="BE13" s="8"/>
      <c r="BF13" s="8"/>
      <c r="BG13" s="8"/>
      <c r="BH13" s="8"/>
      <c r="BI13" s="8"/>
      <c r="BJ13" s="8"/>
      <c r="BK13" s="8"/>
      <c r="BL13" s="8"/>
      <c r="BM13" s="8"/>
      <c r="BN13" s="8"/>
      <c r="BO13" s="8"/>
      <c r="BP13" s="8"/>
      <c r="BQ13" s="8"/>
      <c r="BR13" s="8"/>
      <c r="BS13" s="8"/>
      <c r="BU13">
        <v>0</v>
      </c>
      <c r="BV13">
        <v>0</v>
      </c>
      <c r="BW13">
        <v>0</v>
      </c>
      <c r="BX13">
        <v>0</v>
      </c>
      <c r="BY13">
        <v>0</v>
      </c>
    </row>
    <row r="14" spans="1:91" x14ac:dyDescent="0.2">
      <c r="H14" s="6">
        <v>1</v>
      </c>
      <c r="I14" t="s">
        <v>139</v>
      </c>
      <c r="J14" s="6">
        <v>2.6</v>
      </c>
      <c r="K14" s="6">
        <v>2.1</v>
      </c>
      <c r="L14" s="6">
        <v>1.9</v>
      </c>
      <c r="M14" s="6">
        <v>1.9</v>
      </c>
      <c r="N14" s="6">
        <f t="shared" si="0"/>
        <v>3.61</v>
      </c>
      <c r="AO14" s="6">
        <v>1.4</v>
      </c>
      <c r="AP14" s="6">
        <v>1.2</v>
      </c>
      <c r="AQ14" s="6">
        <v>1.1000000000000001</v>
      </c>
      <c r="AR14" s="6">
        <v>1.2</v>
      </c>
      <c r="AS14" s="6">
        <f t="shared" si="1"/>
        <v>1.32</v>
      </c>
      <c r="AT14" s="6"/>
      <c r="AZ14">
        <v>2.9</v>
      </c>
      <c r="BA14">
        <v>1.9</v>
      </c>
      <c r="BB14">
        <v>2</v>
      </c>
      <c r="BC14">
        <v>1</v>
      </c>
      <c r="BD14" s="8">
        <f t="shared" si="2"/>
        <v>2</v>
      </c>
      <c r="BE14" s="8"/>
      <c r="BF14" s="8"/>
      <c r="BG14" s="8"/>
      <c r="BH14" s="8"/>
      <c r="BI14" s="8"/>
      <c r="BJ14" s="8"/>
      <c r="BK14" s="8"/>
      <c r="BL14" s="8"/>
      <c r="BM14" s="8"/>
      <c r="BN14" s="8"/>
      <c r="BO14" s="8"/>
      <c r="BP14" s="8"/>
      <c r="BQ14" s="8"/>
      <c r="BR14" s="8"/>
      <c r="BS14" s="8"/>
      <c r="BU14">
        <v>0</v>
      </c>
      <c r="BV14">
        <v>0</v>
      </c>
      <c r="BW14">
        <v>0</v>
      </c>
      <c r="BX14">
        <v>0</v>
      </c>
      <c r="BY14">
        <v>0</v>
      </c>
    </row>
    <row r="15" spans="1:91" x14ac:dyDescent="0.2">
      <c r="H15" s="6">
        <v>1</v>
      </c>
      <c r="I15" t="s">
        <v>140</v>
      </c>
      <c r="J15" s="6">
        <v>3.6</v>
      </c>
      <c r="K15" s="6">
        <v>2.4</v>
      </c>
      <c r="L15" s="6">
        <v>2.2000000000000002</v>
      </c>
      <c r="M15" s="6">
        <v>2.8</v>
      </c>
      <c r="N15" s="6">
        <f t="shared" si="0"/>
        <v>6.16</v>
      </c>
      <c r="AO15" s="6">
        <v>2.1</v>
      </c>
      <c r="AP15" s="6">
        <v>2</v>
      </c>
      <c r="AQ15" s="6">
        <v>1.9</v>
      </c>
      <c r="AR15" s="6">
        <v>2.1</v>
      </c>
      <c r="AS15" s="6">
        <f t="shared" si="1"/>
        <v>3.9899999999999998</v>
      </c>
      <c r="AT15" s="6"/>
      <c r="AZ15">
        <v>2.5</v>
      </c>
      <c r="BA15">
        <v>1.9</v>
      </c>
      <c r="BB15">
        <v>2</v>
      </c>
      <c r="BC15">
        <v>1.1000000000000001</v>
      </c>
      <c r="BD15" s="8">
        <f t="shared" si="2"/>
        <v>2.2000000000000002</v>
      </c>
      <c r="BE15" s="8"/>
      <c r="BF15" s="8"/>
      <c r="BG15" s="8"/>
      <c r="BH15" s="8"/>
      <c r="BI15" s="8"/>
      <c r="BJ15" s="8"/>
      <c r="BK15" s="8"/>
      <c r="BL15" s="8"/>
      <c r="BM15" s="8"/>
      <c r="BN15" s="8"/>
      <c r="BO15" s="8"/>
      <c r="BP15" s="8"/>
      <c r="BQ15" s="8"/>
      <c r="BR15" s="8"/>
      <c r="BS15" s="8"/>
      <c r="BU15">
        <v>0</v>
      </c>
      <c r="BV15">
        <v>0</v>
      </c>
      <c r="BW15">
        <v>0</v>
      </c>
      <c r="BX15">
        <v>0</v>
      </c>
      <c r="BY15">
        <v>0</v>
      </c>
    </row>
    <row r="16" spans="1:91" x14ac:dyDescent="0.2">
      <c r="C16" s="1"/>
      <c r="D16" s="1"/>
      <c r="F16" s="1"/>
      <c r="H16" s="6">
        <v>1</v>
      </c>
      <c r="I16" t="s">
        <v>142</v>
      </c>
      <c r="J16" s="6">
        <v>3.2</v>
      </c>
      <c r="K16" s="6">
        <v>2.2999999999999998</v>
      </c>
      <c r="L16" s="6">
        <v>2</v>
      </c>
      <c r="M16" s="6">
        <v>3</v>
      </c>
      <c r="N16" s="6">
        <f t="shared" si="0"/>
        <v>6</v>
      </c>
      <c r="AO16" s="6">
        <v>2.4</v>
      </c>
      <c r="AP16" s="6">
        <v>2</v>
      </c>
      <c r="AQ16" s="6">
        <v>1.8</v>
      </c>
      <c r="AR16" s="6">
        <v>2.8</v>
      </c>
      <c r="AS16" s="6">
        <f t="shared" si="1"/>
        <v>5.04</v>
      </c>
      <c r="AT16" s="6"/>
      <c r="AZ16">
        <v>3.6</v>
      </c>
      <c r="BA16">
        <v>3.2</v>
      </c>
      <c r="BB16">
        <v>2.5</v>
      </c>
      <c r="BC16">
        <v>1.7</v>
      </c>
      <c r="BD16" s="8">
        <f t="shared" si="2"/>
        <v>4.25</v>
      </c>
      <c r="BE16" s="8"/>
      <c r="BF16" s="8"/>
      <c r="BG16" s="8"/>
      <c r="BH16" s="8"/>
      <c r="BI16" s="8"/>
      <c r="BJ16" s="8"/>
      <c r="BK16" s="8"/>
      <c r="BL16" s="8"/>
      <c r="BM16" s="8"/>
      <c r="BN16" s="8"/>
      <c r="BO16" s="8"/>
      <c r="BP16" s="8"/>
      <c r="BQ16" s="8"/>
      <c r="BR16" s="8"/>
      <c r="BS16" s="8"/>
      <c r="BU16">
        <v>0</v>
      </c>
      <c r="BV16">
        <v>0</v>
      </c>
      <c r="BW16">
        <v>0</v>
      </c>
      <c r="BX16">
        <v>0</v>
      </c>
      <c r="BY16">
        <v>0</v>
      </c>
    </row>
    <row r="17" spans="1:91" x14ac:dyDescent="0.2">
      <c r="C17" s="1"/>
      <c r="D17" s="1"/>
      <c r="F17" s="1"/>
      <c r="H17" s="6">
        <v>1</v>
      </c>
      <c r="I17" t="s">
        <v>144</v>
      </c>
      <c r="J17" s="6">
        <v>5.0999999999999996</v>
      </c>
      <c r="K17" s="6">
        <v>3.3</v>
      </c>
      <c r="L17" s="6">
        <v>3.1</v>
      </c>
      <c r="M17" s="6">
        <v>1.9</v>
      </c>
      <c r="N17" s="6">
        <f t="shared" si="0"/>
        <v>5.89</v>
      </c>
      <c r="AO17" s="6">
        <v>2.2999999999999998</v>
      </c>
      <c r="AP17" s="6">
        <v>1.7</v>
      </c>
      <c r="AQ17" s="6">
        <v>1.6</v>
      </c>
      <c r="AR17" s="6">
        <v>1</v>
      </c>
      <c r="AS17" s="6">
        <f t="shared" si="1"/>
        <v>1.6</v>
      </c>
      <c r="AT17" s="6"/>
      <c r="AZ17">
        <v>3.9</v>
      </c>
      <c r="BA17">
        <v>3.2</v>
      </c>
      <c r="BB17">
        <v>2.9</v>
      </c>
      <c r="BC17">
        <v>1.4</v>
      </c>
      <c r="BD17" s="8">
        <f t="shared" si="2"/>
        <v>4.0599999999999996</v>
      </c>
      <c r="BE17" s="8"/>
      <c r="BF17" s="8"/>
      <c r="BG17" s="8"/>
      <c r="BH17" s="8"/>
      <c r="BI17" s="8"/>
      <c r="BJ17" s="8"/>
      <c r="BK17" s="8"/>
      <c r="BL17" s="8"/>
      <c r="BM17" s="8"/>
      <c r="BN17" s="8"/>
      <c r="BO17" s="8"/>
      <c r="BP17" s="8"/>
      <c r="BQ17" s="8"/>
      <c r="BR17" s="8"/>
      <c r="BS17" s="8"/>
      <c r="BU17">
        <v>0</v>
      </c>
      <c r="BV17">
        <v>0</v>
      </c>
      <c r="BW17">
        <v>0</v>
      </c>
      <c r="BX17">
        <v>0</v>
      </c>
      <c r="BY17">
        <v>0</v>
      </c>
    </row>
    <row r="18" spans="1:91" x14ac:dyDescent="0.2">
      <c r="C18" s="1"/>
      <c r="D18" s="1"/>
      <c r="F18" s="1"/>
      <c r="H18" s="6">
        <v>1</v>
      </c>
      <c r="I18" t="s">
        <v>323</v>
      </c>
      <c r="J18" s="6">
        <v>6.9</v>
      </c>
      <c r="K18" s="6">
        <v>6.6</v>
      </c>
      <c r="L18" s="6">
        <v>4.2</v>
      </c>
      <c r="M18" s="6">
        <v>22.8</v>
      </c>
      <c r="N18" s="6">
        <f t="shared" si="0"/>
        <v>95.76</v>
      </c>
      <c r="AO18" s="6">
        <v>2.4</v>
      </c>
      <c r="AP18" s="6">
        <v>1.8</v>
      </c>
      <c r="AQ18" s="6">
        <v>1.7</v>
      </c>
      <c r="AR18" s="6">
        <v>4.2</v>
      </c>
      <c r="AS18" s="6">
        <f t="shared" si="1"/>
        <v>7.14</v>
      </c>
      <c r="AT18" s="6"/>
      <c r="AZ18">
        <v>6.2</v>
      </c>
      <c r="BA18">
        <v>5</v>
      </c>
      <c r="BB18">
        <v>4.2</v>
      </c>
      <c r="BC18">
        <v>3.9</v>
      </c>
      <c r="BD18" s="8">
        <f t="shared" si="2"/>
        <v>16.38</v>
      </c>
      <c r="BE18" s="8"/>
      <c r="BF18" s="8"/>
      <c r="BG18" s="8"/>
      <c r="BH18" s="8"/>
      <c r="BI18" s="8"/>
      <c r="BJ18" s="8"/>
      <c r="BK18" s="8"/>
      <c r="BL18" s="8"/>
      <c r="BM18" s="8"/>
      <c r="BN18" s="8"/>
      <c r="BO18" s="8"/>
      <c r="BP18" s="8"/>
      <c r="BQ18" s="8"/>
      <c r="BR18" s="8"/>
      <c r="BS18" s="8"/>
      <c r="BU18">
        <v>0</v>
      </c>
      <c r="BV18">
        <v>0</v>
      </c>
      <c r="BW18">
        <v>0</v>
      </c>
      <c r="BX18">
        <v>0</v>
      </c>
      <c r="BY18">
        <v>0</v>
      </c>
    </row>
    <row r="19" spans="1:91" x14ac:dyDescent="0.2">
      <c r="C19" s="1"/>
      <c r="D19" s="1"/>
      <c r="F19" s="1"/>
      <c r="H19" s="6">
        <v>1</v>
      </c>
      <c r="I19" t="s">
        <v>324</v>
      </c>
      <c r="J19" s="6">
        <v>10.4</v>
      </c>
      <c r="K19" s="6">
        <v>8.1</v>
      </c>
      <c r="L19" s="6">
        <v>6.4</v>
      </c>
      <c r="M19" s="6">
        <v>4.8</v>
      </c>
      <c r="N19" s="6">
        <f t="shared" si="0"/>
        <v>30.72</v>
      </c>
      <c r="AO19" s="6">
        <v>2.5</v>
      </c>
      <c r="AP19" s="6">
        <v>1.9</v>
      </c>
      <c r="AQ19" s="6">
        <v>1.8</v>
      </c>
      <c r="AR19" s="6">
        <v>2.8</v>
      </c>
      <c r="AS19" s="6">
        <f t="shared" si="1"/>
        <v>5.04</v>
      </c>
      <c r="AT19" s="6"/>
      <c r="AZ19">
        <v>6.3</v>
      </c>
      <c r="BA19">
        <v>5.0999999999999996</v>
      </c>
      <c r="BB19">
        <v>4.0999999999999996</v>
      </c>
      <c r="BC19">
        <v>4.5999999999999996</v>
      </c>
      <c r="BD19" s="8">
        <f t="shared" si="2"/>
        <v>18.859999999999996</v>
      </c>
      <c r="BE19" s="8"/>
      <c r="BF19" s="8"/>
      <c r="BG19" s="8"/>
      <c r="BH19" s="8"/>
      <c r="BI19" s="8"/>
      <c r="BJ19" s="8"/>
      <c r="BK19" s="8"/>
      <c r="BL19" s="8"/>
      <c r="BM19" s="8"/>
      <c r="BN19" s="8"/>
      <c r="BO19" s="8"/>
      <c r="BP19" s="8"/>
      <c r="BQ19" s="8"/>
      <c r="BR19" s="8"/>
      <c r="BS19" s="8"/>
      <c r="BU19">
        <v>0</v>
      </c>
      <c r="BV19">
        <v>0</v>
      </c>
      <c r="BW19">
        <v>0</v>
      </c>
      <c r="BX19">
        <v>0</v>
      </c>
      <c r="BY19">
        <v>0</v>
      </c>
    </row>
    <row r="20" spans="1:91" x14ac:dyDescent="0.2">
      <c r="C20" s="1"/>
      <c r="D20" s="1"/>
      <c r="F20" s="1"/>
      <c r="BD20" s="8"/>
      <c r="BE20" s="8"/>
      <c r="BF20" s="8"/>
      <c r="BG20" s="8"/>
      <c r="BH20" s="8"/>
      <c r="BI20" s="8"/>
      <c r="BJ20" s="8"/>
      <c r="BK20" s="8"/>
      <c r="BL20" s="8"/>
      <c r="BM20" s="8"/>
      <c r="BN20" s="8"/>
      <c r="BO20" s="8"/>
      <c r="BP20" s="8"/>
      <c r="BQ20" s="8"/>
      <c r="BR20" s="8"/>
      <c r="BS20" s="8"/>
    </row>
    <row r="21" spans="1:91" x14ac:dyDescent="0.2">
      <c r="A21">
        <v>4</v>
      </c>
      <c r="B21" t="s">
        <v>58</v>
      </c>
      <c r="C21" s="1">
        <v>21872</v>
      </c>
      <c r="D21" s="1">
        <v>43528</v>
      </c>
      <c r="E21" s="1">
        <v>43759</v>
      </c>
      <c r="F21" s="1">
        <v>43531</v>
      </c>
      <c r="G21" s="1">
        <v>43760</v>
      </c>
      <c r="H21" s="6">
        <v>1</v>
      </c>
      <c r="I21" t="s">
        <v>318</v>
      </c>
      <c r="J21" s="6">
        <v>8.9</v>
      </c>
      <c r="K21" s="6">
        <v>5.6</v>
      </c>
      <c r="L21" s="6">
        <v>5.0999999999999996</v>
      </c>
      <c r="M21" s="6">
        <v>2.7</v>
      </c>
      <c r="N21" s="6">
        <f t="shared" si="0"/>
        <v>13.77</v>
      </c>
      <c r="R21" s="6">
        <v>1</v>
      </c>
      <c r="T21" s="6">
        <v>0.9</v>
      </c>
      <c r="W21" s="6">
        <f>J21/T21</f>
        <v>9.8888888888888893</v>
      </c>
      <c r="Y21" s="6">
        <f>J21</f>
        <v>8.9</v>
      </c>
      <c r="Z21" s="6">
        <f>K21</f>
        <v>5.6</v>
      </c>
      <c r="AA21" s="6">
        <f>L21</f>
        <v>5.0999999999999996</v>
      </c>
      <c r="AB21" s="6">
        <f>M21</f>
        <v>2.7</v>
      </c>
      <c r="AC21" s="6">
        <f>N21</f>
        <v>13.77</v>
      </c>
      <c r="AE21" s="6" t="s">
        <v>337</v>
      </c>
      <c r="AF21" s="6">
        <v>13.77</v>
      </c>
      <c r="AG21" s="6">
        <v>0</v>
      </c>
      <c r="AH21" s="6">
        <v>9.4</v>
      </c>
      <c r="AI21" s="6">
        <v>0</v>
      </c>
      <c r="AJ21" s="6" t="s">
        <v>337</v>
      </c>
      <c r="AK21" s="6">
        <v>0.9</v>
      </c>
      <c r="AL21" s="6">
        <v>1</v>
      </c>
      <c r="AM21" s="6">
        <v>0.4</v>
      </c>
      <c r="AO21" s="6">
        <v>0</v>
      </c>
      <c r="AP21" s="6">
        <v>0</v>
      </c>
      <c r="AQ21" s="6">
        <v>0</v>
      </c>
      <c r="AR21" s="6">
        <v>0</v>
      </c>
      <c r="AS21" s="6">
        <v>0</v>
      </c>
      <c r="AT21" s="6"/>
      <c r="AU21" s="6"/>
      <c r="AV21" s="6">
        <v>1</v>
      </c>
      <c r="AW21" s="6">
        <v>0.9</v>
      </c>
      <c r="AX21" s="6">
        <v>0.3</v>
      </c>
      <c r="AZ21" s="6">
        <v>3.9</v>
      </c>
      <c r="BA21" s="6">
        <v>3.2</v>
      </c>
      <c r="BB21" s="6">
        <v>2.6</v>
      </c>
      <c r="BC21" s="6">
        <v>3.6</v>
      </c>
      <c r="BD21" s="8">
        <f>(BB21*BC21)</f>
        <v>9.3600000000000012</v>
      </c>
      <c r="BE21" s="8"/>
      <c r="BF21" s="8">
        <v>1.5</v>
      </c>
      <c r="BG21" s="8"/>
      <c r="BH21" s="8"/>
      <c r="BI21" s="8">
        <f>(AZ21/BF21)</f>
        <v>2.6</v>
      </c>
      <c r="BJ21" s="8"/>
      <c r="BK21" s="6">
        <v>3.9</v>
      </c>
      <c r="BL21" s="6">
        <v>3.2</v>
      </c>
      <c r="BM21" s="6">
        <v>2.6</v>
      </c>
      <c r="BN21" s="6">
        <v>3.6</v>
      </c>
      <c r="BO21" s="8">
        <f>(BM21*BN21)</f>
        <v>9.3600000000000012</v>
      </c>
      <c r="BP21" s="8"/>
      <c r="BQ21" s="8">
        <v>1.5</v>
      </c>
      <c r="BR21" s="8">
        <v>0.6</v>
      </c>
      <c r="BS21" s="8">
        <v>2.2999999999999998</v>
      </c>
      <c r="BU21" s="6">
        <v>0</v>
      </c>
      <c r="BV21" s="6">
        <v>0</v>
      </c>
      <c r="BW21" s="6">
        <v>0</v>
      </c>
      <c r="BX21" s="6">
        <v>0</v>
      </c>
      <c r="BY21" s="6">
        <v>0</v>
      </c>
      <c r="BZ21" s="6"/>
      <c r="CA21" s="6"/>
      <c r="CB21" s="6">
        <v>1.7</v>
      </c>
      <c r="CC21" s="6">
        <v>0.6</v>
      </c>
      <c r="CD21" s="6">
        <v>2.5</v>
      </c>
      <c r="CF21" t="s">
        <v>319</v>
      </c>
      <c r="CJ21">
        <v>214</v>
      </c>
      <c r="CK21">
        <v>221</v>
      </c>
      <c r="CL21">
        <v>169</v>
      </c>
      <c r="CM21">
        <v>165</v>
      </c>
    </row>
    <row r="23" spans="1:91" x14ac:dyDescent="0.2">
      <c r="A23">
        <v>5</v>
      </c>
      <c r="B23" t="s">
        <v>79</v>
      </c>
      <c r="C23" s="1">
        <v>20420</v>
      </c>
      <c r="D23" s="1">
        <v>43647</v>
      </c>
      <c r="E23" s="1"/>
      <c r="F23" s="1">
        <v>43648</v>
      </c>
      <c r="G23" s="1"/>
      <c r="H23" s="6">
        <v>1</v>
      </c>
      <c r="I23" t="s">
        <v>142</v>
      </c>
      <c r="J23" s="6">
        <v>3.2</v>
      </c>
      <c r="K23" s="6">
        <v>2.2999999999999998</v>
      </c>
      <c r="L23" s="6">
        <v>2</v>
      </c>
      <c r="M23" s="6">
        <v>3</v>
      </c>
      <c r="N23" s="6">
        <f t="shared" si="0"/>
        <v>6</v>
      </c>
      <c r="R23" s="6">
        <v>2</v>
      </c>
      <c r="T23" s="6">
        <v>0.9</v>
      </c>
      <c r="U23" s="6">
        <f>AVERAGE(J23:J24)</f>
        <v>4.45</v>
      </c>
      <c r="W23" s="6">
        <f>(U23/T23)</f>
        <v>4.9444444444444446</v>
      </c>
      <c r="Y23" s="6">
        <f>MAX(J23:J24)</f>
        <v>5.7</v>
      </c>
      <c r="Z23" s="6">
        <f>AVERAGE(K23:K24)</f>
        <v>2.95</v>
      </c>
      <c r="AA23" s="6">
        <f>AVERAGE(L23:L24)</f>
        <v>2.7</v>
      </c>
      <c r="AB23" s="6">
        <f>AVERAGE(M23:M24)</f>
        <v>2.35</v>
      </c>
      <c r="AC23" s="6">
        <f>AVERAGE(N23:N24)</f>
        <v>5.89</v>
      </c>
      <c r="AE23" s="6" t="s">
        <v>336</v>
      </c>
      <c r="AF23" s="6">
        <f>SUM(N23:N24)</f>
        <v>11.78</v>
      </c>
      <c r="AG23" s="6">
        <f>SUM(AS23:AS24)</f>
        <v>5.44</v>
      </c>
      <c r="AH23" s="6">
        <f>SUM(BD23:BD24)</f>
        <v>9.4499999999999993</v>
      </c>
      <c r="AI23" s="6">
        <v>0</v>
      </c>
      <c r="AJ23" s="6" t="s">
        <v>337</v>
      </c>
      <c r="AK23" s="6">
        <v>0.9</v>
      </c>
      <c r="AL23" s="6">
        <v>0.8</v>
      </c>
      <c r="AM23" s="6">
        <v>0.3</v>
      </c>
      <c r="AO23" s="6">
        <v>1.6</v>
      </c>
      <c r="AP23" s="6">
        <v>1.4</v>
      </c>
      <c r="AQ23" s="6">
        <v>1.2</v>
      </c>
      <c r="AR23" s="6">
        <v>2.4</v>
      </c>
      <c r="AS23" s="6">
        <f>(AQ23*AR23)</f>
        <v>2.88</v>
      </c>
      <c r="AT23" s="6"/>
      <c r="AV23" s="6">
        <v>0.9</v>
      </c>
      <c r="AW23" s="6">
        <v>0.8</v>
      </c>
      <c r="AX23" s="6">
        <v>0.3</v>
      </c>
      <c r="AZ23">
        <v>3.6</v>
      </c>
      <c r="BA23">
        <v>3.2</v>
      </c>
      <c r="BB23">
        <v>2.5</v>
      </c>
      <c r="BC23">
        <v>1.7</v>
      </c>
      <c r="BD23" s="8">
        <f t="shared" ref="BD23:BD28" si="3">(BB23*BC23)</f>
        <v>4.25</v>
      </c>
      <c r="BE23" s="8"/>
      <c r="BF23">
        <v>1.8</v>
      </c>
      <c r="BG23">
        <f>AVERAGE(AZ23:AZ24)</f>
        <v>3.6</v>
      </c>
      <c r="BI23">
        <f>(BG23/BF23)</f>
        <v>2</v>
      </c>
      <c r="BJ23" s="8"/>
      <c r="BK23" s="8">
        <f>MAX(AZ23:AZ24)</f>
        <v>3.6</v>
      </c>
      <c r="BL23" s="8">
        <f>AVERAGE(BA23:BA24)</f>
        <v>3</v>
      </c>
      <c r="BM23" s="8">
        <f>AVERAGE(BB23:BB24)</f>
        <v>2.5499999999999998</v>
      </c>
      <c r="BN23" s="8">
        <f>AVERAGE(BC23:BC24)</f>
        <v>1.85</v>
      </c>
      <c r="BO23" s="8">
        <f>AVERAGE(BD23:BD24)</f>
        <v>4.7249999999999996</v>
      </c>
      <c r="BQ23">
        <v>1.8</v>
      </c>
      <c r="BR23">
        <v>0.5</v>
      </c>
      <c r="BS23">
        <v>2.2999999999999998</v>
      </c>
      <c r="BU23">
        <v>0</v>
      </c>
      <c r="BV23">
        <v>0</v>
      </c>
      <c r="BW23">
        <v>0</v>
      </c>
      <c r="BX23">
        <v>0</v>
      </c>
      <c r="BY23">
        <v>0</v>
      </c>
      <c r="CB23">
        <v>1.8</v>
      </c>
      <c r="CC23">
        <v>0.4</v>
      </c>
      <c r="CD23">
        <v>2.2000000000000002</v>
      </c>
      <c r="CJ23">
        <v>196</v>
      </c>
      <c r="CK23">
        <v>204</v>
      </c>
      <c r="CL23">
        <v>122</v>
      </c>
      <c r="CM23">
        <v>132</v>
      </c>
    </row>
    <row r="24" spans="1:91" x14ac:dyDescent="0.2">
      <c r="C24" s="1"/>
      <c r="D24" s="1"/>
      <c r="E24" s="1"/>
      <c r="F24" s="1"/>
      <c r="G24" s="1"/>
      <c r="H24" s="6">
        <v>1</v>
      </c>
      <c r="I24" s="4" t="s">
        <v>143</v>
      </c>
      <c r="J24" s="6">
        <v>5.7</v>
      </c>
      <c r="K24" s="6">
        <v>3.6</v>
      </c>
      <c r="L24" s="6">
        <v>3.4</v>
      </c>
      <c r="M24" s="6">
        <v>1.7</v>
      </c>
      <c r="N24" s="6">
        <f t="shared" si="0"/>
        <v>5.7799999999999994</v>
      </c>
      <c r="P24" s="6">
        <v>1</v>
      </c>
      <c r="AO24">
        <v>2.9</v>
      </c>
      <c r="AP24">
        <v>2.2999999999999998</v>
      </c>
      <c r="AQ24">
        <v>1.6</v>
      </c>
      <c r="AR24">
        <v>1.6</v>
      </c>
      <c r="AS24" s="6">
        <f>(AQ24*AR24)</f>
        <v>2.5600000000000005</v>
      </c>
      <c r="AT24" s="6"/>
      <c r="AZ24">
        <v>3.6</v>
      </c>
      <c r="BA24">
        <v>2.8</v>
      </c>
      <c r="BB24">
        <v>2.6</v>
      </c>
      <c r="BC24">
        <v>2</v>
      </c>
      <c r="BD24" s="8">
        <f t="shared" si="3"/>
        <v>5.2</v>
      </c>
      <c r="BE24" s="8"/>
      <c r="BJ24" s="8"/>
      <c r="BK24" s="8"/>
      <c r="BL24" s="8"/>
      <c r="BM24" s="8"/>
      <c r="BN24" s="8"/>
      <c r="BO24" s="8"/>
      <c r="BU24">
        <v>0</v>
      </c>
      <c r="BV24">
        <v>0</v>
      </c>
      <c r="BW24">
        <v>0</v>
      </c>
      <c r="BX24">
        <v>0</v>
      </c>
      <c r="BY24">
        <v>0</v>
      </c>
    </row>
    <row r="25" spans="1:91" x14ac:dyDescent="0.2">
      <c r="BD25" s="8"/>
      <c r="BE25" s="8"/>
      <c r="BJ25" s="8"/>
      <c r="BK25" s="8"/>
      <c r="BL25" s="8"/>
      <c r="BM25" s="8"/>
      <c r="BN25" s="8"/>
      <c r="BO25" s="8"/>
    </row>
    <row r="26" spans="1:91" x14ac:dyDescent="0.2">
      <c r="A26">
        <v>6</v>
      </c>
      <c r="B26" s="4" t="s">
        <v>56</v>
      </c>
      <c r="C26" s="1">
        <v>21725</v>
      </c>
      <c r="D26" s="1">
        <v>43521</v>
      </c>
      <c r="E26" s="1">
        <v>43773</v>
      </c>
      <c r="F26" s="1">
        <v>43518</v>
      </c>
      <c r="G26" s="1">
        <v>43774</v>
      </c>
      <c r="H26" s="6">
        <v>1</v>
      </c>
      <c r="I26" t="s">
        <v>325</v>
      </c>
      <c r="J26" s="6">
        <v>9.5</v>
      </c>
      <c r="K26" s="6">
        <v>5.6</v>
      </c>
      <c r="L26" s="6">
        <v>4.9000000000000004</v>
      </c>
      <c r="M26" s="6">
        <v>4.4000000000000004</v>
      </c>
      <c r="N26" s="6">
        <f t="shared" si="0"/>
        <v>21.560000000000002</v>
      </c>
      <c r="R26" s="6">
        <v>4</v>
      </c>
      <c r="T26" s="6">
        <v>1.3</v>
      </c>
      <c r="U26" s="6">
        <f>AVERAGE(J26:J29)</f>
        <v>8.35</v>
      </c>
      <c r="W26" s="6">
        <f>U26/T26</f>
        <v>6.4230769230769225</v>
      </c>
      <c r="Y26" s="6">
        <f>MAX(J26:J29)</f>
        <v>9.5</v>
      </c>
      <c r="Z26" s="6">
        <f>AVERAGE(K26:K29)</f>
        <v>6</v>
      </c>
      <c r="AA26" s="6">
        <f>AVERAGE(L26:L29)</f>
        <v>4.7250000000000005</v>
      </c>
      <c r="AB26" s="6">
        <f>AVERAGE(M26:M29)</f>
        <v>12.100000000000001</v>
      </c>
      <c r="AC26" s="6">
        <f>AVERAGE(N26:N29)</f>
        <v>48.3</v>
      </c>
      <c r="AE26" s="6" t="s">
        <v>336</v>
      </c>
      <c r="AF26" s="6">
        <f>SUM(N26:N29)</f>
        <v>193.2</v>
      </c>
      <c r="AG26" s="6">
        <f>SUM(AS26:AS29)</f>
        <v>64.66</v>
      </c>
      <c r="AH26" s="6">
        <f>SUM(BD26:BD28)</f>
        <v>54.930000000000007</v>
      </c>
      <c r="AI26" s="6">
        <v>45.9</v>
      </c>
      <c r="AJ26" s="6" t="s">
        <v>335</v>
      </c>
      <c r="AK26" s="6">
        <v>1.3</v>
      </c>
      <c r="AL26" s="6">
        <v>1.6</v>
      </c>
      <c r="AM26" s="6">
        <v>0.4</v>
      </c>
      <c r="AO26" s="6">
        <v>7.3</v>
      </c>
      <c r="AP26" s="6">
        <v>4.7</v>
      </c>
      <c r="AQ26" s="6">
        <v>4.3</v>
      </c>
      <c r="AR26" s="6">
        <v>6.4</v>
      </c>
      <c r="AS26" s="6">
        <f>(AQ26*AR26)</f>
        <v>27.52</v>
      </c>
      <c r="AT26" s="6"/>
      <c r="AV26" s="6">
        <v>1.3</v>
      </c>
      <c r="AW26" s="6">
        <v>1.5</v>
      </c>
      <c r="AX26" s="6">
        <v>0.4</v>
      </c>
      <c r="AZ26">
        <v>10.8</v>
      </c>
      <c r="BA26">
        <v>9.6999999999999993</v>
      </c>
      <c r="BB26">
        <v>5.9</v>
      </c>
      <c r="BC26">
        <v>6.9</v>
      </c>
      <c r="BD26" s="8">
        <f t="shared" si="3"/>
        <v>40.710000000000008</v>
      </c>
      <c r="BE26" s="8"/>
      <c r="BF26">
        <v>1.7</v>
      </c>
      <c r="BG26">
        <f>AVERAGE(AZ26:AZ28)</f>
        <v>5.5666666666666664</v>
      </c>
      <c r="BI26">
        <f>(BG26/BF26)</f>
        <v>3.2745098039215685</v>
      </c>
      <c r="BJ26" s="8"/>
      <c r="BK26" s="8">
        <f>MAX(AZ26:AZ28)</f>
        <v>10.8</v>
      </c>
      <c r="BL26" s="8">
        <f>AVERAGE(BA26:BA28)</f>
        <v>4.8999999999999995</v>
      </c>
      <c r="BM26" s="8">
        <f>AVERAGE(BB26:BB28)</f>
        <v>3.4000000000000004</v>
      </c>
      <c r="BN26" s="8">
        <f>AVERAGE(BC26:BC28)</f>
        <v>4.5</v>
      </c>
      <c r="BO26" s="8">
        <f>AVERAGE(BD26:BD28)</f>
        <v>18.310000000000002</v>
      </c>
      <c r="BQ26">
        <v>1.7</v>
      </c>
      <c r="BR26">
        <v>2.5</v>
      </c>
      <c r="BS26">
        <v>0.6</v>
      </c>
      <c r="BU26">
        <v>12.7</v>
      </c>
      <c r="BV26">
        <v>10.3</v>
      </c>
      <c r="BW26">
        <v>7.4</v>
      </c>
      <c r="BX26">
        <v>6.2</v>
      </c>
      <c r="BY26" s="8">
        <f>(BW26*BX26)</f>
        <v>45.88</v>
      </c>
      <c r="BZ26" s="8"/>
      <c r="CB26">
        <v>1.6</v>
      </c>
      <c r="CC26">
        <v>2.4</v>
      </c>
      <c r="CD26">
        <v>0.6</v>
      </c>
      <c r="CJ26">
        <v>222</v>
      </c>
      <c r="CK26">
        <v>231</v>
      </c>
      <c r="CL26">
        <v>130</v>
      </c>
      <c r="CM26">
        <v>136</v>
      </c>
    </row>
    <row r="27" spans="1:91" x14ac:dyDescent="0.2">
      <c r="H27" s="6">
        <v>1</v>
      </c>
      <c r="I27" t="s">
        <v>326</v>
      </c>
      <c r="J27" s="6">
        <v>9.4</v>
      </c>
      <c r="K27" s="6">
        <v>7.4</v>
      </c>
      <c r="L27" s="6">
        <v>5.6</v>
      </c>
      <c r="M27" s="6">
        <v>9.3000000000000007</v>
      </c>
      <c r="N27" s="6">
        <f t="shared" si="0"/>
        <v>52.08</v>
      </c>
      <c r="P27" s="6">
        <v>1</v>
      </c>
      <c r="V27" s="6" t="s">
        <v>339</v>
      </c>
      <c r="W27" s="6">
        <f>AVERAGE(W2:W26)</f>
        <v>8.466157189371474</v>
      </c>
      <c r="AO27">
        <v>3.1</v>
      </c>
      <c r="AP27">
        <v>2.6</v>
      </c>
      <c r="AQ27">
        <v>1.9</v>
      </c>
      <c r="AR27">
        <v>4.2</v>
      </c>
      <c r="AS27" s="6">
        <f>(AQ27*AR27)</f>
        <v>7.9799999999999995</v>
      </c>
      <c r="AT27" s="6"/>
      <c r="AZ27">
        <v>3.2</v>
      </c>
      <c r="BA27">
        <v>2.7</v>
      </c>
      <c r="BB27">
        <v>2.2000000000000002</v>
      </c>
      <c r="BC27">
        <v>3.6</v>
      </c>
      <c r="BD27" s="8">
        <f t="shared" si="3"/>
        <v>7.9200000000000008</v>
      </c>
      <c r="BE27" s="8"/>
      <c r="BF27" s="8"/>
      <c r="BG27" s="8"/>
      <c r="BH27" s="8"/>
      <c r="BI27" s="8"/>
      <c r="BJ27" s="8"/>
      <c r="BK27" s="8"/>
      <c r="BL27" s="8"/>
      <c r="BM27" s="8"/>
      <c r="BN27" s="8"/>
      <c r="BO27" s="8"/>
      <c r="BU27">
        <v>0</v>
      </c>
      <c r="BV27">
        <v>0</v>
      </c>
      <c r="BW27">
        <v>0</v>
      </c>
      <c r="BX27">
        <v>0</v>
      </c>
      <c r="BY27">
        <v>0</v>
      </c>
    </row>
    <row r="28" spans="1:91" x14ac:dyDescent="0.2">
      <c r="H28" s="6">
        <v>1</v>
      </c>
      <c r="I28" t="s">
        <v>327</v>
      </c>
      <c r="J28" s="6">
        <v>9.1</v>
      </c>
      <c r="K28" s="6">
        <v>7</v>
      </c>
      <c r="L28" s="6">
        <v>5.6</v>
      </c>
      <c r="M28" s="6">
        <v>8</v>
      </c>
      <c r="N28" s="6">
        <f t="shared" si="0"/>
        <v>44.8</v>
      </c>
      <c r="P28" s="6">
        <v>1</v>
      </c>
      <c r="R28" s="6">
        <f>AVERAGE(R2:R26)</f>
        <v>3.8333333333333335</v>
      </c>
      <c r="V28" s="6" t="s">
        <v>352</v>
      </c>
      <c r="W28" s="6">
        <f>STDEV(W2:W26)</f>
        <v>2.2861533603399291</v>
      </c>
      <c r="AO28">
        <v>3.7</v>
      </c>
      <c r="AP28">
        <v>2.9</v>
      </c>
      <c r="AQ28">
        <v>2.2000000000000002</v>
      </c>
      <c r="AR28">
        <v>5.4</v>
      </c>
      <c r="AS28" s="6">
        <f>(AQ28*AR28)</f>
        <v>11.880000000000003</v>
      </c>
      <c r="AT28" s="6"/>
      <c r="AZ28">
        <v>2.7</v>
      </c>
      <c r="BA28">
        <v>2.2999999999999998</v>
      </c>
      <c r="BB28">
        <v>2.1</v>
      </c>
      <c r="BC28">
        <v>3</v>
      </c>
      <c r="BD28" s="8">
        <f t="shared" si="3"/>
        <v>6.3000000000000007</v>
      </c>
      <c r="BE28" s="8"/>
      <c r="BF28" s="8"/>
      <c r="BG28" s="8"/>
      <c r="BH28" s="8" t="s">
        <v>339</v>
      </c>
      <c r="BI28" s="8">
        <f>AVERAGE(BI2:BI26)</f>
        <v>3.2261940673705376</v>
      </c>
      <c r="BJ28" s="8"/>
      <c r="BK28" s="8"/>
      <c r="BL28" s="8"/>
      <c r="BM28" s="8"/>
      <c r="BN28" s="8"/>
      <c r="BO28" s="8"/>
      <c r="BU28">
        <v>0</v>
      </c>
      <c r="BV28">
        <v>0</v>
      </c>
      <c r="BW28">
        <v>0</v>
      </c>
      <c r="BX28">
        <v>0</v>
      </c>
      <c r="BY28">
        <v>0</v>
      </c>
      <c r="CJ28">
        <f>AVERAGE(CJ2:CJ26)</f>
        <v>218.5</v>
      </c>
      <c r="CK28">
        <f>AVERAGE(CK2:CK26)</f>
        <v>225.5</v>
      </c>
      <c r="CL28">
        <f>AVERAGE(CL2:CL26)</f>
        <v>135.33333333333334</v>
      </c>
      <c r="CM28">
        <f>AVERAGE(CM2:CM26)</f>
        <v>141.5</v>
      </c>
    </row>
    <row r="29" spans="1:91" x14ac:dyDescent="0.2">
      <c r="H29" s="6">
        <v>1</v>
      </c>
      <c r="I29" s="4" t="s">
        <v>328</v>
      </c>
      <c r="J29" s="6">
        <v>5.4</v>
      </c>
      <c r="K29" s="6">
        <v>4</v>
      </c>
      <c r="L29" s="6">
        <v>2.8</v>
      </c>
      <c r="M29" s="6">
        <v>26.7</v>
      </c>
      <c r="N29" s="6">
        <f t="shared" si="0"/>
        <v>74.759999999999991</v>
      </c>
      <c r="P29" s="6">
        <v>1</v>
      </c>
      <c r="AO29">
        <v>2.4</v>
      </c>
      <c r="AP29">
        <v>1.5</v>
      </c>
      <c r="AQ29">
        <v>1.2</v>
      </c>
      <c r="AR29">
        <v>14.4</v>
      </c>
      <c r="AS29" s="6">
        <f>(AQ29*AR29)</f>
        <v>17.28</v>
      </c>
      <c r="AT29" s="6"/>
      <c r="BH29" t="s">
        <v>352</v>
      </c>
      <c r="BI29">
        <f>STDEV(BI2:BI26)</f>
        <v>0.9275343715649923</v>
      </c>
      <c r="BU29" t="s">
        <v>141</v>
      </c>
      <c r="BV29" t="s">
        <v>141</v>
      </c>
      <c r="BW29" t="s">
        <v>141</v>
      </c>
      <c r="BX29" t="s">
        <v>141</v>
      </c>
      <c r="BY29" t="s">
        <v>141</v>
      </c>
    </row>
    <row r="30" spans="1:91" x14ac:dyDescent="0.2">
      <c r="J30" s="6" t="s">
        <v>342</v>
      </c>
      <c r="Y30" s="6" t="s">
        <v>348</v>
      </c>
      <c r="AZ30" t="s">
        <v>342</v>
      </c>
      <c r="BK30" t="s">
        <v>348</v>
      </c>
    </row>
    <row r="31" spans="1:91" x14ac:dyDescent="0.2">
      <c r="C31" s="1"/>
      <c r="D31" s="1"/>
      <c r="F31" s="1"/>
      <c r="I31" t="s">
        <v>339</v>
      </c>
      <c r="J31" s="11">
        <f>AVERAGE(J2:J29)</f>
        <v>7.1695652173913036</v>
      </c>
      <c r="K31" s="11">
        <f>AVERAGE(K2:K29)</f>
        <v>4.9043478260869549</v>
      </c>
      <c r="L31" s="11">
        <f>AVERAGE(L2:L29)</f>
        <v>4.1260869565217391</v>
      </c>
      <c r="M31" s="11">
        <f>AVERAGE(M2:M29)</f>
        <v>10.3</v>
      </c>
      <c r="N31" s="11">
        <f>AVERAGE(N2:N29)</f>
        <v>45.107826086956521</v>
      </c>
      <c r="O31" s="11"/>
      <c r="P31" s="11"/>
      <c r="Q31" s="11"/>
      <c r="R31" s="11"/>
      <c r="S31" s="11"/>
      <c r="U31" s="11"/>
      <c r="V31" s="11"/>
      <c r="W31" s="11"/>
      <c r="X31" t="s">
        <v>339</v>
      </c>
      <c r="Y31" s="11">
        <f>AVERAGE(Y2:Y29)</f>
        <v>8.7999999999999989</v>
      </c>
      <c r="Z31" s="11">
        <f>AVERAGE(Z2:Z29)</f>
        <v>5.2178571428571425</v>
      </c>
      <c r="AA31" s="11">
        <f>AVERAGE(AA2:AA29)</f>
        <v>4.2446428571428578</v>
      </c>
      <c r="AB31" s="11">
        <f>AVERAGE(AB2:AB29)</f>
        <v>10.786904761904763</v>
      </c>
      <c r="AC31" s="11">
        <f>AVERAGE(AC2:AC29)</f>
        <v>44.15</v>
      </c>
      <c r="AO31" s="6"/>
      <c r="AP31" s="6"/>
      <c r="AQ31" s="6"/>
      <c r="AR31" s="6"/>
      <c r="AS31" s="6"/>
      <c r="AY31" t="s">
        <v>339</v>
      </c>
      <c r="AZ31" s="6">
        <f>AVERAGE(AZ2:AZ28)</f>
        <v>5.7190476190476192</v>
      </c>
      <c r="BA31" s="6">
        <f>AVERAGE(BA2:BA28)</f>
        <v>4.4285714285714288</v>
      </c>
      <c r="BB31" s="6">
        <f>AVERAGE(BB2:BB28)</f>
        <v>3.5714285714285721</v>
      </c>
      <c r="BC31" s="6">
        <f>AVERAGE(BC2:BC28)</f>
        <v>8.2047619047619058</v>
      </c>
      <c r="BD31" s="8">
        <f>AVERAGE(BD2:BD28)</f>
        <v>29.574761904761907</v>
      </c>
      <c r="BE31" s="8"/>
      <c r="BF31" s="8"/>
      <c r="BG31" s="8"/>
      <c r="BH31" s="8"/>
      <c r="BI31" s="8"/>
      <c r="BJ31" t="s">
        <v>339</v>
      </c>
      <c r="BK31" s="8">
        <f>AVERAGE(BK2:BK26)</f>
        <v>7.6333333333333329</v>
      </c>
      <c r="BL31" s="8">
        <f>AVERAGE(BL2:BL26)</f>
        <v>4.2282051282051283</v>
      </c>
      <c r="BM31" s="8">
        <f>AVERAGE(BM2:BM26)</f>
        <v>3.2402777777777785</v>
      </c>
      <c r="BN31" s="8">
        <f>AVERAGE(BN2:BN26)</f>
        <v>10.100000000000001</v>
      </c>
      <c r="BO31" s="8">
        <f>AVERAGE(BO2:BO26)</f>
        <v>31.158333333333335</v>
      </c>
    </row>
    <row r="32" spans="1:91" x14ac:dyDescent="0.2">
      <c r="I32" t="s">
        <v>340</v>
      </c>
      <c r="J32" s="11">
        <f>MAX(J2:J29)</f>
        <v>11.9</v>
      </c>
      <c r="K32" s="11">
        <f>MAX(K2:K29)</f>
        <v>8.1</v>
      </c>
      <c r="L32" s="11">
        <f>MAX(L2:L29)</f>
        <v>6.8</v>
      </c>
      <c r="M32" s="11">
        <f>MAX(M2:M29)</f>
        <v>49.9</v>
      </c>
      <c r="N32" s="11">
        <f>MAX(N2:N29)</f>
        <v>229.53999999999996</v>
      </c>
      <c r="O32" s="11"/>
      <c r="P32" s="11"/>
      <c r="Q32" s="11"/>
      <c r="R32" s="11"/>
      <c r="S32" s="11"/>
      <c r="U32" s="11"/>
      <c r="V32" s="11"/>
      <c r="W32" s="11"/>
      <c r="X32" t="s">
        <v>340</v>
      </c>
      <c r="Y32" s="11">
        <f>MAX(Y2:Y29)</f>
        <v>11.9</v>
      </c>
      <c r="Z32" s="11">
        <f>MAX(Z2:Z29)</f>
        <v>6.6</v>
      </c>
      <c r="AA32" s="11">
        <f>MAX(AA2:AA29)</f>
        <v>5.2</v>
      </c>
      <c r="AB32" s="11">
        <f>MAX(AB2:AB29)</f>
        <v>29.9</v>
      </c>
      <c r="AC32" s="11">
        <f>MAX(AC2:AC29)</f>
        <v>110.63</v>
      </c>
      <c r="AO32" s="6"/>
      <c r="AP32" s="6"/>
      <c r="AQ32" s="6"/>
      <c r="AR32" s="6"/>
      <c r="AS32" s="6"/>
      <c r="AY32" t="s">
        <v>340</v>
      </c>
      <c r="AZ32" s="6">
        <f>MAX(AZ2:AZ28)</f>
        <v>14.4</v>
      </c>
      <c r="BA32" s="6">
        <f>MAX(BA2:BA28)</f>
        <v>10.3</v>
      </c>
      <c r="BB32" s="6">
        <f>MAX(BB2:BB28)</f>
        <v>8.9</v>
      </c>
      <c r="BC32" s="6">
        <f>MAX(BC2:BC28)</f>
        <v>37.6</v>
      </c>
      <c r="BD32" s="6">
        <f>MAX(BD2:BD28)</f>
        <v>101.52000000000001</v>
      </c>
      <c r="BE32" s="6"/>
      <c r="BF32" s="6"/>
      <c r="BG32" s="6"/>
      <c r="BH32" s="6"/>
      <c r="BI32" s="6"/>
      <c r="BJ32" t="s">
        <v>340</v>
      </c>
      <c r="BK32" s="6">
        <f>MAX(BK2:BK26)</f>
        <v>14.4</v>
      </c>
      <c r="BL32" s="6">
        <f>MAX(BL2:BL26)</f>
        <v>5.7</v>
      </c>
      <c r="BM32" s="6">
        <f>MAX(BM2:BM26)</f>
        <v>4.8</v>
      </c>
      <c r="BN32" s="6">
        <f>MAX(BN2:BN26)</f>
        <v>37.6</v>
      </c>
      <c r="BO32" s="6">
        <f>MAX(BO2:BO26)</f>
        <v>101.52000000000001</v>
      </c>
    </row>
    <row r="33" spans="1:82" x14ac:dyDescent="0.2">
      <c r="C33" s="1"/>
      <c r="D33" s="1"/>
      <c r="F33" s="1"/>
      <c r="I33" t="s">
        <v>341</v>
      </c>
      <c r="J33" s="11">
        <f>MIN(J2:J29)</f>
        <v>2.6</v>
      </c>
      <c r="K33" s="11">
        <f>MIN(K2:K29)</f>
        <v>1.4</v>
      </c>
      <c r="L33" s="11">
        <f>MIN(L2:L29)</f>
        <v>1.9</v>
      </c>
      <c r="M33" s="11">
        <f>MIN(M2:M29)</f>
        <v>1.1000000000000001</v>
      </c>
      <c r="N33" s="11">
        <f>MIN(N2:N29)</f>
        <v>2.3100000000000005</v>
      </c>
      <c r="O33" s="11"/>
      <c r="P33" s="11"/>
      <c r="Q33" s="11"/>
      <c r="R33" s="11"/>
      <c r="S33" s="11"/>
      <c r="U33" s="11"/>
      <c r="V33" s="11"/>
      <c r="W33" s="11"/>
      <c r="X33" t="s">
        <v>341</v>
      </c>
      <c r="Y33" s="11">
        <f>MIN(Y2:Y29)</f>
        <v>5.7</v>
      </c>
      <c r="Z33" s="11">
        <f>MIN(Z2:Z29)</f>
        <v>2.95</v>
      </c>
      <c r="AA33" s="11">
        <f>MIN(AA2:AA29)</f>
        <v>2.7</v>
      </c>
      <c r="AB33" s="11">
        <f>MIN(AB2:AB29)</f>
        <v>2.35</v>
      </c>
      <c r="AC33" s="11">
        <f>MIN(AC2:AC29)</f>
        <v>5.89</v>
      </c>
      <c r="AO33" s="6"/>
      <c r="AP33" s="6"/>
      <c r="AR33" s="6"/>
      <c r="AS33" s="6"/>
      <c r="AY33" t="s">
        <v>341</v>
      </c>
      <c r="AZ33" s="6">
        <f>MIN(AZ2:AZ28)</f>
        <v>2.5</v>
      </c>
      <c r="BA33" s="6">
        <f>MIN(BA2:BA28)</f>
        <v>1.9</v>
      </c>
      <c r="BB33" s="6">
        <f>MIN(BB2:BB28)</f>
        <v>2</v>
      </c>
      <c r="BC33" s="6">
        <f>MIN(BC2:BC28)</f>
        <v>1</v>
      </c>
      <c r="BD33" s="8">
        <f>MIN(BD2:BD28)</f>
        <v>2</v>
      </c>
      <c r="BE33" s="8"/>
      <c r="BF33" s="8"/>
      <c r="BG33" s="8"/>
      <c r="BH33" s="8"/>
      <c r="BI33" s="8"/>
      <c r="BJ33" t="s">
        <v>341</v>
      </c>
      <c r="BK33" s="8">
        <f>MIN(BK2:BK26)</f>
        <v>3.6</v>
      </c>
      <c r="BL33" s="8">
        <f>MIN(BL2:BL26)</f>
        <v>3</v>
      </c>
      <c r="BM33" s="8">
        <f>MIN(BM2:BM26)</f>
        <v>2.5499999999999998</v>
      </c>
      <c r="BN33" s="8">
        <f>MIN(BN2:BN26)</f>
        <v>1.85</v>
      </c>
      <c r="BO33" s="8">
        <f>MIN(BO2:BO26)</f>
        <v>4.7249999999999996</v>
      </c>
      <c r="BP33" s="8"/>
      <c r="BQ33" s="8"/>
      <c r="BR33" s="8"/>
      <c r="BS33" s="8"/>
    </row>
    <row r="34" spans="1:82" x14ac:dyDescent="0.2">
      <c r="I34" t="s">
        <v>338</v>
      </c>
      <c r="J34" s="11">
        <f>_xlfn.STDEV.P(J2:J29)</f>
        <v>2.7992910255539187</v>
      </c>
      <c r="K34" s="11">
        <f>_xlfn.STDEV.P(K2:K29)</f>
        <v>2.0228000956207004</v>
      </c>
      <c r="L34" s="11">
        <f>_xlfn.STDEV.P(L2:L29)</f>
        <v>1.5800983434733611</v>
      </c>
      <c r="M34" s="11">
        <f>_xlfn.STDEV.P(M2:M29)</f>
        <v>12.047839423838976</v>
      </c>
      <c r="N34" s="11">
        <f>_xlfn.STDEV.P(N2:N29)</f>
        <v>54.668112075347885</v>
      </c>
      <c r="O34" s="11"/>
      <c r="P34" s="11"/>
      <c r="Q34" s="11"/>
      <c r="R34" s="11"/>
      <c r="S34" s="11"/>
      <c r="U34" s="11"/>
      <c r="V34" s="11"/>
      <c r="W34" s="11"/>
      <c r="X34" t="s">
        <v>338</v>
      </c>
      <c r="Y34" s="11">
        <f>_xlfn.STDEV.P(Y2:Y29)</f>
        <v>1.9756855350316656</v>
      </c>
      <c r="Z34" s="11">
        <f>_xlfn.STDEV.P(Z2:Z29)</f>
        <v>1.1694215530370091</v>
      </c>
      <c r="AA34" s="11">
        <f>_xlfn.STDEV.P(AA2:AA29)</f>
        <v>0.87543902980045252</v>
      </c>
      <c r="AB34" s="11">
        <f>_xlfn.STDEV.P(AB2:AB29)</f>
        <v>9.2677834354961171</v>
      </c>
      <c r="AC34" s="11">
        <f>_xlfn.STDEV.P(AC2:AC29)</f>
        <v>33.836066063694027</v>
      </c>
      <c r="AY34" t="s">
        <v>338</v>
      </c>
      <c r="AZ34">
        <f>STDEV(AZ2:AZ28)</f>
        <v>3.4711120764992685</v>
      </c>
      <c r="BA34">
        <f>STDEV(BA2:BA28)</f>
        <v>2.6391557091507245</v>
      </c>
      <c r="BB34">
        <f>STDEV(BB2:BB28)</f>
        <v>1.9652335375580312</v>
      </c>
      <c r="BC34">
        <f>STDEV(BC2:BC28)</f>
        <v>10.834227069361072</v>
      </c>
      <c r="BD34">
        <f>STDEV(BD2:BD28)</f>
        <v>35.345251112284885</v>
      </c>
      <c r="BJ34" t="s">
        <v>338</v>
      </c>
      <c r="BK34">
        <f>STDEV(BK2:BK26)</f>
        <v>4.3167889300574647</v>
      </c>
      <c r="BL34">
        <f>STDEV(BL2:BL26)</f>
        <v>1.0345586677810357</v>
      </c>
      <c r="BM34">
        <f>STDEV(BM2:BM26)</f>
        <v>0.85551181345610905</v>
      </c>
      <c r="BN34">
        <f>STDEV(BN2:BN26)</f>
        <v>13.669637888400702</v>
      </c>
      <c r="BO34">
        <f>STDEV(BO2:BO26)</f>
        <v>35.815199380523723</v>
      </c>
    </row>
    <row r="37" spans="1:82" x14ac:dyDescent="0.2">
      <c r="A37" s="13">
        <v>7</v>
      </c>
      <c r="B37" t="s">
        <v>38</v>
      </c>
      <c r="C37" s="1">
        <v>26816</v>
      </c>
      <c r="D37" s="1">
        <v>43493</v>
      </c>
      <c r="E37" s="1">
        <v>43689</v>
      </c>
      <c r="F37" s="1">
        <v>43490</v>
      </c>
      <c r="G37" s="1">
        <v>43690</v>
      </c>
      <c r="H37" s="6">
        <v>1</v>
      </c>
      <c r="I37" t="s">
        <v>359</v>
      </c>
      <c r="J37" s="6">
        <v>0</v>
      </c>
      <c r="K37" s="6">
        <v>0</v>
      </c>
      <c r="L37" s="6">
        <v>0</v>
      </c>
      <c r="M37" s="6">
        <v>0</v>
      </c>
      <c r="N37" s="6">
        <v>0</v>
      </c>
      <c r="AO37">
        <v>0</v>
      </c>
      <c r="AP37">
        <v>0</v>
      </c>
      <c r="AQ37">
        <v>0</v>
      </c>
      <c r="AR37">
        <v>0</v>
      </c>
      <c r="AS37">
        <v>0</v>
      </c>
      <c r="AZ37">
        <v>11.8</v>
      </c>
      <c r="BA37">
        <v>7.6</v>
      </c>
      <c r="BB37">
        <v>7.6</v>
      </c>
      <c r="BC37">
        <v>0.8</v>
      </c>
      <c r="BD37">
        <v>6.1</v>
      </c>
      <c r="BF37">
        <v>1.4</v>
      </c>
      <c r="BG37">
        <v>0.6</v>
      </c>
      <c r="BH37">
        <v>2.2000000000000002</v>
      </c>
      <c r="BU37">
        <v>8.5</v>
      </c>
      <c r="BV37">
        <v>5.2</v>
      </c>
      <c r="BW37">
        <v>4.8</v>
      </c>
      <c r="BX37">
        <v>2.2999999999999998</v>
      </c>
      <c r="BY37">
        <v>11.1</v>
      </c>
      <c r="CB37">
        <v>1.3</v>
      </c>
      <c r="CC37">
        <v>0.7</v>
      </c>
      <c r="CD37">
        <v>2.1</v>
      </c>
    </row>
    <row r="38" spans="1:82" x14ac:dyDescent="0.2">
      <c r="H38" s="6">
        <v>1</v>
      </c>
      <c r="I38" t="s">
        <v>359</v>
      </c>
      <c r="J38" s="6">
        <v>0</v>
      </c>
      <c r="K38" s="6">
        <v>0</v>
      </c>
      <c r="L38" s="6">
        <v>0</v>
      </c>
      <c r="M38" s="6">
        <v>0</v>
      </c>
      <c r="N38" s="6">
        <v>0</v>
      </c>
      <c r="AO38">
        <v>0</v>
      </c>
      <c r="AP38">
        <v>0</v>
      </c>
      <c r="AQ38">
        <v>0</v>
      </c>
      <c r="AR38">
        <v>0</v>
      </c>
      <c r="AS38">
        <v>0</v>
      </c>
      <c r="AZ38">
        <v>4.0999999999999996</v>
      </c>
      <c r="BA38">
        <v>3.2</v>
      </c>
      <c r="BB38">
        <v>2.6</v>
      </c>
      <c r="BC38">
        <v>2.1</v>
      </c>
      <c r="BD38">
        <v>5.5</v>
      </c>
      <c r="BU38">
        <v>3.8</v>
      </c>
      <c r="BV38">
        <v>2.9</v>
      </c>
      <c r="BW38">
        <v>2.4</v>
      </c>
      <c r="BX38">
        <v>4.2</v>
      </c>
      <c r="BY38">
        <v>10.199999999999999</v>
      </c>
    </row>
    <row r="163" spans="2:71" x14ac:dyDescent="0.2">
      <c r="B163" t="s">
        <v>59</v>
      </c>
      <c r="C163" s="1">
        <v>21814</v>
      </c>
      <c r="D163" s="1">
        <v>43528</v>
      </c>
      <c r="F163" s="1">
        <v>43537</v>
      </c>
      <c r="H163" s="6">
        <v>1</v>
      </c>
      <c r="I163" t="s">
        <v>131</v>
      </c>
      <c r="J163" s="6">
        <v>3.3</v>
      </c>
      <c r="K163" s="6">
        <v>2.6</v>
      </c>
      <c r="L163" s="6">
        <v>1.6</v>
      </c>
      <c r="M163" s="6">
        <v>78.8</v>
      </c>
      <c r="N163" s="6">
        <f>(L163*M163)</f>
        <v>126.08</v>
      </c>
      <c r="T163" s="6">
        <v>1</v>
      </c>
      <c r="AK163" s="6">
        <v>1</v>
      </c>
      <c r="AL163" s="6">
        <v>1.1000000000000001</v>
      </c>
      <c r="AM163" s="6">
        <v>0.5</v>
      </c>
      <c r="AZ163">
        <v>3.2</v>
      </c>
      <c r="BA163">
        <v>2.5</v>
      </c>
      <c r="BB163">
        <v>1.9</v>
      </c>
      <c r="BC163">
        <v>86.4</v>
      </c>
      <c r="BD163" s="8">
        <f>(BB163*BC163)</f>
        <v>164.16</v>
      </c>
      <c r="BE163" s="8"/>
      <c r="BF163" s="8"/>
      <c r="BG163" s="8"/>
      <c r="BH163" s="8"/>
      <c r="BI163" s="8"/>
      <c r="BJ163" s="8"/>
      <c r="BK163" s="8"/>
      <c r="BL163" s="8"/>
      <c r="BM163" s="8"/>
      <c r="BN163" s="8"/>
      <c r="BO163" s="8"/>
      <c r="BQ163">
        <v>1.4</v>
      </c>
      <c r="BR163">
        <v>0.5</v>
      </c>
      <c r="BS163">
        <v>2.2000000000000002</v>
      </c>
    </row>
    <row r="165" spans="2:71" x14ac:dyDescent="0.2">
      <c r="B165" t="s">
        <v>313</v>
      </c>
      <c r="C165" s="1">
        <v>30190</v>
      </c>
      <c r="D165" s="1">
        <v>43752</v>
      </c>
      <c r="F165" s="1">
        <v>43753</v>
      </c>
      <c r="H165" s="6">
        <v>1</v>
      </c>
      <c r="I165" t="s">
        <v>316</v>
      </c>
      <c r="J165" s="6">
        <v>8.1999999999999993</v>
      </c>
      <c r="K165" s="6">
        <v>6.5</v>
      </c>
      <c r="L165" s="6">
        <v>4.2</v>
      </c>
      <c r="M165" s="6">
        <v>45.5</v>
      </c>
      <c r="N165" s="6">
        <f>(L165*M165)</f>
        <v>191.1</v>
      </c>
      <c r="T165" s="6">
        <v>1.3</v>
      </c>
      <c r="AK165" s="6">
        <v>1.3</v>
      </c>
      <c r="AL165" s="6">
        <v>1.3</v>
      </c>
      <c r="AM165" s="6">
        <v>0.7</v>
      </c>
      <c r="AZ165">
        <v>0</v>
      </c>
      <c r="BA165">
        <v>0</v>
      </c>
      <c r="BB165">
        <v>0</v>
      </c>
      <c r="BC165">
        <v>0</v>
      </c>
      <c r="BD165" s="8">
        <v>0</v>
      </c>
      <c r="BE165" s="8"/>
      <c r="BF165" s="8"/>
      <c r="BG165" s="8"/>
      <c r="BH165" s="8"/>
      <c r="BI165" s="8"/>
      <c r="BJ165" s="8"/>
      <c r="BK165" s="8"/>
      <c r="BL165" s="8"/>
      <c r="BM165" s="8"/>
      <c r="BN165" s="8"/>
      <c r="BO165" s="8"/>
      <c r="BP165" s="8"/>
      <c r="BQ165" s="8">
        <v>1</v>
      </c>
      <c r="BR165" s="8">
        <v>0.5</v>
      </c>
      <c r="BS165" s="8">
        <v>1.8</v>
      </c>
    </row>
  </sheetData>
  <pageMargins left="0.7" right="0.7" top="0.78740157499999996" bottom="0.78740157499999996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88"/>
  <sheetViews>
    <sheetView topLeftCell="A64" workbookViewId="0">
      <selection activeCell="E90" sqref="A82:E90"/>
    </sheetView>
  </sheetViews>
  <sheetFormatPr baseColWidth="10" defaultRowHeight="15" x14ac:dyDescent="0.2"/>
  <cols>
    <col min="2" max="2" width="17.83203125" bestFit="1" customWidth="1"/>
    <col min="3" max="3" width="15" customWidth="1"/>
    <col min="4" max="4" width="11.5" customWidth="1"/>
    <col min="5" max="5" width="42.33203125" bestFit="1" customWidth="1"/>
    <col min="6" max="6" width="20" bestFit="1" customWidth="1"/>
  </cols>
  <sheetData>
    <row r="1" spans="1:6" x14ac:dyDescent="0.2">
      <c r="B1" t="s">
        <v>0</v>
      </c>
      <c r="C1" t="s">
        <v>1</v>
      </c>
      <c r="D1" t="s">
        <v>2</v>
      </c>
      <c r="E1" t="s">
        <v>3</v>
      </c>
      <c r="F1" t="s">
        <v>84</v>
      </c>
    </row>
    <row r="2" spans="1:6" x14ac:dyDescent="0.2">
      <c r="A2">
        <v>1</v>
      </c>
      <c r="B2" t="s">
        <v>7</v>
      </c>
      <c r="C2" s="1">
        <v>26033</v>
      </c>
      <c r="D2" s="1">
        <v>43353</v>
      </c>
      <c r="E2" t="s">
        <v>42</v>
      </c>
    </row>
    <row r="3" spans="1:6" x14ac:dyDescent="0.2">
      <c r="A3">
        <v>2</v>
      </c>
      <c r="B3" t="s">
        <v>24</v>
      </c>
      <c r="C3" s="1">
        <v>27806</v>
      </c>
      <c r="D3" s="1">
        <v>43437</v>
      </c>
      <c r="E3" t="s">
        <v>42</v>
      </c>
    </row>
    <row r="4" spans="1:6" x14ac:dyDescent="0.2">
      <c r="A4">
        <v>3</v>
      </c>
      <c r="B4" t="s">
        <v>37</v>
      </c>
      <c r="C4" s="1">
        <v>24686</v>
      </c>
      <c r="D4" s="1">
        <v>43486</v>
      </c>
      <c r="E4" t="s">
        <v>42</v>
      </c>
    </row>
    <row r="5" spans="1:6" x14ac:dyDescent="0.2">
      <c r="A5">
        <v>4</v>
      </c>
      <c r="B5" t="s">
        <v>41</v>
      </c>
      <c r="C5" s="1">
        <v>26532</v>
      </c>
      <c r="D5" s="1">
        <v>43500</v>
      </c>
      <c r="E5" t="s">
        <v>42</v>
      </c>
    </row>
    <row r="6" spans="1:6" x14ac:dyDescent="0.2">
      <c r="A6">
        <v>5</v>
      </c>
      <c r="B6" t="s">
        <v>43</v>
      </c>
      <c r="C6" s="1">
        <v>21317</v>
      </c>
      <c r="D6" s="1">
        <v>43500</v>
      </c>
      <c r="E6" t="s">
        <v>46</v>
      </c>
    </row>
    <row r="7" spans="1:6" x14ac:dyDescent="0.2">
      <c r="A7">
        <v>6</v>
      </c>
      <c r="B7" t="s">
        <v>44</v>
      </c>
      <c r="C7" s="1">
        <v>27243</v>
      </c>
      <c r="D7" s="1">
        <v>43500</v>
      </c>
      <c r="E7" t="s">
        <v>45</v>
      </c>
    </row>
    <row r="8" spans="1:6" x14ac:dyDescent="0.2">
      <c r="A8">
        <v>7</v>
      </c>
      <c r="B8" t="s">
        <v>47</v>
      </c>
      <c r="C8" s="1">
        <v>29587</v>
      </c>
      <c r="D8" s="1">
        <v>43507</v>
      </c>
      <c r="E8" t="s">
        <v>48</v>
      </c>
      <c r="F8" s="1">
        <v>43703</v>
      </c>
    </row>
    <row r="9" spans="1:6" x14ac:dyDescent="0.2">
      <c r="A9">
        <v>8</v>
      </c>
      <c r="B9" t="s">
        <v>64</v>
      </c>
      <c r="C9" s="1">
        <v>20975</v>
      </c>
      <c r="D9" s="1">
        <v>43556</v>
      </c>
      <c r="E9" t="s">
        <v>65</v>
      </c>
    </row>
    <row r="10" spans="1:6" x14ac:dyDescent="0.2">
      <c r="A10">
        <v>9</v>
      </c>
      <c r="B10" t="s">
        <v>67</v>
      </c>
      <c r="C10" s="1">
        <v>24759</v>
      </c>
      <c r="D10" s="1">
        <v>43563</v>
      </c>
      <c r="E10" t="s">
        <v>42</v>
      </c>
    </row>
    <row r="11" spans="1:6" x14ac:dyDescent="0.2">
      <c r="A11">
        <v>10</v>
      </c>
      <c r="B11" t="s">
        <v>68</v>
      </c>
      <c r="C11" s="1">
        <v>22647</v>
      </c>
      <c r="D11" s="1">
        <v>43570</v>
      </c>
      <c r="E11" t="s">
        <v>42</v>
      </c>
    </row>
    <row r="12" spans="1:6" x14ac:dyDescent="0.2">
      <c r="A12">
        <v>11</v>
      </c>
      <c r="B12" t="s">
        <v>77</v>
      </c>
      <c r="C12" s="1">
        <v>23143</v>
      </c>
      <c r="D12" s="1">
        <v>43640</v>
      </c>
      <c r="E12" t="s">
        <v>42</v>
      </c>
    </row>
    <row r="13" spans="1:6" x14ac:dyDescent="0.2">
      <c r="A13">
        <v>12</v>
      </c>
      <c r="B13" t="s">
        <v>80</v>
      </c>
      <c r="C13" s="1">
        <v>17945</v>
      </c>
      <c r="D13" s="1">
        <v>43654</v>
      </c>
      <c r="E13" t="s">
        <v>42</v>
      </c>
    </row>
    <row r="14" spans="1:6" x14ac:dyDescent="0.2">
      <c r="A14">
        <v>13</v>
      </c>
      <c r="B14" t="s">
        <v>81</v>
      </c>
      <c r="C14" s="1">
        <v>17637</v>
      </c>
      <c r="D14" s="1">
        <v>43675</v>
      </c>
      <c r="E14" t="s">
        <v>42</v>
      </c>
    </row>
    <row r="15" spans="1:6" x14ac:dyDescent="0.2">
      <c r="A15">
        <v>14</v>
      </c>
      <c r="B15" t="s">
        <v>82</v>
      </c>
      <c r="C15" s="1">
        <v>24558</v>
      </c>
      <c r="D15" s="1">
        <v>43675</v>
      </c>
      <c r="E15" t="s">
        <v>48</v>
      </c>
    </row>
    <row r="16" spans="1:6" x14ac:dyDescent="0.2">
      <c r="A16">
        <v>15</v>
      </c>
      <c r="B16" t="s">
        <v>83</v>
      </c>
      <c r="C16" s="1">
        <v>20056</v>
      </c>
      <c r="D16" s="1">
        <v>43682</v>
      </c>
      <c r="E16" t="s">
        <v>42</v>
      </c>
    </row>
    <row r="17" spans="1:6" x14ac:dyDescent="0.2">
      <c r="A17">
        <v>16</v>
      </c>
      <c r="B17" t="s">
        <v>85</v>
      </c>
      <c r="C17" s="1">
        <v>17236</v>
      </c>
      <c r="D17" s="1">
        <v>43689</v>
      </c>
      <c r="E17" t="s">
        <v>42</v>
      </c>
    </row>
    <row r="18" spans="1:6" x14ac:dyDescent="0.2">
      <c r="A18">
        <v>17</v>
      </c>
      <c r="B18" t="s">
        <v>88</v>
      </c>
      <c r="C18" s="1">
        <v>16505</v>
      </c>
      <c r="D18" s="1">
        <v>43696</v>
      </c>
      <c r="E18" t="s">
        <v>42</v>
      </c>
    </row>
    <row r="19" spans="1:6" x14ac:dyDescent="0.2">
      <c r="A19">
        <v>18</v>
      </c>
      <c r="B19" t="s">
        <v>90</v>
      </c>
      <c r="C19" s="1">
        <v>23451</v>
      </c>
      <c r="D19" s="1">
        <v>43703</v>
      </c>
      <c r="E19" t="s">
        <v>42</v>
      </c>
    </row>
    <row r="20" spans="1:6" x14ac:dyDescent="0.2">
      <c r="A20">
        <v>19</v>
      </c>
      <c r="B20" t="s">
        <v>92</v>
      </c>
      <c r="C20" s="1">
        <v>14829</v>
      </c>
      <c r="D20" s="1">
        <v>43717</v>
      </c>
      <c r="E20" t="s">
        <v>93</v>
      </c>
    </row>
    <row r="21" spans="1:6" x14ac:dyDescent="0.2">
      <c r="A21">
        <v>20</v>
      </c>
      <c r="B21" t="s">
        <v>94</v>
      </c>
      <c r="C21" s="1">
        <v>25657</v>
      </c>
      <c r="D21" s="1">
        <v>43738</v>
      </c>
      <c r="E21" t="s">
        <v>42</v>
      </c>
    </row>
    <row r="22" spans="1:6" x14ac:dyDescent="0.2">
      <c r="A22">
        <v>21</v>
      </c>
      <c r="B22" t="s">
        <v>312</v>
      </c>
      <c r="C22" s="1">
        <v>23291</v>
      </c>
      <c r="D22" s="1">
        <v>43752</v>
      </c>
      <c r="E22" t="s">
        <v>42</v>
      </c>
    </row>
    <row r="23" spans="1:6" x14ac:dyDescent="0.2">
      <c r="A23">
        <v>22</v>
      </c>
      <c r="B23" t="s">
        <v>375</v>
      </c>
      <c r="C23" s="1">
        <v>19898</v>
      </c>
      <c r="D23" s="1">
        <v>43766</v>
      </c>
      <c r="E23" t="s">
        <v>42</v>
      </c>
    </row>
    <row r="24" spans="1:6" x14ac:dyDescent="0.2">
      <c r="A24">
        <v>23</v>
      </c>
      <c r="B24" t="s">
        <v>376</v>
      </c>
      <c r="C24" s="1">
        <v>22530</v>
      </c>
      <c r="D24" s="1">
        <v>43766</v>
      </c>
      <c r="E24" t="s">
        <v>377</v>
      </c>
    </row>
    <row r="25" spans="1:6" x14ac:dyDescent="0.2">
      <c r="A25">
        <v>24</v>
      </c>
      <c r="B25" t="s">
        <v>378</v>
      </c>
      <c r="C25" s="1">
        <v>24449</v>
      </c>
      <c r="D25" s="1">
        <v>43780</v>
      </c>
      <c r="E25" t="s">
        <v>379</v>
      </c>
    </row>
    <row r="26" spans="1:6" x14ac:dyDescent="0.2">
      <c r="A26">
        <v>25</v>
      </c>
      <c r="B26" t="s">
        <v>381</v>
      </c>
      <c r="C26" s="1">
        <v>25971</v>
      </c>
      <c r="D26" s="1">
        <v>43787</v>
      </c>
      <c r="E26" t="s">
        <v>42</v>
      </c>
    </row>
    <row r="27" spans="1:6" x14ac:dyDescent="0.2">
      <c r="A27">
        <v>26</v>
      </c>
      <c r="B27" t="s">
        <v>1178</v>
      </c>
      <c r="C27" s="1">
        <v>20409</v>
      </c>
      <c r="D27" s="1">
        <v>44505</v>
      </c>
      <c r="E27" t="s">
        <v>959</v>
      </c>
    </row>
    <row r="28" spans="1:6" x14ac:dyDescent="0.2">
      <c r="A28">
        <v>27</v>
      </c>
      <c r="B28" t="s">
        <v>1179</v>
      </c>
      <c r="C28" s="1">
        <v>27540</v>
      </c>
      <c r="D28" s="1">
        <v>44505</v>
      </c>
      <c r="E28" t="s">
        <v>959</v>
      </c>
    </row>
    <row r="29" spans="1:6" x14ac:dyDescent="0.2">
      <c r="A29">
        <v>28</v>
      </c>
      <c r="B29" t="s">
        <v>1180</v>
      </c>
      <c r="C29" s="1">
        <v>22437</v>
      </c>
      <c r="D29" s="1">
        <v>44508</v>
      </c>
      <c r="E29" t="s">
        <v>959</v>
      </c>
    </row>
    <row r="30" spans="1:6" x14ac:dyDescent="0.2">
      <c r="A30">
        <v>29</v>
      </c>
      <c r="B30" t="s">
        <v>1181</v>
      </c>
      <c r="C30" s="1">
        <v>16276</v>
      </c>
      <c r="D30" s="1">
        <v>44512</v>
      </c>
      <c r="E30" t="s">
        <v>959</v>
      </c>
    </row>
    <row r="31" spans="1:6" x14ac:dyDescent="0.2">
      <c r="A31">
        <v>30</v>
      </c>
      <c r="B31" t="s">
        <v>1175</v>
      </c>
      <c r="C31" s="1">
        <v>30474</v>
      </c>
      <c r="D31" s="1">
        <v>44494</v>
      </c>
      <c r="E31" t="s">
        <v>959</v>
      </c>
      <c r="F31" s="1">
        <v>44729</v>
      </c>
    </row>
    <row r="32" spans="1:6" x14ac:dyDescent="0.2">
      <c r="A32">
        <v>31</v>
      </c>
      <c r="B32" t="s">
        <v>1167</v>
      </c>
      <c r="C32" s="1">
        <v>16613</v>
      </c>
      <c r="D32" s="1">
        <v>44463</v>
      </c>
      <c r="E32" t="s">
        <v>959</v>
      </c>
    </row>
    <row r="33" spans="1:5" x14ac:dyDescent="0.2">
      <c r="A33">
        <v>32</v>
      </c>
      <c r="B33" t="s">
        <v>1164</v>
      </c>
      <c r="C33" s="1">
        <v>20385</v>
      </c>
      <c r="D33" s="1">
        <v>44456</v>
      </c>
      <c r="E33" t="s">
        <v>959</v>
      </c>
    </row>
    <row r="34" spans="1:5" x14ac:dyDescent="0.2">
      <c r="A34">
        <v>33</v>
      </c>
      <c r="B34" t="s">
        <v>1150</v>
      </c>
      <c r="C34" s="1">
        <v>24709</v>
      </c>
      <c r="D34" s="1">
        <v>44414</v>
      </c>
      <c r="E34" t="s">
        <v>959</v>
      </c>
    </row>
    <row r="35" spans="1:5" x14ac:dyDescent="0.2">
      <c r="A35">
        <v>34</v>
      </c>
      <c r="B35" t="s">
        <v>1145</v>
      </c>
      <c r="C35" s="1">
        <v>21592</v>
      </c>
      <c r="D35" s="1">
        <v>44396</v>
      </c>
      <c r="E35" t="s">
        <v>959</v>
      </c>
    </row>
    <row r="36" spans="1:5" x14ac:dyDescent="0.2">
      <c r="A36">
        <v>35</v>
      </c>
      <c r="B36" t="s">
        <v>1146</v>
      </c>
      <c r="C36" s="1">
        <v>21721</v>
      </c>
      <c r="D36" s="1">
        <v>44400</v>
      </c>
      <c r="E36" t="s">
        <v>1147</v>
      </c>
    </row>
    <row r="37" spans="1:5" x14ac:dyDescent="0.2">
      <c r="A37" s="20">
        <v>36</v>
      </c>
      <c r="B37" s="20" t="s">
        <v>381</v>
      </c>
      <c r="C37" s="14">
        <v>25971</v>
      </c>
      <c r="D37" s="1">
        <v>44383</v>
      </c>
      <c r="E37" t="s">
        <v>959</v>
      </c>
    </row>
    <row r="38" spans="1:5" x14ac:dyDescent="0.2">
      <c r="A38" s="20">
        <v>37</v>
      </c>
      <c r="B38" s="20" t="s">
        <v>1140</v>
      </c>
      <c r="C38" s="14">
        <v>15060</v>
      </c>
      <c r="D38" s="1">
        <v>44383</v>
      </c>
      <c r="E38" t="s">
        <v>1141</v>
      </c>
    </row>
    <row r="39" spans="1:5" x14ac:dyDescent="0.2">
      <c r="A39">
        <v>38</v>
      </c>
      <c r="B39" t="s">
        <v>1135</v>
      </c>
      <c r="C39" s="1">
        <v>19530</v>
      </c>
      <c r="D39" s="1">
        <v>44389</v>
      </c>
      <c r="E39" t="s">
        <v>959</v>
      </c>
    </row>
    <row r="40" spans="1:5" x14ac:dyDescent="0.2">
      <c r="A40">
        <v>39</v>
      </c>
      <c r="B40" t="s">
        <v>1133</v>
      </c>
      <c r="C40" s="1">
        <v>25898</v>
      </c>
      <c r="D40" s="1">
        <v>44386</v>
      </c>
      <c r="E40" t="s">
        <v>959</v>
      </c>
    </row>
    <row r="41" spans="1:5" x14ac:dyDescent="0.2">
      <c r="A41">
        <v>40</v>
      </c>
      <c r="B41" t="s">
        <v>1123</v>
      </c>
      <c r="C41" s="1">
        <v>21656</v>
      </c>
      <c r="D41" s="1">
        <v>44365</v>
      </c>
      <c r="E41" t="s">
        <v>959</v>
      </c>
    </row>
    <row r="42" spans="1:5" x14ac:dyDescent="0.2">
      <c r="A42">
        <v>41</v>
      </c>
      <c r="B42" t="s">
        <v>1124</v>
      </c>
      <c r="C42" s="1">
        <v>27362</v>
      </c>
      <c r="D42" s="1">
        <v>44372</v>
      </c>
      <c r="E42" t="s">
        <v>959</v>
      </c>
    </row>
    <row r="43" spans="1:5" x14ac:dyDescent="0.2">
      <c r="A43">
        <v>42</v>
      </c>
      <c r="B43" t="s">
        <v>1125</v>
      </c>
      <c r="C43" s="1">
        <v>20098</v>
      </c>
      <c r="D43" s="1">
        <v>44372</v>
      </c>
      <c r="E43" t="s">
        <v>959</v>
      </c>
    </row>
    <row r="44" spans="1:5" x14ac:dyDescent="0.2">
      <c r="A44">
        <v>43</v>
      </c>
      <c r="B44" t="s">
        <v>1105</v>
      </c>
      <c r="C44" s="1">
        <v>23610</v>
      </c>
      <c r="D44" s="1">
        <v>44319</v>
      </c>
      <c r="E44" t="s">
        <v>959</v>
      </c>
    </row>
    <row r="45" spans="1:5" x14ac:dyDescent="0.2">
      <c r="A45">
        <v>44</v>
      </c>
      <c r="B45" t="s">
        <v>1103</v>
      </c>
      <c r="C45" s="1">
        <v>25660</v>
      </c>
      <c r="D45" s="1">
        <v>44312</v>
      </c>
      <c r="E45" t="s">
        <v>959</v>
      </c>
    </row>
    <row r="46" spans="1:5" x14ac:dyDescent="0.2">
      <c r="A46">
        <v>45</v>
      </c>
      <c r="B46" t="s">
        <v>1100</v>
      </c>
      <c r="C46" s="1">
        <v>20859</v>
      </c>
      <c r="D46" s="1">
        <v>44298</v>
      </c>
      <c r="E46" t="s">
        <v>959</v>
      </c>
    </row>
    <row r="47" spans="1:5" x14ac:dyDescent="0.2">
      <c r="A47">
        <v>46</v>
      </c>
      <c r="B47" t="s">
        <v>1096</v>
      </c>
      <c r="C47" s="1">
        <v>22339</v>
      </c>
      <c r="D47" s="1">
        <v>44281</v>
      </c>
      <c r="E47" t="s">
        <v>959</v>
      </c>
    </row>
    <row r="48" spans="1:5" x14ac:dyDescent="0.2">
      <c r="A48">
        <v>47</v>
      </c>
      <c r="B48" t="s">
        <v>1092</v>
      </c>
      <c r="C48" s="1">
        <v>18417</v>
      </c>
      <c r="D48" s="1">
        <v>44274</v>
      </c>
      <c r="E48" t="s">
        <v>959</v>
      </c>
    </row>
    <row r="49" spans="1:7" x14ac:dyDescent="0.2">
      <c r="A49">
        <v>48</v>
      </c>
      <c r="B49" t="s">
        <v>1093</v>
      </c>
      <c r="C49" s="1">
        <v>24891</v>
      </c>
      <c r="D49" s="1">
        <v>44274</v>
      </c>
      <c r="E49" t="s">
        <v>959</v>
      </c>
    </row>
    <row r="50" spans="1:7" x14ac:dyDescent="0.2">
      <c r="A50">
        <v>49</v>
      </c>
      <c r="B50" t="s">
        <v>1094</v>
      </c>
      <c r="C50" s="1">
        <v>28444</v>
      </c>
      <c r="D50" s="1">
        <v>44277</v>
      </c>
      <c r="E50" t="s">
        <v>959</v>
      </c>
    </row>
    <row r="51" spans="1:7" x14ac:dyDescent="0.2">
      <c r="A51">
        <v>50</v>
      </c>
      <c r="B51" t="s">
        <v>1069</v>
      </c>
      <c r="C51" s="1">
        <v>24639</v>
      </c>
      <c r="D51" s="1">
        <v>44239</v>
      </c>
      <c r="E51" t="s">
        <v>959</v>
      </c>
    </row>
    <row r="52" spans="1:7" x14ac:dyDescent="0.2">
      <c r="A52">
        <v>51</v>
      </c>
      <c r="B52" t="s">
        <v>1036</v>
      </c>
      <c r="C52" s="1">
        <v>21690</v>
      </c>
      <c r="D52" s="1">
        <v>44211</v>
      </c>
      <c r="E52" t="s">
        <v>42</v>
      </c>
    </row>
    <row r="53" spans="1:7" x14ac:dyDescent="0.2">
      <c r="A53">
        <v>52</v>
      </c>
      <c r="B53" t="s">
        <v>996</v>
      </c>
      <c r="C53" s="1">
        <v>31683</v>
      </c>
      <c r="D53" s="1">
        <v>44183</v>
      </c>
      <c r="E53" t="s">
        <v>42</v>
      </c>
    </row>
    <row r="54" spans="1:7" x14ac:dyDescent="0.2">
      <c r="A54">
        <v>53</v>
      </c>
      <c r="B54" t="s">
        <v>1024</v>
      </c>
      <c r="C54" s="1">
        <v>34159</v>
      </c>
      <c r="D54" s="1">
        <v>44186</v>
      </c>
      <c r="E54" t="s">
        <v>42</v>
      </c>
    </row>
    <row r="55" spans="1:7" x14ac:dyDescent="0.2">
      <c r="A55">
        <v>54</v>
      </c>
      <c r="B55" t="s">
        <v>988</v>
      </c>
      <c r="C55" s="1">
        <v>22857</v>
      </c>
      <c r="D55" s="1">
        <v>44162</v>
      </c>
      <c r="E55" t="s">
        <v>42</v>
      </c>
      <c r="F55" s="1">
        <v>44736</v>
      </c>
    </row>
    <row r="56" spans="1:7" x14ac:dyDescent="0.2">
      <c r="A56">
        <v>55</v>
      </c>
      <c r="B56" t="s">
        <v>862</v>
      </c>
      <c r="C56" s="1">
        <v>24699</v>
      </c>
      <c r="D56" s="1">
        <v>44151</v>
      </c>
      <c r="E56" t="s">
        <v>42</v>
      </c>
    </row>
    <row r="57" spans="1:7" x14ac:dyDescent="0.2">
      <c r="A57">
        <v>56</v>
      </c>
      <c r="B57" t="s">
        <v>863</v>
      </c>
      <c r="C57" s="1">
        <v>25941</v>
      </c>
      <c r="D57" s="1">
        <v>44144</v>
      </c>
      <c r="E57" t="s">
        <v>42</v>
      </c>
    </row>
    <row r="58" spans="1:7" x14ac:dyDescent="0.2">
      <c r="A58">
        <v>57</v>
      </c>
      <c r="B58" t="s">
        <v>868</v>
      </c>
      <c r="C58" s="1">
        <v>26262</v>
      </c>
      <c r="D58" s="1">
        <v>44127</v>
      </c>
      <c r="E58" t="s">
        <v>42</v>
      </c>
      <c r="F58" s="1">
        <v>44540</v>
      </c>
    </row>
    <row r="59" spans="1:7" x14ac:dyDescent="0.2">
      <c r="A59">
        <v>58</v>
      </c>
      <c r="B59" t="s">
        <v>875</v>
      </c>
      <c r="C59" s="1">
        <v>22764</v>
      </c>
      <c r="D59" s="1">
        <v>44113</v>
      </c>
      <c r="E59" t="s">
        <v>42</v>
      </c>
      <c r="F59" s="1">
        <v>44249</v>
      </c>
      <c r="G59" s="1"/>
    </row>
    <row r="60" spans="1:7" x14ac:dyDescent="0.2">
      <c r="A60">
        <v>59</v>
      </c>
      <c r="B60" t="s">
        <v>877</v>
      </c>
      <c r="C60" s="1">
        <v>25233</v>
      </c>
      <c r="D60" s="1">
        <v>44099</v>
      </c>
      <c r="E60" t="s">
        <v>42</v>
      </c>
    </row>
    <row r="61" spans="1:7" x14ac:dyDescent="0.2">
      <c r="A61">
        <v>60</v>
      </c>
      <c r="B61" t="s">
        <v>879</v>
      </c>
      <c r="C61" s="1">
        <v>21635</v>
      </c>
      <c r="D61" s="1">
        <v>44092</v>
      </c>
      <c r="E61" t="s">
        <v>42</v>
      </c>
    </row>
    <row r="62" spans="1:7" x14ac:dyDescent="0.2">
      <c r="A62">
        <v>61</v>
      </c>
      <c r="B62" t="s">
        <v>878</v>
      </c>
      <c r="C62" s="1">
        <v>20394</v>
      </c>
      <c r="D62" s="1">
        <v>44092</v>
      </c>
      <c r="E62" t="s">
        <v>42</v>
      </c>
    </row>
    <row r="63" spans="1:7" x14ac:dyDescent="0.2">
      <c r="A63">
        <v>62</v>
      </c>
      <c r="B63" t="s">
        <v>885</v>
      </c>
      <c r="C63" s="1">
        <v>25379</v>
      </c>
      <c r="D63" s="1">
        <v>44067</v>
      </c>
      <c r="E63" t="s">
        <v>42</v>
      </c>
    </row>
    <row r="64" spans="1:7" x14ac:dyDescent="0.2">
      <c r="A64">
        <v>63</v>
      </c>
      <c r="B64" t="s">
        <v>894</v>
      </c>
      <c r="C64" s="1">
        <v>19228</v>
      </c>
      <c r="D64" s="1">
        <v>44036</v>
      </c>
      <c r="E64" t="s">
        <v>42</v>
      </c>
    </row>
    <row r="65" spans="1:7" x14ac:dyDescent="0.2">
      <c r="A65">
        <v>64</v>
      </c>
      <c r="B65" t="s">
        <v>893</v>
      </c>
      <c r="C65" s="1">
        <v>19587</v>
      </c>
      <c r="D65" s="1">
        <v>44039</v>
      </c>
      <c r="E65" t="s">
        <v>42</v>
      </c>
      <c r="F65" s="1">
        <v>44316</v>
      </c>
      <c r="G65" s="1"/>
    </row>
    <row r="66" spans="1:7" x14ac:dyDescent="0.2">
      <c r="A66">
        <v>65</v>
      </c>
      <c r="B66" t="s">
        <v>903</v>
      </c>
      <c r="C66" s="1">
        <v>24156</v>
      </c>
      <c r="D66" s="1">
        <v>44022</v>
      </c>
      <c r="E66" t="s">
        <v>42</v>
      </c>
      <c r="F66" s="1">
        <v>44466</v>
      </c>
    </row>
    <row r="67" spans="1:7" x14ac:dyDescent="0.2">
      <c r="A67">
        <v>66</v>
      </c>
      <c r="B67" t="s">
        <v>908</v>
      </c>
      <c r="C67" s="1">
        <v>25167</v>
      </c>
      <c r="D67" s="1">
        <v>44011</v>
      </c>
      <c r="E67" t="s">
        <v>42</v>
      </c>
    </row>
    <row r="68" spans="1:7" x14ac:dyDescent="0.2">
      <c r="A68">
        <v>67</v>
      </c>
      <c r="B68" t="s">
        <v>907</v>
      </c>
      <c r="C68" s="1">
        <v>23379</v>
      </c>
      <c r="D68" s="1">
        <v>44015</v>
      </c>
      <c r="E68" t="s">
        <v>42</v>
      </c>
    </row>
    <row r="69" spans="1:7" x14ac:dyDescent="0.2">
      <c r="A69">
        <v>68</v>
      </c>
      <c r="B69" t="s">
        <v>912</v>
      </c>
      <c r="C69" s="1">
        <v>25257</v>
      </c>
      <c r="D69" s="1">
        <v>44008</v>
      </c>
      <c r="E69" t="s">
        <v>42</v>
      </c>
    </row>
    <row r="70" spans="1:7" x14ac:dyDescent="0.2">
      <c r="A70">
        <v>69</v>
      </c>
      <c r="B70" t="s">
        <v>917</v>
      </c>
      <c r="C70" s="1">
        <v>26748</v>
      </c>
      <c r="D70" s="1">
        <v>44001</v>
      </c>
      <c r="E70" t="s">
        <v>42</v>
      </c>
      <c r="F70" s="1">
        <v>44326</v>
      </c>
      <c r="G70" s="1"/>
    </row>
    <row r="71" spans="1:7" x14ac:dyDescent="0.2">
      <c r="A71">
        <v>70</v>
      </c>
      <c r="B71" t="s">
        <v>920</v>
      </c>
      <c r="C71" s="1">
        <v>22640</v>
      </c>
      <c r="D71" s="1">
        <v>43987</v>
      </c>
      <c r="E71" t="s">
        <v>42</v>
      </c>
    </row>
    <row r="72" spans="1:7" x14ac:dyDescent="0.2">
      <c r="A72">
        <v>71</v>
      </c>
      <c r="B72" t="s">
        <v>919</v>
      </c>
      <c r="C72" s="1">
        <v>17237</v>
      </c>
      <c r="D72" s="1">
        <v>43990</v>
      </c>
      <c r="E72" t="s">
        <v>42</v>
      </c>
    </row>
    <row r="73" spans="1:7" x14ac:dyDescent="0.2">
      <c r="A73">
        <v>72</v>
      </c>
      <c r="B73" t="s">
        <v>930</v>
      </c>
      <c r="C73" s="1">
        <v>23700</v>
      </c>
      <c r="D73" s="1">
        <v>43973</v>
      </c>
      <c r="E73" t="s">
        <v>42</v>
      </c>
    </row>
    <row r="74" spans="1:7" x14ac:dyDescent="0.2">
      <c r="A74">
        <v>73</v>
      </c>
      <c r="B74" t="s">
        <v>929</v>
      </c>
      <c r="C74" s="1">
        <v>29887</v>
      </c>
      <c r="D74" s="1">
        <v>43973</v>
      </c>
      <c r="E74" t="s">
        <v>42</v>
      </c>
    </row>
    <row r="75" spans="1:7" x14ac:dyDescent="0.2">
      <c r="A75">
        <v>74</v>
      </c>
      <c r="B75" t="s">
        <v>933</v>
      </c>
      <c r="C75" s="1">
        <v>24045</v>
      </c>
      <c r="D75" s="1">
        <v>43966</v>
      </c>
      <c r="E75" t="s">
        <v>42</v>
      </c>
    </row>
    <row r="76" spans="1:7" x14ac:dyDescent="0.2">
      <c r="A76">
        <v>75</v>
      </c>
      <c r="B76" t="s">
        <v>948</v>
      </c>
      <c r="C76" s="1">
        <v>25237</v>
      </c>
      <c r="D76" s="1">
        <v>43917</v>
      </c>
      <c r="E76" t="s">
        <v>42</v>
      </c>
      <c r="F76" s="1">
        <v>44526</v>
      </c>
    </row>
    <row r="77" spans="1:7" x14ac:dyDescent="0.2">
      <c r="A77">
        <v>76</v>
      </c>
      <c r="B77" t="s">
        <v>952</v>
      </c>
      <c r="C77" s="1">
        <v>24028</v>
      </c>
      <c r="D77" s="1">
        <v>43910</v>
      </c>
      <c r="E77" t="s">
        <v>42</v>
      </c>
    </row>
    <row r="78" spans="1:7" x14ac:dyDescent="0.2">
      <c r="A78">
        <v>77</v>
      </c>
      <c r="B78" t="s">
        <v>951</v>
      </c>
      <c r="C78" s="1">
        <v>21409</v>
      </c>
      <c r="D78" s="1">
        <v>43910</v>
      </c>
      <c r="E78" t="s">
        <v>42</v>
      </c>
    </row>
    <row r="79" spans="1:7" x14ac:dyDescent="0.2">
      <c r="A79">
        <v>78</v>
      </c>
      <c r="B79" t="s">
        <v>961</v>
      </c>
      <c r="C79" s="1">
        <v>21357</v>
      </c>
      <c r="D79" s="1">
        <v>43871</v>
      </c>
      <c r="E79" t="s">
        <v>959</v>
      </c>
      <c r="F79" s="1">
        <v>44029</v>
      </c>
      <c r="G79" s="1"/>
    </row>
    <row r="80" spans="1:7" x14ac:dyDescent="0.2">
      <c r="A80">
        <v>79</v>
      </c>
      <c r="B80" t="s">
        <v>960</v>
      </c>
      <c r="C80" s="1">
        <v>17901</v>
      </c>
      <c r="D80" s="1">
        <v>43871</v>
      </c>
      <c r="E80" t="s">
        <v>959</v>
      </c>
    </row>
    <row r="81" spans="1:6" x14ac:dyDescent="0.2">
      <c r="A81">
        <v>80</v>
      </c>
      <c r="B81" t="s">
        <v>964</v>
      </c>
      <c r="C81" s="1">
        <v>20700</v>
      </c>
      <c r="D81" s="1">
        <v>43843</v>
      </c>
      <c r="E81" t="s">
        <v>42</v>
      </c>
      <c r="F81" s="1">
        <v>44526</v>
      </c>
    </row>
    <row r="82" spans="1:6" x14ac:dyDescent="0.2">
      <c r="A82">
        <v>81</v>
      </c>
      <c r="B82" t="s">
        <v>1260</v>
      </c>
      <c r="C82" s="1">
        <v>16134</v>
      </c>
      <c r="D82" s="1">
        <v>44603</v>
      </c>
      <c r="E82" t="s">
        <v>1261</v>
      </c>
    </row>
    <row r="83" spans="1:6" x14ac:dyDescent="0.2">
      <c r="A83">
        <v>82</v>
      </c>
      <c r="B83" t="s">
        <v>1258</v>
      </c>
      <c r="C83" s="1">
        <v>25721</v>
      </c>
      <c r="D83" s="1">
        <v>44575</v>
      </c>
      <c r="E83" t="s">
        <v>1259</v>
      </c>
    </row>
    <row r="84" spans="1:6" x14ac:dyDescent="0.2">
      <c r="A84">
        <v>83</v>
      </c>
      <c r="B84" t="s">
        <v>1268</v>
      </c>
      <c r="C84" s="1">
        <v>24891</v>
      </c>
      <c r="D84" s="1">
        <v>44274</v>
      </c>
      <c r="E84" t="s">
        <v>42</v>
      </c>
    </row>
    <row r="85" spans="1:6" x14ac:dyDescent="0.2">
      <c r="A85">
        <v>84</v>
      </c>
      <c r="B85" t="s">
        <v>1183</v>
      </c>
      <c r="C85" s="1">
        <v>17922</v>
      </c>
      <c r="D85" s="1">
        <v>44519</v>
      </c>
      <c r="E85" t="s">
        <v>959</v>
      </c>
    </row>
    <row r="86" spans="1:6" x14ac:dyDescent="0.2">
      <c r="A86">
        <v>85</v>
      </c>
      <c r="B86" t="s">
        <v>1179</v>
      </c>
      <c r="C86" s="1">
        <v>27540</v>
      </c>
      <c r="D86" s="1">
        <v>44505</v>
      </c>
      <c r="E86" t="s">
        <v>959</v>
      </c>
    </row>
    <row r="87" spans="1:6" x14ac:dyDescent="0.2">
      <c r="A87">
        <v>86</v>
      </c>
      <c r="B87" t="s">
        <v>1180</v>
      </c>
      <c r="C87" s="1">
        <v>22437</v>
      </c>
      <c r="D87" s="1">
        <v>44508</v>
      </c>
      <c r="E87" t="s">
        <v>959</v>
      </c>
    </row>
    <row r="88" spans="1:6" x14ac:dyDescent="0.2">
      <c r="A88">
        <v>87</v>
      </c>
      <c r="B88" t="s">
        <v>1181</v>
      </c>
      <c r="C88" s="1">
        <v>16276</v>
      </c>
      <c r="D88" s="1">
        <v>44512</v>
      </c>
      <c r="E88" t="s">
        <v>959</v>
      </c>
    </row>
  </sheetData>
  <pageMargins left="0.7" right="0.7" top="0.78740157499999996" bottom="0.78740157499999996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Q67"/>
  <sheetViews>
    <sheetView topLeftCell="I1" zoomScaleNormal="100" workbookViewId="0">
      <pane ySplit="1" topLeftCell="A2" activePane="bottomLeft" state="frozen"/>
      <selection pane="bottomLeft" activeCell="R63" sqref="R63"/>
    </sheetView>
  </sheetViews>
  <sheetFormatPr baseColWidth="10" defaultRowHeight="15" x14ac:dyDescent="0.2"/>
  <cols>
    <col min="2" max="2" width="15.83203125" bestFit="1" customWidth="1"/>
    <col min="3" max="3" width="13.6640625" bestFit="1" customWidth="1"/>
    <col min="4" max="4" width="10.6640625" bestFit="1" customWidth="1"/>
    <col min="5" max="5" width="10.6640625" style="10" customWidth="1"/>
    <col min="6" max="6" width="12.1640625" bestFit="1" customWidth="1"/>
    <col min="7" max="7" width="12.1640625" customWidth="1"/>
    <col min="8" max="8" width="17.5" bestFit="1" customWidth="1"/>
    <col min="9" max="9" width="33.5" bestFit="1" customWidth="1"/>
  </cols>
  <sheetData>
    <row r="1" spans="1:17" x14ac:dyDescent="0.2">
      <c r="B1" t="s">
        <v>0</v>
      </c>
      <c r="C1" t="s">
        <v>1</v>
      </c>
      <c r="D1" t="s">
        <v>2</v>
      </c>
      <c r="E1" s="10" t="s">
        <v>317</v>
      </c>
      <c r="F1" t="s">
        <v>3</v>
      </c>
      <c r="H1" t="s">
        <v>95</v>
      </c>
      <c r="I1" t="s">
        <v>96</v>
      </c>
      <c r="J1" t="s">
        <v>97</v>
      </c>
      <c r="K1" t="s">
        <v>102</v>
      </c>
      <c r="L1" t="s">
        <v>98</v>
      </c>
      <c r="M1" t="s">
        <v>99</v>
      </c>
      <c r="N1" t="s">
        <v>100</v>
      </c>
      <c r="P1" s="6" t="s">
        <v>320</v>
      </c>
      <c r="Q1" s="6" t="s">
        <v>321</v>
      </c>
    </row>
    <row r="2" spans="1:17" x14ac:dyDescent="0.2">
      <c r="A2">
        <v>1</v>
      </c>
      <c r="B2" t="s">
        <v>4</v>
      </c>
      <c r="C2" s="1">
        <v>21050</v>
      </c>
      <c r="D2" s="1">
        <v>43335</v>
      </c>
      <c r="E2" s="10">
        <v>61</v>
      </c>
      <c r="F2" t="s">
        <v>5</v>
      </c>
      <c r="H2">
        <v>1</v>
      </c>
      <c r="I2" t="s">
        <v>101</v>
      </c>
      <c r="J2">
        <v>2.2000000000000002</v>
      </c>
      <c r="K2">
        <v>1.8</v>
      </c>
      <c r="L2">
        <v>1.7</v>
      </c>
      <c r="M2">
        <v>1.2</v>
      </c>
      <c r="N2" s="8">
        <f>(L2*M2)</f>
        <v>2.04</v>
      </c>
      <c r="P2">
        <v>1</v>
      </c>
      <c r="Q2">
        <v>1</v>
      </c>
    </row>
    <row r="3" spans="1:17" x14ac:dyDescent="0.2">
      <c r="H3">
        <v>1</v>
      </c>
      <c r="I3" t="s">
        <v>103</v>
      </c>
      <c r="J3">
        <v>2.2000000000000002</v>
      </c>
      <c r="K3">
        <v>1.7</v>
      </c>
      <c r="L3">
        <v>1.6</v>
      </c>
      <c r="M3">
        <v>1.3</v>
      </c>
      <c r="N3" s="8">
        <f t="shared" ref="N3:N66" si="0">(L3*M3)</f>
        <v>2.08</v>
      </c>
    </row>
    <row r="4" spans="1:17" x14ac:dyDescent="0.2">
      <c r="H4">
        <v>1</v>
      </c>
      <c r="I4" t="s">
        <v>104</v>
      </c>
      <c r="J4">
        <v>1.9</v>
      </c>
      <c r="K4">
        <v>1.5</v>
      </c>
      <c r="L4">
        <v>2.6</v>
      </c>
      <c r="M4">
        <v>0.8</v>
      </c>
      <c r="N4" s="8">
        <f t="shared" si="0"/>
        <v>2.08</v>
      </c>
    </row>
    <row r="5" spans="1:17" x14ac:dyDescent="0.2">
      <c r="G5">
        <v>4</v>
      </c>
      <c r="H5">
        <v>1</v>
      </c>
      <c r="I5" t="s">
        <v>213</v>
      </c>
      <c r="J5">
        <v>2.1</v>
      </c>
      <c r="K5">
        <v>1.8</v>
      </c>
      <c r="L5">
        <v>1.7</v>
      </c>
      <c r="M5">
        <v>1.1000000000000001</v>
      </c>
      <c r="N5" s="8">
        <f t="shared" si="0"/>
        <v>1.87</v>
      </c>
    </row>
    <row r="6" spans="1:17" x14ac:dyDescent="0.2">
      <c r="N6" s="8"/>
    </row>
    <row r="7" spans="1:17" x14ac:dyDescent="0.2">
      <c r="A7">
        <v>2</v>
      </c>
      <c r="B7" t="s">
        <v>6</v>
      </c>
      <c r="C7" s="1">
        <v>13656</v>
      </c>
      <c r="D7" s="1">
        <v>43346</v>
      </c>
      <c r="E7" s="10">
        <v>81</v>
      </c>
      <c r="F7" t="s">
        <v>5</v>
      </c>
      <c r="H7">
        <v>1</v>
      </c>
      <c r="I7" t="s">
        <v>215</v>
      </c>
      <c r="J7">
        <v>2.4</v>
      </c>
      <c r="K7">
        <v>1.8</v>
      </c>
      <c r="L7">
        <v>1.7</v>
      </c>
      <c r="M7">
        <v>0.7</v>
      </c>
      <c r="N7" s="8">
        <f t="shared" si="0"/>
        <v>1.19</v>
      </c>
      <c r="P7">
        <v>1.3</v>
      </c>
      <c r="Q7">
        <v>1.3</v>
      </c>
    </row>
    <row r="8" spans="1:17" x14ac:dyDescent="0.2">
      <c r="H8">
        <v>1</v>
      </c>
      <c r="I8" t="s">
        <v>105</v>
      </c>
      <c r="J8">
        <v>2.4</v>
      </c>
      <c r="K8">
        <v>1.8</v>
      </c>
      <c r="L8">
        <v>1.7</v>
      </c>
      <c r="M8">
        <v>1.3</v>
      </c>
      <c r="N8" s="8">
        <f t="shared" si="0"/>
        <v>2.21</v>
      </c>
    </row>
    <row r="9" spans="1:17" x14ac:dyDescent="0.2">
      <c r="H9">
        <v>1</v>
      </c>
      <c r="I9" t="s">
        <v>106</v>
      </c>
      <c r="J9">
        <v>2.6</v>
      </c>
      <c r="K9">
        <v>2.2000000000000002</v>
      </c>
      <c r="L9">
        <v>2.1</v>
      </c>
      <c r="M9">
        <v>1.1000000000000001</v>
      </c>
      <c r="N9" s="8">
        <f t="shared" si="0"/>
        <v>2.3100000000000005</v>
      </c>
    </row>
    <row r="10" spans="1:17" x14ac:dyDescent="0.2">
      <c r="H10">
        <v>1</v>
      </c>
      <c r="I10" t="s">
        <v>107</v>
      </c>
      <c r="J10">
        <v>2.4</v>
      </c>
      <c r="K10">
        <v>1.9</v>
      </c>
      <c r="L10">
        <v>1.8</v>
      </c>
      <c r="M10">
        <v>1.5</v>
      </c>
      <c r="N10" s="8">
        <f t="shared" si="0"/>
        <v>2.7</v>
      </c>
    </row>
    <row r="11" spans="1:17" x14ac:dyDescent="0.2">
      <c r="H11">
        <v>1</v>
      </c>
      <c r="I11" t="s">
        <v>108</v>
      </c>
      <c r="J11">
        <v>3.1</v>
      </c>
      <c r="K11">
        <v>2.4</v>
      </c>
      <c r="L11">
        <v>2.1</v>
      </c>
      <c r="M11">
        <v>1.4</v>
      </c>
      <c r="N11" s="8">
        <f t="shared" si="0"/>
        <v>2.94</v>
      </c>
    </row>
    <row r="12" spans="1:17" x14ac:dyDescent="0.2">
      <c r="H12">
        <v>1</v>
      </c>
      <c r="I12" t="s">
        <v>109</v>
      </c>
      <c r="J12">
        <v>2.8</v>
      </c>
      <c r="K12">
        <v>2.2000000000000002</v>
      </c>
      <c r="L12">
        <v>2.2000000000000002</v>
      </c>
      <c r="M12">
        <v>1.5</v>
      </c>
      <c r="N12" s="8">
        <f t="shared" si="0"/>
        <v>3.3000000000000003</v>
      </c>
    </row>
    <row r="13" spans="1:17" x14ac:dyDescent="0.2">
      <c r="G13">
        <v>7</v>
      </c>
      <c r="H13">
        <v>1</v>
      </c>
      <c r="I13" t="s">
        <v>214</v>
      </c>
      <c r="J13">
        <v>2.5</v>
      </c>
      <c r="K13">
        <v>2.2999999999999998</v>
      </c>
      <c r="L13">
        <v>2.2000000000000002</v>
      </c>
      <c r="M13">
        <v>1.5</v>
      </c>
      <c r="N13" s="8">
        <f t="shared" si="0"/>
        <v>3.3000000000000003</v>
      </c>
    </row>
    <row r="14" spans="1:17" x14ac:dyDescent="0.2">
      <c r="N14" s="8"/>
    </row>
    <row r="15" spans="1:17" x14ac:dyDescent="0.2">
      <c r="A15">
        <v>3</v>
      </c>
      <c r="B15" t="s">
        <v>8</v>
      </c>
      <c r="C15" s="1">
        <v>20515</v>
      </c>
      <c r="D15" s="1">
        <v>43360</v>
      </c>
      <c r="E15" s="10">
        <v>62</v>
      </c>
      <c r="F15" t="s">
        <v>9</v>
      </c>
      <c r="H15">
        <v>1</v>
      </c>
      <c r="I15" t="s">
        <v>105</v>
      </c>
      <c r="J15">
        <v>2.9</v>
      </c>
      <c r="K15">
        <v>2.2000000000000002</v>
      </c>
      <c r="L15">
        <v>2.2999999999999998</v>
      </c>
      <c r="M15">
        <v>0.9</v>
      </c>
      <c r="N15" s="8">
        <f t="shared" si="0"/>
        <v>2.0699999999999998</v>
      </c>
      <c r="P15">
        <v>1.2</v>
      </c>
      <c r="Q15">
        <v>1.3</v>
      </c>
    </row>
    <row r="16" spans="1:17" x14ac:dyDescent="0.2">
      <c r="H16">
        <v>1</v>
      </c>
      <c r="I16" t="s">
        <v>104</v>
      </c>
      <c r="J16">
        <v>3.8</v>
      </c>
      <c r="K16">
        <v>3</v>
      </c>
      <c r="L16">
        <v>2.2999999999999998</v>
      </c>
      <c r="M16">
        <v>2.1</v>
      </c>
      <c r="N16" s="8">
        <f t="shared" si="0"/>
        <v>4.83</v>
      </c>
    </row>
    <row r="17" spans="1:17" x14ac:dyDescent="0.2">
      <c r="H17">
        <v>1</v>
      </c>
      <c r="I17" t="s">
        <v>110</v>
      </c>
      <c r="J17">
        <v>2.9</v>
      </c>
      <c r="K17">
        <v>2.2000000000000002</v>
      </c>
      <c r="L17">
        <v>2.2999999999999998</v>
      </c>
      <c r="M17">
        <v>0.9</v>
      </c>
      <c r="N17" s="8">
        <f t="shared" si="0"/>
        <v>2.0699999999999998</v>
      </c>
    </row>
    <row r="18" spans="1:17" x14ac:dyDescent="0.2">
      <c r="H18">
        <v>1</v>
      </c>
      <c r="I18" t="s">
        <v>111</v>
      </c>
      <c r="J18">
        <v>3.8</v>
      </c>
      <c r="K18">
        <v>2.9</v>
      </c>
      <c r="L18">
        <v>2.2000000000000002</v>
      </c>
      <c r="M18">
        <v>1.7</v>
      </c>
      <c r="N18" s="8">
        <f t="shared" si="0"/>
        <v>3.74</v>
      </c>
    </row>
    <row r="19" spans="1:17" x14ac:dyDescent="0.2">
      <c r="H19">
        <v>1</v>
      </c>
      <c r="I19" t="s">
        <v>216</v>
      </c>
      <c r="J19">
        <v>2.7</v>
      </c>
      <c r="K19">
        <v>2.2000000000000002</v>
      </c>
      <c r="L19">
        <v>2.1</v>
      </c>
      <c r="M19">
        <v>1.8</v>
      </c>
      <c r="N19" s="8">
        <f>(L19*M19)</f>
        <v>3.7800000000000002</v>
      </c>
    </row>
    <row r="20" spans="1:17" x14ac:dyDescent="0.2">
      <c r="H20">
        <v>1</v>
      </c>
      <c r="I20" t="s">
        <v>112</v>
      </c>
      <c r="J20">
        <v>3.5</v>
      </c>
      <c r="K20">
        <v>2.2999999999999998</v>
      </c>
      <c r="L20">
        <v>2.2999999999999998</v>
      </c>
      <c r="M20">
        <v>1.3</v>
      </c>
      <c r="N20" s="8">
        <f t="shared" si="0"/>
        <v>2.9899999999999998</v>
      </c>
    </row>
    <row r="21" spans="1:17" x14ac:dyDescent="0.2">
      <c r="G21">
        <v>7</v>
      </c>
      <c r="H21">
        <v>1</v>
      </c>
      <c r="I21" t="s">
        <v>114</v>
      </c>
      <c r="J21">
        <v>2.8</v>
      </c>
      <c r="K21">
        <v>2.1</v>
      </c>
      <c r="L21">
        <v>2</v>
      </c>
      <c r="M21">
        <v>0.8</v>
      </c>
      <c r="N21" s="8">
        <f t="shared" si="0"/>
        <v>1.6</v>
      </c>
    </row>
    <row r="22" spans="1:17" x14ac:dyDescent="0.2">
      <c r="N22" s="8"/>
    </row>
    <row r="23" spans="1:17" x14ac:dyDescent="0.2">
      <c r="A23">
        <v>4</v>
      </c>
      <c r="B23" t="s">
        <v>10</v>
      </c>
      <c r="C23" s="1">
        <v>15788</v>
      </c>
      <c r="D23" s="1">
        <v>43361</v>
      </c>
      <c r="E23" s="10">
        <v>75</v>
      </c>
      <c r="F23" t="s">
        <v>5</v>
      </c>
      <c r="H23">
        <v>1</v>
      </c>
      <c r="I23" t="s">
        <v>113</v>
      </c>
      <c r="J23">
        <v>2.2000000000000002</v>
      </c>
      <c r="K23">
        <v>1.6</v>
      </c>
      <c r="L23">
        <v>1.7</v>
      </c>
      <c r="M23">
        <v>0.5</v>
      </c>
      <c r="N23" s="8">
        <f t="shared" si="0"/>
        <v>0.85</v>
      </c>
      <c r="P23">
        <v>1.5</v>
      </c>
      <c r="Q23">
        <v>1</v>
      </c>
    </row>
    <row r="24" spans="1:17" x14ac:dyDescent="0.2">
      <c r="C24" s="1"/>
      <c r="D24" s="1"/>
      <c r="H24">
        <v>1</v>
      </c>
      <c r="I24" t="s">
        <v>217</v>
      </c>
      <c r="J24">
        <v>1.9</v>
      </c>
      <c r="K24">
        <v>1.6</v>
      </c>
      <c r="L24">
        <v>1.7</v>
      </c>
      <c r="M24">
        <v>1.1000000000000001</v>
      </c>
      <c r="N24" s="8">
        <f t="shared" si="0"/>
        <v>1.87</v>
      </c>
    </row>
    <row r="25" spans="1:17" x14ac:dyDescent="0.2">
      <c r="H25">
        <v>1</v>
      </c>
      <c r="I25" t="s">
        <v>105</v>
      </c>
      <c r="J25">
        <v>3.2</v>
      </c>
      <c r="K25">
        <v>2.2000000000000002</v>
      </c>
      <c r="L25">
        <v>2.1</v>
      </c>
      <c r="M25">
        <v>1.2</v>
      </c>
      <c r="N25" s="8">
        <f t="shared" si="0"/>
        <v>2.52</v>
      </c>
    </row>
    <row r="26" spans="1:17" x14ac:dyDescent="0.2">
      <c r="H26">
        <v>1</v>
      </c>
      <c r="I26" t="s">
        <v>101</v>
      </c>
      <c r="J26">
        <v>2.2999999999999998</v>
      </c>
      <c r="K26">
        <v>1.7</v>
      </c>
      <c r="L26">
        <v>1.8</v>
      </c>
      <c r="M26">
        <v>1.1000000000000001</v>
      </c>
      <c r="N26" s="8">
        <f t="shared" si="0"/>
        <v>1.9800000000000002</v>
      </c>
    </row>
    <row r="27" spans="1:17" x14ac:dyDescent="0.2">
      <c r="H27">
        <v>1</v>
      </c>
      <c r="I27" t="s">
        <v>218</v>
      </c>
      <c r="J27">
        <v>2.4</v>
      </c>
      <c r="K27">
        <v>2</v>
      </c>
      <c r="L27">
        <v>1.8</v>
      </c>
      <c r="M27">
        <v>2</v>
      </c>
      <c r="N27" s="8">
        <f t="shared" si="0"/>
        <v>3.6</v>
      </c>
    </row>
    <row r="28" spans="1:17" x14ac:dyDescent="0.2">
      <c r="H28">
        <v>1</v>
      </c>
      <c r="I28" t="s">
        <v>219</v>
      </c>
      <c r="J28">
        <v>2.4</v>
      </c>
      <c r="K28">
        <v>1.9</v>
      </c>
      <c r="L28">
        <v>1.7</v>
      </c>
      <c r="M28">
        <v>2.1</v>
      </c>
      <c r="N28" s="8">
        <f t="shared" si="0"/>
        <v>3.57</v>
      </c>
    </row>
    <row r="29" spans="1:17" x14ac:dyDescent="0.2">
      <c r="G29">
        <v>7</v>
      </c>
      <c r="H29">
        <v>1</v>
      </c>
      <c r="I29" t="s">
        <v>220</v>
      </c>
      <c r="J29">
        <v>2.2000000000000002</v>
      </c>
      <c r="K29">
        <v>1.7</v>
      </c>
      <c r="L29">
        <v>1.4</v>
      </c>
      <c r="M29">
        <v>1.7</v>
      </c>
      <c r="N29" s="8">
        <f t="shared" si="0"/>
        <v>2.38</v>
      </c>
    </row>
    <row r="30" spans="1:17" x14ac:dyDescent="0.2">
      <c r="N30" s="8"/>
    </row>
    <row r="31" spans="1:17" x14ac:dyDescent="0.2">
      <c r="A31">
        <v>5</v>
      </c>
      <c r="B31" t="s">
        <v>11</v>
      </c>
      <c r="C31" s="1">
        <v>21564</v>
      </c>
      <c r="D31" s="1">
        <v>43367</v>
      </c>
      <c r="E31" s="10">
        <v>59</v>
      </c>
      <c r="F31" t="s">
        <v>5</v>
      </c>
      <c r="H31">
        <v>1</v>
      </c>
      <c r="I31" t="s">
        <v>113</v>
      </c>
      <c r="J31">
        <v>2.1</v>
      </c>
      <c r="K31">
        <v>1.8</v>
      </c>
      <c r="L31">
        <v>1.7</v>
      </c>
      <c r="M31">
        <v>1.3</v>
      </c>
      <c r="N31" s="8">
        <f t="shared" si="0"/>
        <v>2.21</v>
      </c>
      <c r="P31">
        <v>1.3</v>
      </c>
      <c r="Q31">
        <v>1.3</v>
      </c>
    </row>
    <row r="32" spans="1:17" x14ac:dyDescent="0.2">
      <c r="H32">
        <v>1</v>
      </c>
      <c r="I32" t="s">
        <v>103</v>
      </c>
      <c r="J32">
        <v>2.4</v>
      </c>
      <c r="K32">
        <v>2</v>
      </c>
      <c r="L32">
        <v>2</v>
      </c>
      <c r="M32">
        <v>0.5</v>
      </c>
      <c r="N32" s="8">
        <f t="shared" si="0"/>
        <v>1</v>
      </c>
    </row>
    <row r="33" spans="1:17" x14ac:dyDescent="0.2">
      <c r="H33">
        <v>1</v>
      </c>
      <c r="I33" t="s">
        <v>114</v>
      </c>
      <c r="J33">
        <v>3.1</v>
      </c>
      <c r="K33">
        <v>2.5</v>
      </c>
      <c r="L33">
        <v>2.4</v>
      </c>
      <c r="M33">
        <v>1.2</v>
      </c>
      <c r="N33" s="8">
        <f t="shared" si="0"/>
        <v>2.88</v>
      </c>
    </row>
    <row r="34" spans="1:17" x14ac:dyDescent="0.2">
      <c r="H34">
        <v>1</v>
      </c>
      <c r="I34" t="s">
        <v>221</v>
      </c>
      <c r="J34">
        <v>3</v>
      </c>
      <c r="K34">
        <v>1.9</v>
      </c>
      <c r="L34">
        <v>2.1</v>
      </c>
      <c r="M34">
        <v>1</v>
      </c>
      <c r="N34" s="8">
        <f t="shared" si="0"/>
        <v>2.1</v>
      </c>
    </row>
    <row r="35" spans="1:17" x14ac:dyDescent="0.2">
      <c r="H35">
        <v>1</v>
      </c>
      <c r="I35" t="s">
        <v>218</v>
      </c>
      <c r="J35">
        <v>2.7</v>
      </c>
      <c r="K35">
        <v>2.1</v>
      </c>
      <c r="L35">
        <v>2</v>
      </c>
      <c r="M35">
        <v>1</v>
      </c>
      <c r="N35" s="8">
        <f t="shared" si="0"/>
        <v>2</v>
      </c>
    </row>
    <row r="36" spans="1:17" x14ac:dyDescent="0.2">
      <c r="G36">
        <v>6</v>
      </c>
      <c r="H36">
        <v>1</v>
      </c>
      <c r="I36" t="s">
        <v>115</v>
      </c>
      <c r="J36">
        <v>2.8</v>
      </c>
      <c r="K36">
        <v>2.1</v>
      </c>
      <c r="L36">
        <v>2.1</v>
      </c>
      <c r="M36">
        <v>1.1000000000000001</v>
      </c>
      <c r="N36" s="8">
        <f t="shared" si="0"/>
        <v>2.3100000000000005</v>
      </c>
    </row>
    <row r="37" spans="1:17" x14ac:dyDescent="0.2">
      <c r="N37" s="8"/>
    </row>
    <row r="38" spans="1:17" x14ac:dyDescent="0.2">
      <c r="A38">
        <v>6</v>
      </c>
      <c r="B38" t="s">
        <v>14</v>
      </c>
      <c r="C38" s="1">
        <v>17935</v>
      </c>
      <c r="D38" s="1">
        <v>43374</v>
      </c>
      <c r="E38" s="10">
        <v>69</v>
      </c>
      <c r="F38" t="s">
        <v>5</v>
      </c>
      <c r="H38">
        <v>1</v>
      </c>
      <c r="I38" t="s">
        <v>101</v>
      </c>
      <c r="J38">
        <v>1.9</v>
      </c>
      <c r="K38">
        <v>1.4</v>
      </c>
      <c r="L38">
        <v>1.5</v>
      </c>
      <c r="M38">
        <v>0.5</v>
      </c>
      <c r="N38" s="8">
        <f t="shared" si="0"/>
        <v>0.75</v>
      </c>
      <c r="P38">
        <v>1.2</v>
      </c>
      <c r="Q38">
        <v>0.8</v>
      </c>
    </row>
    <row r="39" spans="1:17" x14ac:dyDescent="0.2">
      <c r="H39">
        <v>1</v>
      </c>
      <c r="I39" t="s">
        <v>222</v>
      </c>
      <c r="J39">
        <v>1.8</v>
      </c>
      <c r="K39">
        <v>1.4</v>
      </c>
      <c r="L39">
        <v>1.4</v>
      </c>
      <c r="M39">
        <v>1.2</v>
      </c>
      <c r="N39" s="8">
        <f t="shared" si="0"/>
        <v>1.68</v>
      </c>
    </row>
    <row r="40" spans="1:17" x14ac:dyDescent="0.2">
      <c r="H40">
        <v>1</v>
      </c>
      <c r="I40" t="s">
        <v>114</v>
      </c>
      <c r="J40">
        <v>2.4</v>
      </c>
      <c r="K40">
        <v>1.8</v>
      </c>
      <c r="L40">
        <v>1.7</v>
      </c>
      <c r="M40">
        <v>1.9</v>
      </c>
      <c r="N40" s="8">
        <f t="shared" si="0"/>
        <v>3.23</v>
      </c>
    </row>
    <row r="41" spans="1:17" x14ac:dyDescent="0.2">
      <c r="G41">
        <v>4</v>
      </c>
      <c r="H41">
        <v>1</v>
      </c>
      <c r="I41" t="s">
        <v>212</v>
      </c>
      <c r="J41">
        <v>2.4</v>
      </c>
      <c r="K41">
        <v>1.7</v>
      </c>
      <c r="L41">
        <v>1.5</v>
      </c>
      <c r="M41">
        <v>1.4</v>
      </c>
      <c r="N41" s="8">
        <f t="shared" si="0"/>
        <v>2.0999999999999996</v>
      </c>
    </row>
    <row r="42" spans="1:17" x14ac:dyDescent="0.2">
      <c r="N42" s="8"/>
    </row>
    <row r="43" spans="1:17" x14ac:dyDescent="0.2">
      <c r="A43">
        <v>7</v>
      </c>
      <c r="B43" t="s">
        <v>15</v>
      </c>
      <c r="C43" s="1">
        <v>18225</v>
      </c>
      <c r="D43" s="1">
        <v>43381</v>
      </c>
      <c r="E43" s="10">
        <v>68</v>
      </c>
      <c r="F43" t="s">
        <v>5</v>
      </c>
      <c r="H43">
        <v>1</v>
      </c>
      <c r="I43" t="s">
        <v>223</v>
      </c>
      <c r="J43">
        <v>2.1</v>
      </c>
      <c r="K43">
        <v>1.8</v>
      </c>
      <c r="L43">
        <v>1.8</v>
      </c>
      <c r="M43">
        <v>2</v>
      </c>
      <c r="N43" s="8">
        <f t="shared" si="0"/>
        <v>3.6</v>
      </c>
      <c r="P43">
        <v>1.2</v>
      </c>
      <c r="Q43">
        <v>0.9</v>
      </c>
    </row>
    <row r="44" spans="1:17" x14ac:dyDescent="0.2">
      <c r="H44">
        <v>1</v>
      </c>
      <c r="I44" t="s">
        <v>104</v>
      </c>
      <c r="J44">
        <v>2.2999999999999998</v>
      </c>
      <c r="K44">
        <v>1.8</v>
      </c>
      <c r="L44">
        <v>1.7</v>
      </c>
      <c r="M44">
        <v>0.4</v>
      </c>
      <c r="N44" s="8">
        <f t="shared" si="0"/>
        <v>0.68</v>
      </c>
    </row>
    <row r="45" spans="1:17" x14ac:dyDescent="0.2">
      <c r="H45">
        <v>1</v>
      </c>
      <c r="I45" t="s">
        <v>101</v>
      </c>
      <c r="J45">
        <v>1.8</v>
      </c>
      <c r="K45">
        <v>1.6</v>
      </c>
      <c r="L45">
        <v>1.5</v>
      </c>
      <c r="M45">
        <v>0.8</v>
      </c>
      <c r="N45" s="8">
        <f t="shared" si="0"/>
        <v>1.2000000000000002</v>
      </c>
    </row>
    <row r="46" spans="1:17" x14ac:dyDescent="0.2">
      <c r="H46">
        <v>1</v>
      </c>
      <c r="I46" t="s">
        <v>110</v>
      </c>
      <c r="J46">
        <v>2.2000000000000002</v>
      </c>
      <c r="K46">
        <v>1.7</v>
      </c>
      <c r="L46">
        <v>1.6</v>
      </c>
      <c r="M46">
        <v>0.8</v>
      </c>
      <c r="N46" s="8">
        <f t="shared" si="0"/>
        <v>1.2800000000000002</v>
      </c>
    </row>
    <row r="47" spans="1:17" x14ac:dyDescent="0.2">
      <c r="G47">
        <v>5</v>
      </c>
      <c r="H47">
        <v>1</v>
      </c>
      <c r="I47" t="s">
        <v>212</v>
      </c>
      <c r="J47">
        <v>2.4</v>
      </c>
      <c r="K47">
        <v>2.1</v>
      </c>
      <c r="L47">
        <v>2</v>
      </c>
      <c r="M47">
        <v>1.1000000000000001</v>
      </c>
      <c r="N47" s="8">
        <f t="shared" si="0"/>
        <v>2.2000000000000002</v>
      </c>
    </row>
    <row r="48" spans="1:17" x14ac:dyDescent="0.2">
      <c r="N48" s="8"/>
    </row>
    <row r="49" spans="1:17" x14ac:dyDescent="0.2">
      <c r="A49">
        <v>8</v>
      </c>
      <c r="B49" t="s">
        <v>22</v>
      </c>
      <c r="C49" s="1">
        <v>21712</v>
      </c>
      <c r="D49" s="1">
        <v>43430</v>
      </c>
      <c r="E49" s="10">
        <v>59</v>
      </c>
      <c r="F49" t="s">
        <v>23</v>
      </c>
      <c r="H49">
        <v>1</v>
      </c>
      <c r="I49" t="s">
        <v>109</v>
      </c>
      <c r="J49">
        <v>2</v>
      </c>
      <c r="K49">
        <v>1.5</v>
      </c>
      <c r="L49">
        <v>1.4</v>
      </c>
      <c r="M49">
        <v>2</v>
      </c>
      <c r="N49" s="8">
        <f t="shared" si="0"/>
        <v>2.8</v>
      </c>
      <c r="P49">
        <v>0.4</v>
      </c>
      <c r="Q49">
        <v>0.5</v>
      </c>
    </row>
    <row r="50" spans="1:17" x14ac:dyDescent="0.2">
      <c r="H50">
        <v>1</v>
      </c>
      <c r="I50" t="s">
        <v>116</v>
      </c>
      <c r="J50">
        <v>1.5</v>
      </c>
      <c r="K50">
        <v>1.1000000000000001</v>
      </c>
      <c r="L50">
        <v>1</v>
      </c>
      <c r="M50">
        <v>2.1</v>
      </c>
      <c r="N50" s="8">
        <f t="shared" si="0"/>
        <v>2.1</v>
      </c>
    </row>
    <row r="51" spans="1:17" x14ac:dyDescent="0.2">
      <c r="H51">
        <v>1</v>
      </c>
      <c r="I51" t="s">
        <v>101</v>
      </c>
      <c r="J51">
        <v>2.2000000000000002</v>
      </c>
      <c r="K51">
        <v>1.7</v>
      </c>
      <c r="L51">
        <v>1.4</v>
      </c>
      <c r="M51">
        <v>0.9</v>
      </c>
      <c r="N51" s="8">
        <f t="shared" si="0"/>
        <v>1.26</v>
      </c>
    </row>
    <row r="52" spans="1:17" x14ac:dyDescent="0.2">
      <c r="H52">
        <v>1</v>
      </c>
      <c r="I52" t="s">
        <v>103</v>
      </c>
      <c r="J52">
        <v>2.2999999999999998</v>
      </c>
      <c r="K52">
        <v>1.6</v>
      </c>
      <c r="L52">
        <v>1.4</v>
      </c>
      <c r="M52">
        <v>1</v>
      </c>
      <c r="N52" s="8">
        <f t="shared" si="0"/>
        <v>1.4</v>
      </c>
    </row>
    <row r="53" spans="1:17" x14ac:dyDescent="0.2">
      <c r="H53">
        <v>1</v>
      </c>
      <c r="I53" t="s">
        <v>225</v>
      </c>
      <c r="J53">
        <v>1.8</v>
      </c>
      <c r="K53">
        <v>1.3</v>
      </c>
      <c r="L53">
        <v>1.2</v>
      </c>
      <c r="M53">
        <v>1.4</v>
      </c>
      <c r="N53" s="8">
        <f t="shared" si="0"/>
        <v>1.68</v>
      </c>
    </row>
    <row r="54" spans="1:17" x14ac:dyDescent="0.2">
      <c r="H54">
        <v>1</v>
      </c>
      <c r="I54" t="s">
        <v>224</v>
      </c>
      <c r="J54">
        <v>1.2</v>
      </c>
      <c r="K54">
        <v>0.9</v>
      </c>
      <c r="L54">
        <v>0.9</v>
      </c>
      <c r="M54">
        <v>0.9</v>
      </c>
      <c r="N54" s="8">
        <f t="shared" si="0"/>
        <v>0.81</v>
      </c>
    </row>
    <row r="55" spans="1:17" x14ac:dyDescent="0.2">
      <c r="H55">
        <v>1</v>
      </c>
      <c r="I55" t="s">
        <v>223</v>
      </c>
      <c r="J55">
        <v>1.3</v>
      </c>
      <c r="K55">
        <v>1</v>
      </c>
      <c r="L55">
        <v>1</v>
      </c>
      <c r="M55">
        <v>1.6</v>
      </c>
      <c r="N55" s="8">
        <f t="shared" si="0"/>
        <v>1.6</v>
      </c>
    </row>
    <row r="56" spans="1:17" x14ac:dyDescent="0.2">
      <c r="G56">
        <v>8</v>
      </c>
      <c r="H56">
        <v>1</v>
      </c>
      <c r="I56" t="s">
        <v>226</v>
      </c>
      <c r="J56">
        <v>2</v>
      </c>
      <c r="K56">
        <v>1.5</v>
      </c>
      <c r="L56">
        <v>1.2</v>
      </c>
      <c r="M56">
        <v>3.2</v>
      </c>
      <c r="N56" s="8">
        <f t="shared" si="0"/>
        <v>3.84</v>
      </c>
    </row>
    <row r="57" spans="1:17" x14ac:dyDescent="0.2">
      <c r="N57" s="8"/>
    </row>
    <row r="58" spans="1:17" x14ac:dyDescent="0.2">
      <c r="A58">
        <v>9</v>
      </c>
      <c r="B58" t="s">
        <v>69</v>
      </c>
      <c r="C58" s="1">
        <v>20154</v>
      </c>
      <c r="D58" s="1">
        <v>43591</v>
      </c>
      <c r="E58" s="10">
        <v>64</v>
      </c>
      <c r="F58" t="s">
        <v>70</v>
      </c>
      <c r="H58">
        <v>1</v>
      </c>
      <c r="I58" t="s">
        <v>103</v>
      </c>
      <c r="J58">
        <v>2.7</v>
      </c>
      <c r="K58">
        <v>1.8</v>
      </c>
      <c r="L58">
        <v>2.1</v>
      </c>
      <c r="M58">
        <v>0.6</v>
      </c>
      <c r="N58" s="8">
        <f t="shared" si="0"/>
        <v>1.26</v>
      </c>
      <c r="P58">
        <v>1.4</v>
      </c>
      <c r="Q58">
        <v>1.5</v>
      </c>
    </row>
    <row r="59" spans="1:17" x14ac:dyDescent="0.2">
      <c r="H59">
        <v>1</v>
      </c>
      <c r="I59" t="s">
        <v>101</v>
      </c>
      <c r="J59">
        <v>3</v>
      </c>
      <c r="K59">
        <v>2</v>
      </c>
      <c r="L59">
        <v>2.2000000000000002</v>
      </c>
      <c r="M59">
        <v>0.8</v>
      </c>
      <c r="N59" s="8">
        <f t="shared" si="0"/>
        <v>1.7600000000000002</v>
      </c>
    </row>
    <row r="60" spans="1:17" x14ac:dyDescent="0.2">
      <c r="H60">
        <v>1</v>
      </c>
      <c r="I60" t="s">
        <v>117</v>
      </c>
      <c r="J60">
        <v>2.6</v>
      </c>
      <c r="K60">
        <v>1.8</v>
      </c>
      <c r="L60">
        <v>2.4</v>
      </c>
      <c r="M60">
        <v>0.1</v>
      </c>
      <c r="N60" s="8">
        <f t="shared" si="0"/>
        <v>0.24</v>
      </c>
    </row>
    <row r="61" spans="1:17" x14ac:dyDescent="0.2">
      <c r="G61">
        <v>4</v>
      </c>
      <c r="H61">
        <v>1</v>
      </c>
      <c r="I61" t="s">
        <v>118</v>
      </c>
      <c r="J61">
        <v>2.5</v>
      </c>
      <c r="K61">
        <v>1.8</v>
      </c>
      <c r="L61">
        <v>2.1</v>
      </c>
      <c r="M61">
        <v>0.6</v>
      </c>
      <c r="N61" s="8">
        <f t="shared" si="0"/>
        <v>1.26</v>
      </c>
    </row>
    <row r="62" spans="1:17" x14ac:dyDescent="0.2">
      <c r="N62" s="8"/>
    </row>
    <row r="63" spans="1:17" x14ac:dyDescent="0.2">
      <c r="A63">
        <v>10</v>
      </c>
      <c r="B63" t="s">
        <v>89</v>
      </c>
      <c r="C63" s="1">
        <v>18734</v>
      </c>
      <c r="D63" s="1">
        <v>43696</v>
      </c>
      <c r="E63" s="10">
        <v>68</v>
      </c>
      <c r="F63" t="s">
        <v>23</v>
      </c>
      <c r="H63">
        <v>1</v>
      </c>
      <c r="I63" t="s">
        <v>227</v>
      </c>
      <c r="J63">
        <v>3.1</v>
      </c>
      <c r="K63">
        <v>2.5</v>
      </c>
      <c r="L63">
        <v>2.4</v>
      </c>
      <c r="M63">
        <v>0.8</v>
      </c>
      <c r="N63" s="8">
        <f t="shared" si="0"/>
        <v>1.92</v>
      </c>
      <c r="P63">
        <v>1.3</v>
      </c>
      <c r="Q63">
        <v>1</v>
      </c>
    </row>
    <row r="64" spans="1:17" x14ac:dyDescent="0.2">
      <c r="H64">
        <v>1</v>
      </c>
      <c r="I64" t="s">
        <v>119</v>
      </c>
      <c r="J64">
        <v>3.2</v>
      </c>
      <c r="K64">
        <v>2.8</v>
      </c>
      <c r="L64">
        <v>1.9</v>
      </c>
      <c r="M64">
        <v>1.5</v>
      </c>
      <c r="N64" s="8">
        <f t="shared" si="0"/>
        <v>2.8499999999999996</v>
      </c>
    </row>
    <row r="65" spans="7:14" x14ac:dyDescent="0.2">
      <c r="H65">
        <v>1</v>
      </c>
      <c r="I65" t="s">
        <v>103</v>
      </c>
      <c r="J65">
        <v>1.8</v>
      </c>
      <c r="K65">
        <v>1.2</v>
      </c>
      <c r="L65">
        <v>1</v>
      </c>
      <c r="M65">
        <v>1.2</v>
      </c>
      <c r="N65" s="8">
        <f t="shared" si="0"/>
        <v>1.2</v>
      </c>
    </row>
    <row r="66" spans="7:14" x14ac:dyDescent="0.2">
      <c r="H66">
        <v>1</v>
      </c>
      <c r="I66" t="s">
        <v>101</v>
      </c>
      <c r="J66">
        <v>1.6</v>
      </c>
      <c r="K66">
        <v>1.1000000000000001</v>
      </c>
      <c r="L66">
        <v>1</v>
      </c>
      <c r="M66">
        <v>1.1000000000000001</v>
      </c>
      <c r="N66" s="8">
        <f t="shared" si="0"/>
        <v>1.1000000000000001</v>
      </c>
    </row>
    <row r="67" spans="7:14" x14ac:dyDescent="0.2">
      <c r="G67">
        <v>5</v>
      </c>
      <c r="H67">
        <v>1</v>
      </c>
      <c r="I67" t="s">
        <v>228</v>
      </c>
      <c r="J67">
        <v>3.1</v>
      </c>
      <c r="K67">
        <v>2</v>
      </c>
      <c r="L67">
        <v>2</v>
      </c>
      <c r="M67">
        <v>1.2</v>
      </c>
      <c r="N67" s="8">
        <f>(L67*M67)</f>
        <v>2.4</v>
      </c>
    </row>
  </sheetData>
  <pageMargins left="0.7" right="0.7" top="0.78740157499999996" bottom="0.78740157499999996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M202"/>
  <sheetViews>
    <sheetView topLeftCell="F1" workbookViewId="0">
      <pane ySplit="1" topLeftCell="A178" activePane="bottomLeft" state="frozen"/>
      <selection activeCell="B1" sqref="B1"/>
      <selection pane="bottomLeft" activeCell="A193" sqref="A193:M197"/>
    </sheetView>
  </sheetViews>
  <sheetFormatPr baseColWidth="10" defaultRowHeight="15" x14ac:dyDescent="0.2"/>
  <cols>
    <col min="2" max="2" width="12.33203125" bestFit="1" customWidth="1"/>
    <col min="3" max="3" width="13.6640625" bestFit="1" customWidth="1"/>
    <col min="5" max="5" width="11.5" style="10"/>
    <col min="6" max="6" width="20.83203125" bestFit="1" customWidth="1"/>
    <col min="7" max="7" width="17.5" bestFit="1" customWidth="1"/>
    <col min="8" max="8" width="53.83203125" bestFit="1" customWidth="1"/>
  </cols>
  <sheetData>
    <row r="1" spans="1:13" x14ac:dyDescent="0.2">
      <c r="B1" t="s">
        <v>0</v>
      </c>
      <c r="C1" t="s">
        <v>1</v>
      </c>
      <c r="D1" t="s">
        <v>2</v>
      </c>
      <c r="E1" s="10" t="s">
        <v>317</v>
      </c>
      <c r="F1" t="s">
        <v>3</v>
      </c>
      <c r="G1" s="6" t="s">
        <v>95</v>
      </c>
      <c r="H1" t="s">
        <v>96</v>
      </c>
      <c r="I1" s="6" t="s">
        <v>145</v>
      </c>
      <c r="J1" s="6" t="s">
        <v>102</v>
      </c>
      <c r="K1" s="6" t="s">
        <v>98</v>
      </c>
      <c r="L1" s="6" t="s">
        <v>99</v>
      </c>
      <c r="M1" s="6" t="s">
        <v>100</v>
      </c>
    </row>
    <row r="2" spans="1:13" x14ac:dyDescent="0.2">
      <c r="A2">
        <v>1</v>
      </c>
      <c r="B2" t="s">
        <v>12</v>
      </c>
      <c r="C2" s="1">
        <v>23438</v>
      </c>
      <c r="D2" s="1">
        <v>43374</v>
      </c>
      <c r="E2" s="10">
        <v>54</v>
      </c>
      <c r="F2" t="s">
        <v>13</v>
      </c>
      <c r="G2">
        <v>1</v>
      </c>
      <c r="H2" t="s">
        <v>106</v>
      </c>
      <c r="I2">
        <v>4.3</v>
      </c>
      <c r="J2">
        <v>2.6</v>
      </c>
      <c r="K2">
        <v>2.8</v>
      </c>
      <c r="L2">
        <v>14</v>
      </c>
      <c r="M2" s="8">
        <f>(K2*L2)</f>
        <v>39.199999999999996</v>
      </c>
    </row>
    <row r="3" spans="1:13" x14ac:dyDescent="0.2">
      <c r="G3">
        <v>1</v>
      </c>
      <c r="H3" t="s">
        <v>170</v>
      </c>
      <c r="I3">
        <v>11.6</v>
      </c>
      <c r="J3">
        <v>7.8</v>
      </c>
      <c r="K3">
        <v>6.1</v>
      </c>
      <c r="L3">
        <v>19.399999999999999</v>
      </c>
      <c r="M3" s="8">
        <f t="shared" ref="M3:M70" si="0">(K3*L3)</f>
        <v>118.33999999999999</v>
      </c>
    </row>
    <row r="4" spans="1:13" x14ac:dyDescent="0.2">
      <c r="G4">
        <v>1</v>
      </c>
      <c r="H4" t="s">
        <v>146</v>
      </c>
      <c r="I4">
        <v>11</v>
      </c>
      <c r="J4">
        <v>4.5999999999999996</v>
      </c>
      <c r="K4">
        <v>6.1</v>
      </c>
      <c r="L4">
        <v>1.5</v>
      </c>
      <c r="M4" s="8">
        <f t="shared" si="0"/>
        <v>9.1499999999999986</v>
      </c>
    </row>
    <row r="5" spans="1:13" x14ac:dyDescent="0.2">
      <c r="G5">
        <v>1</v>
      </c>
      <c r="H5" t="s">
        <v>296</v>
      </c>
      <c r="I5">
        <v>8.8000000000000007</v>
      </c>
      <c r="J5">
        <v>5.5</v>
      </c>
      <c r="K5">
        <v>5.5</v>
      </c>
      <c r="L5">
        <v>2</v>
      </c>
      <c r="M5" s="8">
        <f t="shared" si="0"/>
        <v>11</v>
      </c>
    </row>
    <row r="6" spans="1:13" x14ac:dyDescent="0.2">
      <c r="G6">
        <v>1</v>
      </c>
      <c r="H6" t="s">
        <v>148</v>
      </c>
      <c r="I6" s="6">
        <v>9.4</v>
      </c>
      <c r="J6" s="6">
        <v>5.3</v>
      </c>
      <c r="K6" s="6">
        <v>5.3</v>
      </c>
      <c r="L6" s="6">
        <v>2.7</v>
      </c>
      <c r="M6" s="8">
        <f t="shared" si="0"/>
        <v>14.31</v>
      </c>
    </row>
    <row r="7" spans="1:13" x14ac:dyDescent="0.2">
      <c r="G7">
        <v>1</v>
      </c>
      <c r="H7" t="s">
        <v>149</v>
      </c>
      <c r="I7">
        <v>4</v>
      </c>
      <c r="J7">
        <v>3.3</v>
      </c>
      <c r="K7">
        <v>3.2</v>
      </c>
      <c r="L7">
        <v>1.4</v>
      </c>
      <c r="M7" s="8">
        <f t="shared" si="0"/>
        <v>4.4799999999999995</v>
      </c>
    </row>
    <row r="8" spans="1:13" x14ac:dyDescent="0.2">
      <c r="G8">
        <v>1</v>
      </c>
      <c r="H8" t="s">
        <v>150</v>
      </c>
      <c r="I8">
        <v>8.6999999999999993</v>
      </c>
      <c r="J8">
        <v>4.5</v>
      </c>
      <c r="K8">
        <v>4.4000000000000004</v>
      </c>
      <c r="L8">
        <v>4.9000000000000004</v>
      </c>
      <c r="M8" s="8">
        <f t="shared" si="0"/>
        <v>21.560000000000002</v>
      </c>
    </row>
    <row r="9" spans="1:13" x14ac:dyDescent="0.2">
      <c r="G9">
        <v>1</v>
      </c>
      <c r="H9" t="s">
        <v>151</v>
      </c>
      <c r="I9">
        <v>9.4</v>
      </c>
      <c r="J9">
        <v>5.2</v>
      </c>
      <c r="K9">
        <v>5.0999999999999996</v>
      </c>
      <c r="L9">
        <v>4.9000000000000004</v>
      </c>
      <c r="M9" s="8">
        <f t="shared" si="0"/>
        <v>24.99</v>
      </c>
    </row>
    <row r="10" spans="1:13" x14ac:dyDescent="0.2">
      <c r="G10">
        <v>1</v>
      </c>
      <c r="H10" t="s">
        <v>151</v>
      </c>
      <c r="I10">
        <v>7.2</v>
      </c>
      <c r="J10">
        <v>4.7</v>
      </c>
      <c r="K10">
        <v>4</v>
      </c>
      <c r="L10">
        <v>8.1</v>
      </c>
      <c r="M10" s="8">
        <f t="shared" si="0"/>
        <v>32.4</v>
      </c>
    </row>
    <row r="11" spans="1:13" x14ac:dyDescent="0.2">
      <c r="G11">
        <v>1</v>
      </c>
      <c r="H11" t="s">
        <v>151</v>
      </c>
      <c r="I11">
        <v>5.0999999999999996</v>
      </c>
      <c r="J11">
        <v>2.8</v>
      </c>
      <c r="K11">
        <v>3</v>
      </c>
      <c r="L11">
        <v>2.4</v>
      </c>
      <c r="M11" s="8">
        <f t="shared" si="0"/>
        <v>7.1999999999999993</v>
      </c>
    </row>
    <row r="12" spans="1:13" x14ac:dyDescent="0.2">
      <c r="G12">
        <v>1</v>
      </c>
      <c r="H12" t="s">
        <v>152</v>
      </c>
      <c r="I12">
        <v>6.1</v>
      </c>
      <c r="J12">
        <v>4.0999999999999996</v>
      </c>
      <c r="K12">
        <v>3.6</v>
      </c>
      <c r="L12">
        <v>5.7</v>
      </c>
      <c r="M12" s="8">
        <f t="shared" si="0"/>
        <v>20.52</v>
      </c>
    </row>
    <row r="13" spans="1:13" x14ac:dyDescent="0.2">
      <c r="G13">
        <v>1</v>
      </c>
      <c r="H13" t="s">
        <v>153</v>
      </c>
      <c r="I13">
        <v>7.7</v>
      </c>
      <c r="J13">
        <v>4</v>
      </c>
      <c r="K13">
        <v>4.4000000000000004</v>
      </c>
      <c r="L13">
        <v>1.4</v>
      </c>
      <c r="M13" s="8">
        <f t="shared" si="0"/>
        <v>6.16</v>
      </c>
    </row>
    <row r="14" spans="1:13" x14ac:dyDescent="0.2">
      <c r="G14">
        <v>1</v>
      </c>
      <c r="H14" t="s">
        <v>154</v>
      </c>
      <c r="I14">
        <v>8.4</v>
      </c>
      <c r="J14">
        <v>5.5</v>
      </c>
      <c r="K14">
        <v>4.9000000000000004</v>
      </c>
      <c r="L14">
        <v>2.2999999999999998</v>
      </c>
      <c r="M14" s="8">
        <f t="shared" si="0"/>
        <v>11.27</v>
      </c>
    </row>
    <row r="15" spans="1:13" x14ac:dyDescent="0.2">
      <c r="G15">
        <v>1</v>
      </c>
      <c r="H15" t="s">
        <v>155</v>
      </c>
      <c r="I15">
        <v>5.7</v>
      </c>
      <c r="J15">
        <v>2.7</v>
      </c>
      <c r="K15">
        <v>3.4</v>
      </c>
      <c r="L15">
        <v>1.2</v>
      </c>
      <c r="M15" s="8">
        <f t="shared" si="0"/>
        <v>4.08</v>
      </c>
    </row>
    <row r="16" spans="1:13" x14ac:dyDescent="0.2">
      <c r="M16" s="8"/>
    </row>
    <row r="17" spans="1:13" x14ac:dyDescent="0.2">
      <c r="A17">
        <v>2</v>
      </c>
      <c r="B17" s="7" t="s">
        <v>19</v>
      </c>
      <c r="C17" s="1">
        <v>30062</v>
      </c>
      <c r="D17" s="1">
        <v>43423</v>
      </c>
      <c r="E17" s="10">
        <v>36</v>
      </c>
      <c r="F17" t="s">
        <v>16</v>
      </c>
      <c r="G17">
        <v>1</v>
      </c>
      <c r="H17" t="s">
        <v>156</v>
      </c>
      <c r="I17">
        <v>4</v>
      </c>
      <c r="J17">
        <v>3</v>
      </c>
      <c r="K17">
        <v>2.7</v>
      </c>
      <c r="L17">
        <v>2.6</v>
      </c>
      <c r="M17" s="8">
        <f t="shared" si="0"/>
        <v>7.0200000000000005</v>
      </c>
    </row>
    <row r="18" spans="1:13" x14ac:dyDescent="0.2">
      <c r="G18">
        <v>1</v>
      </c>
      <c r="H18" s="9" t="s">
        <v>236</v>
      </c>
      <c r="I18">
        <v>4.5</v>
      </c>
      <c r="J18">
        <v>3.2</v>
      </c>
      <c r="K18">
        <v>2.7</v>
      </c>
      <c r="L18">
        <v>4.0999999999999996</v>
      </c>
      <c r="M18" s="8">
        <f t="shared" si="0"/>
        <v>11.07</v>
      </c>
    </row>
    <row r="19" spans="1:13" x14ac:dyDescent="0.2">
      <c r="G19">
        <v>1</v>
      </c>
      <c r="H19" s="9" t="s">
        <v>237</v>
      </c>
      <c r="I19">
        <v>5</v>
      </c>
      <c r="J19">
        <v>3.9</v>
      </c>
      <c r="K19">
        <v>3.9</v>
      </c>
      <c r="L19">
        <v>2.1</v>
      </c>
      <c r="M19" s="8">
        <f t="shared" si="0"/>
        <v>8.19</v>
      </c>
    </row>
    <row r="20" spans="1:13" x14ac:dyDescent="0.2">
      <c r="G20">
        <v>1</v>
      </c>
      <c r="H20" s="9" t="s">
        <v>238</v>
      </c>
      <c r="I20">
        <v>7.3</v>
      </c>
      <c r="J20">
        <v>4.2</v>
      </c>
      <c r="K20">
        <v>4.2</v>
      </c>
      <c r="L20">
        <v>1.8</v>
      </c>
      <c r="M20" s="8">
        <f t="shared" si="0"/>
        <v>7.5600000000000005</v>
      </c>
    </row>
    <row r="21" spans="1:13" x14ac:dyDescent="0.2">
      <c r="G21">
        <v>1</v>
      </c>
      <c r="H21" s="9" t="s">
        <v>239</v>
      </c>
      <c r="I21">
        <v>7</v>
      </c>
      <c r="J21">
        <v>4.2</v>
      </c>
      <c r="K21">
        <v>3.7</v>
      </c>
      <c r="L21">
        <v>3.7</v>
      </c>
      <c r="M21" s="8">
        <f t="shared" si="0"/>
        <v>13.690000000000001</v>
      </c>
    </row>
    <row r="22" spans="1:13" x14ac:dyDescent="0.2">
      <c r="G22">
        <v>1</v>
      </c>
      <c r="H22" t="s">
        <v>157</v>
      </c>
      <c r="I22">
        <v>5.7</v>
      </c>
      <c r="J22">
        <v>3.7</v>
      </c>
      <c r="K22">
        <v>3.6</v>
      </c>
      <c r="L22">
        <v>2</v>
      </c>
      <c r="M22" s="8">
        <f t="shared" si="0"/>
        <v>7.2</v>
      </c>
    </row>
    <row r="23" spans="1:13" x14ac:dyDescent="0.2">
      <c r="G23">
        <v>1</v>
      </c>
      <c r="H23" t="s">
        <v>158</v>
      </c>
      <c r="I23">
        <v>4.2</v>
      </c>
      <c r="J23">
        <v>2.9</v>
      </c>
      <c r="K23">
        <v>2.8</v>
      </c>
      <c r="L23">
        <v>1.8</v>
      </c>
      <c r="M23" s="8">
        <f t="shared" si="0"/>
        <v>5.04</v>
      </c>
    </row>
    <row r="24" spans="1:13" x14ac:dyDescent="0.2">
      <c r="G24">
        <v>1</v>
      </c>
      <c r="H24" s="9" t="s">
        <v>240</v>
      </c>
      <c r="I24">
        <v>4.4000000000000004</v>
      </c>
      <c r="J24">
        <v>3.5</v>
      </c>
      <c r="K24">
        <v>3.5</v>
      </c>
      <c r="L24">
        <v>2.1</v>
      </c>
      <c r="M24" s="8">
        <f t="shared" si="0"/>
        <v>7.3500000000000005</v>
      </c>
    </row>
    <row r="25" spans="1:13" x14ac:dyDescent="0.2">
      <c r="G25">
        <v>1</v>
      </c>
      <c r="H25" s="9" t="s">
        <v>229</v>
      </c>
      <c r="I25">
        <v>5.3</v>
      </c>
      <c r="J25">
        <v>2.4</v>
      </c>
      <c r="K25">
        <v>2.1</v>
      </c>
      <c r="L25">
        <v>4.4000000000000004</v>
      </c>
      <c r="M25" s="8">
        <f t="shared" si="0"/>
        <v>9.240000000000002</v>
      </c>
    </row>
    <row r="26" spans="1:13" x14ac:dyDescent="0.2">
      <c r="G26">
        <v>1</v>
      </c>
      <c r="H26" s="9" t="s">
        <v>230</v>
      </c>
      <c r="I26">
        <v>4.0999999999999996</v>
      </c>
      <c r="J26">
        <v>3.5</v>
      </c>
      <c r="K26">
        <v>3.2</v>
      </c>
      <c r="L26">
        <v>2.9</v>
      </c>
      <c r="M26" s="8">
        <f t="shared" si="0"/>
        <v>9.2799999999999994</v>
      </c>
    </row>
    <row r="27" spans="1:13" x14ac:dyDescent="0.2">
      <c r="G27">
        <v>1</v>
      </c>
      <c r="H27" s="9" t="s">
        <v>231</v>
      </c>
      <c r="I27">
        <v>3.2</v>
      </c>
      <c r="J27">
        <v>2.4</v>
      </c>
      <c r="K27">
        <v>2</v>
      </c>
      <c r="L27">
        <v>3.7</v>
      </c>
      <c r="M27" s="8">
        <f t="shared" si="0"/>
        <v>7.4</v>
      </c>
    </row>
    <row r="28" spans="1:13" x14ac:dyDescent="0.2">
      <c r="G28">
        <v>1</v>
      </c>
      <c r="H28" s="9" t="s">
        <v>232</v>
      </c>
      <c r="I28">
        <v>4.2</v>
      </c>
      <c r="J28">
        <v>3.2</v>
      </c>
      <c r="K28">
        <v>2.9</v>
      </c>
      <c r="L28">
        <v>4.3</v>
      </c>
      <c r="M28" s="8">
        <f t="shared" si="0"/>
        <v>12.469999999999999</v>
      </c>
    </row>
    <row r="29" spans="1:13" x14ac:dyDescent="0.2">
      <c r="G29">
        <v>1</v>
      </c>
      <c r="H29" s="9" t="s">
        <v>233</v>
      </c>
      <c r="I29">
        <v>4.4000000000000004</v>
      </c>
      <c r="J29">
        <v>3.5</v>
      </c>
      <c r="K29">
        <v>3.5</v>
      </c>
      <c r="L29">
        <v>2.1</v>
      </c>
      <c r="M29" s="8">
        <f t="shared" si="0"/>
        <v>7.3500000000000005</v>
      </c>
    </row>
    <row r="30" spans="1:13" x14ac:dyDescent="0.2">
      <c r="G30">
        <v>1</v>
      </c>
      <c r="H30" s="9" t="s">
        <v>234</v>
      </c>
      <c r="I30">
        <v>4.8</v>
      </c>
      <c r="J30">
        <v>3.2</v>
      </c>
      <c r="K30">
        <v>2.7</v>
      </c>
      <c r="L30">
        <v>6.2</v>
      </c>
      <c r="M30" s="8">
        <f t="shared" si="0"/>
        <v>16.740000000000002</v>
      </c>
    </row>
    <row r="31" spans="1:13" x14ac:dyDescent="0.2">
      <c r="G31">
        <v>1</v>
      </c>
      <c r="H31" s="9" t="s">
        <v>235</v>
      </c>
      <c r="I31">
        <v>4.5999999999999996</v>
      </c>
      <c r="J31">
        <v>3.6</v>
      </c>
      <c r="K31">
        <v>3</v>
      </c>
      <c r="L31">
        <v>6.4</v>
      </c>
      <c r="M31" s="8">
        <f t="shared" si="0"/>
        <v>19.200000000000003</v>
      </c>
    </row>
    <row r="32" spans="1:13" x14ac:dyDescent="0.2">
      <c r="G32">
        <v>1</v>
      </c>
      <c r="H32" s="9" t="s">
        <v>297</v>
      </c>
      <c r="I32">
        <v>4.5999999999999996</v>
      </c>
      <c r="J32">
        <v>3.3</v>
      </c>
      <c r="K32">
        <v>2.5</v>
      </c>
      <c r="L32">
        <v>4.7</v>
      </c>
      <c r="M32" s="8">
        <f t="shared" si="0"/>
        <v>11.75</v>
      </c>
    </row>
    <row r="33" spans="1:13" x14ac:dyDescent="0.2">
      <c r="H33" s="4"/>
      <c r="M33" s="8"/>
    </row>
    <row r="34" spans="1:13" x14ac:dyDescent="0.2">
      <c r="A34">
        <v>3</v>
      </c>
      <c r="B34" t="s">
        <v>20</v>
      </c>
      <c r="C34" s="1">
        <v>27932</v>
      </c>
      <c r="D34" s="1">
        <v>43423</v>
      </c>
      <c r="E34" s="10">
        <v>42</v>
      </c>
      <c r="F34" t="s">
        <v>13</v>
      </c>
      <c r="G34">
        <v>1</v>
      </c>
      <c r="H34" t="s">
        <v>159</v>
      </c>
      <c r="I34">
        <v>12.2</v>
      </c>
      <c r="J34">
        <v>8.4</v>
      </c>
      <c r="K34">
        <v>6.7</v>
      </c>
      <c r="L34">
        <v>5.3</v>
      </c>
      <c r="M34" s="8">
        <f t="shared" si="0"/>
        <v>35.51</v>
      </c>
    </row>
    <row r="35" spans="1:13" x14ac:dyDescent="0.2">
      <c r="C35" s="1"/>
      <c r="D35" s="1"/>
      <c r="G35">
        <v>1</v>
      </c>
      <c r="H35" s="9" t="s">
        <v>298</v>
      </c>
      <c r="I35">
        <v>4.0999999999999996</v>
      </c>
      <c r="J35">
        <v>2.6</v>
      </c>
      <c r="K35">
        <v>2.4</v>
      </c>
      <c r="L35">
        <v>2.8</v>
      </c>
      <c r="M35" s="8">
        <f t="shared" si="0"/>
        <v>6.72</v>
      </c>
    </row>
    <row r="36" spans="1:13" x14ac:dyDescent="0.2">
      <c r="G36">
        <v>1</v>
      </c>
      <c r="H36" t="s">
        <v>160</v>
      </c>
      <c r="I36">
        <v>5</v>
      </c>
      <c r="J36">
        <v>3.4</v>
      </c>
      <c r="K36">
        <v>2.8</v>
      </c>
      <c r="L36">
        <v>6.2</v>
      </c>
      <c r="M36" s="8">
        <f t="shared" si="0"/>
        <v>17.36</v>
      </c>
    </row>
    <row r="37" spans="1:13" x14ac:dyDescent="0.2">
      <c r="G37">
        <v>1</v>
      </c>
      <c r="H37" t="s">
        <v>161</v>
      </c>
      <c r="I37">
        <v>11.4</v>
      </c>
      <c r="J37">
        <v>6.1</v>
      </c>
      <c r="K37">
        <v>6.3</v>
      </c>
      <c r="L37">
        <v>1.9</v>
      </c>
      <c r="M37" s="8">
        <f t="shared" si="0"/>
        <v>11.969999999999999</v>
      </c>
    </row>
    <row r="38" spans="1:13" x14ac:dyDescent="0.2">
      <c r="M38" s="8"/>
    </row>
    <row r="39" spans="1:13" x14ac:dyDescent="0.2">
      <c r="A39">
        <v>4</v>
      </c>
      <c r="B39" s="7" t="s">
        <v>21</v>
      </c>
      <c r="C39" s="1">
        <v>24418</v>
      </c>
      <c r="D39" s="1">
        <v>43430</v>
      </c>
      <c r="E39" s="10">
        <v>52</v>
      </c>
      <c r="F39" t="s">
        <v>16</v>
      </c>
      <c r="G39">
        <v>1</v>
      </c>
      <c r="H39" t="s">
        <v>243</v>
      </c>
      <c r="I39">
        <v>4.3</v>
      </c>
      <c r="J39">
        <v>3.2</v>
      </c>
      <c r="K39">
        <v>2.4</v>
      </c>
      <c r="L39">
        <v>7.3</v>
      </c>
      <c r="M39" s="8">
        <f t="shared" si="0"/>
        <v>17.52</v>
      </c>
    </row>
    <row r="40" spans="1:13" x14ac:dyDescent="0.2">
      <c r="G40">
        <v>1</v>
      </c>
      <c r="H40" t="s">
        <v>162</v>
      </c>
      <c r="I40">
        <v>4</v>
      </c>
      <c r="J40">
        <v>3.1</v>
      </c>
      <c r="K40">
        <v>2.8</v>
      </c>
      <c r="L40">
        <v>2.2999999999999998</v>
      </c>
      <c r="M40" s="8">
        <f t="shared" si="0"/>
        <v>6.4399999999999995</v>
      </c>
    </row>
    <row r="41" spans="1:13" x14ac:dyDescent="0.2">
      <c r="G41">
        <v>1</v>
      </c>
      <c r="H41" t="s">
        <v>244</v>
      </c>
      <c r="I41">
        <v>4.7</v>
      </c>
      <c r="J41">
        <v>3.5</v>
      </c>
      <c r="K41">
        <v>3.2</v>
      </c>
      <c r="L41">
        <v>2.7</v>
      </c>
      <c r="M41" s="8">
        <f t="shared" si="0"/>
        <v>8.64</v>
      </c>
    </row>
    <row r="42" spans="1:13" x14ac:dyDescent="0.2">
      <c r="G42">
        <v>1</v>
      </c>
      <c r="H42" t="s">
        <v>245</v>
      </c>
      <c r="I42">
        <v>4.4000000000000004</v>
      </c>
      <c r="J42">
        <v>3.3</v>
      </c>
      <c r="K42">
        <v>2.9</v>
      </c>
      <c r="L42">
        <v>3.2</v>
      </c>
      <c r="M42" s="8">
        <f t="shared" si="0"/>
        <v>9.2799999999999994</v>
      </c>
    </row>
    <row r="43" spans="1:13" x14ac:dyDescent="0.2">
      <c r="G43">
        <v>1</v>
      </c>
      <c r="H43" t="s">
        <v>163</v>
      </c>
      <c r="I43">
        <v>3.5</v>
      </c>
      <c r="J43">
        <v>2.9</v>
      </c>
      <c r="K43">
        <v>2.2999999999999998</v>
      </c>
      <c r="L43">
        <v>5.4</v>
      </c>
      <c r="M43" s="8">
        <f t="shared" si="0"/>
        <v>12.42</v>
      </c>
    </row>
    <row r="44" spans="1:13" x14ac:dyDescent="0.2">
      <c r="G44">
        <v>1</v>
      </c>
      <c r="H44" t="s">
        <v>228</v>
      </c>
      <c r="I44">
        <v>4.2</v>
      </c>
      <c r="J44">
        <v>3.5</v>
      </c>
      <c r="K44">
        <v>3.2</v>
      </c>
      <c r="L44">
        <v>2.7</v>
      </c>
      <c r="M44" s="8">
        <f t="shared" si="0"/>
        <v>8.64</v>
      </c>
    </row>
    <row r="45" spans="1:13" x14ac:dyDescent="0.2">
      <c r="G45">
        <v>1</v>
      </c>
      <c r="H45" t="s">
        <v>164</v>
      </c>
      <c r="I45">
        <v>4.2</v>
      </c>
      <c r="J45">
        <v>2.6</v>
      </c>
      <c r="K45">
        <v>2.4</v>
      </c>
      <c r="L45">
        <v>1.9</v>
      </c>
      <c r="M45" s="8">
        <f t="shared" si="0"/>
        <v>4.5599999999999996</v>
      </c>
    </row>
    <row r="46" spans="1:13" x14ac:dyDescent="0.2">
      <c r="G46">
        <v>1</v>
      </c>
      <c r="H46" t="s">
        <v>165</v>
      </c>
      <c r="I46">
        <v>4.3</v>
      </c>
      <c r="J46">
        <v>3.1</v>
      </c>
      <c r="K46">
        <v>2.6</v>
      </c>
      <c r="L46">
        <v>3.4</v>
      </c>
      <c r="M46" s="8">
        <f t="shared" si="0"/>
        <v>8.84</v>
      </c>
    </row>
    <row r="47" spans="1:13" x14ac:dyDescent="0.2">
      <c r="G47">
        <v>1</v>
      </c>
      <c r="H47" t="s">
        <v>299</v>
      </c>
      <c r="I47">
        <v>4.0999999999999996</v>
      </c>
      <c r="J47">
        <v>3.3</v>
      </c>
      <c r="K47">
        <v>2.8</v>
      </c>
      <c r="L47">
        <v>7.5</v>
      </c>
      <c r="M47" s="8">
        <f t="shared" si="0"/>
        <v>21</v>
      </c>
    </row>
    <row r="48" spans="1:13" x14ac:dyDescent="0.2">
      <c r="M48" s="8"/>
    </row>
    <row r="49" spans="1:13" x14ac:dyDescent="0.2">
      <c r="A49">
        <v>5</v>
      </c>
      <c r="B49" t="s">
        <v>26</v>
      </c>
      <c r="C49" s="1">
        <v>21589</v>
      </c>
      <c r="D49" s="1">
        <v>43444</v>
      </c>
      <c r="E49" s="10">
        <v>59</v>
      </c>
      <c r="F49" t="s">
        <v>27</v>
      </c>
      <c r="G49">
        <v>1</v>
      </c>
      <c r="H49" t="s">
        <v>246</v>
      </c>
      <c r="I49">
        <v>4.0999999999999996</v>
      </c>
      <c r="J49">
        <v>2.6</v>
      </c>
      <c r="K49">
        <v>2.6</v>
      </c>
      <c r="L49">
        <v>1.6</v>
      </c>
      <c r="M49" s="8">
        <f t="shared" si="0"/>
        <v>4.16</v>
      </c>
    </row>
    <row r="50" spans="1:13" x14ac:dyDescent="0.2">
      <c r="G50">
        <v>1</v>
      </c>
      <c r="H50" t="s">
        <v>166</v>
      </c>
      <c r="I50">
        <v>5.0999999999999996</v>
      </c>
      <c r="J50">
        <v>2.8</v>
      </c>
      <c r="K50">
        <v>3</v>
      </c>
      <c r="L50">
        <v>1.1000000000000001</v>
      </c>
      <c r="M50" s="8">
        <f t="shared" si="0"/>
        <v>3.3000000000000003</v>
      </c>
    </row>
    <row r="51" spans="1:13" x14ac:dyDescent="0.2">
      <c r="G51">
        <v>1</v>
      </c>
      <c r="H51" t="s">
        <v>298</v>
      </c>
      <c r="I51">
        <v>6.3</v>
      </c>
      <c r="J51">
        <v>4.4000000000000004</v>
      </c>
      <c r="K51">
        <v>3.7</v>
      </c>
      <c r="L51">
        <v>5.3</v>
      </c>
      <c r="M51" s="8">
        <f t="shared" si="0"/>
        <v>19.61</v>
      </c>
    </row>
    <row r="52" spans="1:13" x14ac:dyDescent="0.2">
      <c r="M52" s="8"/>
    </row>
    <row r="53" spans="1:13" x14ac:dyDescent="0.2">
      <c r="A53">
        <v>6</v>
      </c>
      <c r="B53" t="s">
        <v>30</v>
      </c>
      <c r="C53" s="1">
        <v>18099</v>
      </c>
      <c r="D53" s="1">
        <v>43472</v>
      </c>
      <c r="E53" s="10">
        <v>59</v>
      </c>
      <c r="F53" t="s">
        <v>13</v>
      </c>
      <c r="G53">
        <v>1</v>
      </c>
      <c r="H53" t="s">
        <v>105</v>
      </c>
      <c r="I53">
        <v>7.6</v>
      </c>
      <c r="J53">
        <v>5.5</v>
      </c>
      <c r="K53">
        <v>4.0999999999999996</v>
      </c>
      <c r="L53">
        <v>26.28</v>
      </c>
      <c r="M53" s="8">
        <f t="shared" si="0"/>
        <v>107.74799999999999</v>
      </c>
    </row>
    <row r="54" spans="1:13" x14ac:dyDescent="0.2">
      <c r="G54">
        <v>1</v>
      </c>
      <c r="H54" t="s">
        <v>106</v>
      </c>
      <c r="I54">
        <v>9.4</v>
      </c>
      <c r="J54">
        <v>6.9</v>
      </c>
      <c r="K54">
        <v>5.5</v>
      </c>
      <c r="L54">
        <v>8.1</v>
      </c>
      <c r="M54" s="8">
        <f t="shared" si="0"/>
        <v>44.55</v>
      </c>
    </row>
    <row r="55" spans="1:13" x14ac:dyDescent="0.2">
      <c r="G55">
        <v>1</v>
      </c>
      <c r="H55" t="s">
        <v>115</v>
      </c>
      <c r="I55">
        <v>11</v>
      </c>
      <c r="J55">
        <v>8.3000000000000007</v>
      </c>
      <c r="K55">
        <v>6.2</v>
      </c>
      <c r="L55">
        <v>7.9</v>
      </c>
      <c r="M55" s="8">
        <f t="shared" si="0"/>
        <v>48.980000000000004</v>
      </c>
    </row>
    <row r="56" spans="1:13" x14ac:dyDescent="0.2">
      <c r="G56">
        <v>1</v>
      </c>
      <c r="H56" t="s">
        <v>168</v>
      </c>
      <c r="I56">
        <v>5.3</v>
      </c>
      <c r="J56">
        <v>3.7</v>
      </c>
      <c r="K56">
        <v>2.8</v>
      </c>
      <c r="L56">
        <v>15.6</v>
      </c>
      <c r="M56" s="8">
        <f t="shared" si="0"/>
        <v>43.68</v>
      </c>
    </row>
    <row r="57" spans="1:13" x14ac:dyDescent="0.2">
      <c r="G57">
        <v>1</v>
      </c>
      <c r="H57" t="s">
        <v>300</v>
      </c>
      <c r="I57">
        <v>5.5</v>
      </c>
      <c r="J57">
        <v>4.5</v>
      </c>
      <c r="K57">
        <v>3.5</v>
      </c>
      <c r="L57">
        <v>6.5</v>
      </c>
      <c r="M57" s="8">
        <f t="shared" si="0"/>
        <v>22.75</v>
      </c>
    </row>
    <row r="58" spans="1:13" x14ac:dyDescent="0.2">
      <c r="G58">
        <v>1</v>
      </c>
      <c r="H58" t="s">
        <v>301</v>
      </c>
      <c r="I58">
        <v>4</v>
      </c>
      <c r="J58">
        <v>3</v>
      </c>
      <c r="K58">
        <v>2.4</v>
      </c>
      <c r="L58">
        <v>5</v>
      </c>
      <c r="M58" s="8">
        <f t="shared" si="0"/>
        <v>12</v>
      </c>
    </row>
    <row r="59" spans="1:13" x14ac:dyDescent="0.2">
      <c r="G59">
        <v>1</v>
      </c>
      <c r="H59" t="s">
        <v>167</v>
      </c>
      <c r="I59">
        <v>5.6</v>
      </c>
      <c r="J59">
        <v>3.9</v>
      </c>
      <c r="K59">
        <v>3.1</v>
      </c>
      <c r="L59">
        <v>9.3000000000000007</v>
      </c>
      <c r="M59" s="8">
        <f t="shared" si="0"/>
        <v>28.830000000000002</v>
      </c>
    </row>
    <row r="60" spans="1:13" x14ac:dyDescent="0.2">
      <c r="G60">
        <v>1</v>
      </c>
      <c r="H60" t="s">
        <v>169</v>
      </c>
      <c r="I60">
        <v>11.6</v>
      </c>
      <c r="J60">
        <v>7</v>
      </c>
      <c r="K60">
        <v>5.8</v>
      </c>
      <c r="L60">
        <v>17.100000000000001</v>
      </c>
      <c r="M60" s="8">
        <f t="shared" si="0"/>
        <v>99.18</v>
      </c>
    </row>
    <row r="61" spans="1:13" x14ac:dyDescent="0.2">
      <c r="G61">
        <v>1</v>
      </c>
      <c r="H61" t="s">
        <v>170</v>
      </c>
      <c r="I61">
        <v>8.9</v>
      </c>
      <c r="J61">
        <v>4.9000000000000004</v>
      </c>
      <c r="K61">
        <v>4.7</v>
      </c>
      <c r="L61">
        <v>3.2</v>
      </c>
      <c r="M61" s="8">
        <f t="shared" si="0"/>
        <v>15.040000000000001</v>
      </c>
    </row>
    <row r="62" spans="1:13" x14ac:dyDescent="0.2">
      <c r="G62">
        <v>1</v>
      </c>
      <c r="H62" t="s">
        <v>251</v>
      </c>
      <c r="I62">
        <v>6</v>
      </c>
      <c r="J62">
        <v>4.5999999999999996</v>
      </c>
      <c r="K62">
        <v>3.6</v>
      </c>
      <c r="L62">
        <v>4.5999999999999996</v>
      </c>
      <c r="M62" s="8">
        <f t="shared" si="0"/>
        <v>16.559999999999999</v>
      </c>
    </row>
    <row r="63" spans="1:13" x14ac:dyDescent="0.2">
      <c r="G63">
        <v>1</v>
      </c>
      <c r="H63" t="s">
        <v>252</v>
      </c>
      <c r="I63">
        <v>5.7</v>
      </c>
      <c r="J63">
        <v>4.3</v>
      </c>
      <c r="K63">
        <v>3.2</v>
      </c>
      <c r="L63">
        <v>8.3000000000000007</v>
      </c>
      <c r="M63" s="8">
        <f t="shared" si="0"/>
        <v>26.560000000000002</v>
      </c>
    </row>
    <row r="64" spans="1:13" x14ac:dyDescent="0.2">
      <c r="G64">
        <v>1</v>
      </c>
      <c r="H64" t="s">
        <v>254</v>
      </c>
      <c r="I64">
        <v>4.2</v>
      </c>
      <c r="J64">
        <v>2.9</v>
      </c>
      <c r="K64">
        <v>3</v>
      </c>
      <c r="L64">
        <v>2.2999999999999998</v>
      </c>
      <c r="M64" s="8">
        <f t="shared" si="0"/>
        <v>6.8999999999999995</v>
      </c>
    </row>
    <row r="65" spans="1:13" x14ac:dyDescent="0.2">
      <c r="G65">
        <v>1</v>
      </c>
      <c r="H65" t="s">
        <v>253</v>
      </c>
      <c r="I65">
        <v>4.3</v>
      </c>
      <c r="J65">
        <v>2.7</v>
      </c>
      <c r="K65">
        <v>2.2999999999999998</v>
      </c>
      <c r="L65">
        <v>4.9000000000000004</v>
      </c>
      <c r="M65" s="8">
        <f t="shared" si="0"/>
        <v>11.27</v>
      </c>
    </row>
    <row r="66" spans="1:13" x14ac:dyDescent="0.2">
      <c r="G66">
        <v>1</v>
      </c>
      <c r="H66" t="s">
        <v>171</v>
      </c>
      <c r="I66">
        <v>6.2</v>
      </c>
      <c r="J66">
        <v>4</v>
      </c>
      <c r="K66">
        <v>3.6</v>
      </c>
      <c r="L66">
        <v>3.2</v>
      </c>
      <c r="M66" s="8">
        <f t="shared" si="0"/>
        <v>11.520000000000001</v>
      </c>
    </row>
    <row r="67" spans="1:13" x14ac:dyDescent="0.2">
      <c r="G67">
        <v>1</v>
      </c>
      <c r="H67" t="s">
        <v>172</v>
      </c>
      <c r="I67">
        <v>5.9</v>
      </c>
      <c r="J67">
        <v>4.0999999999999996</v>
      </c>
      <c r="K67">
        <v>3.8</v>
      </c>
      <c r="L67">
        <v>4.0999999999999996</v>
      </c>
      <c r="M67" s="8">
        <f t="shared" si="0"/>
        <v>15.579999999999998</v>
      </c>
    </row>
    <row r="68" spans="1:13" x14ac:dyDescent="0.2">
      <c r="G68">
        <v>1</v>
      </c>
      <c r="H68" t="s">
        <v>173</v>
      </c>
      <c r="I68">
        <v>7.7</v>
      </c>
      <c r="J68">
        <v>4.4000000000000004</v>
      </c>
      <c r="K68">
        <v>5.3</v>
      </c>
      <c r="L68">
        <v>1.1000000000000001</v>
      </c>
      <c r="M68" s="8">
        <f t="shared" si="0"/>
        <v>5.83</v>
      </c>
    </row>
    <row r="69" spans="1:13" x14ac:dyDescent="0.2">
      <c r="G69">
        <v>1</v>
      </c>
      <c r="H69" t="s">
        <v>174</v>
      </c>
      <c r="I69">
        <v>5.6</v>
      </c>
      <c r="J69">
        <v>4.0999999999999996</v>
      </c>
      <c r="K69">
        <v>3.5</v>
      </c>
      <c r="L69">
        <v>5.5</v>
      </c>
      <c r="M69" s="8">
        <f t="shared" si="0"/>
        <v>19.25</v>
      </c>
    </row>
    <row r="70" spans="1:13" x14ac:dyDescent="0.2">
      <c r="G70">
        <v>1</v>
      </c>
      <c r="H70" t="s">
        <v>175</v>
      </c>
      <c r="I70">
        <v>6.1</v>
      </c>
      <c r="J70">
        <v>4.5</v>
      </c>
      <c r="K70">
        <v>3.9</v>
      </c>
      <c r="L70">
        <v>4.8</v>
      </c>
      <c r="M70" s="8">
        <f t="shared" si="0"/>
        <v>18.72</v>
      </c>
    </row>
    <row r="71" spans="1:13" x14ac:dyDescent="0.2">
      <c r="G71">
        <v>1</v>
      </c>
      <c r="H71" t="s">
        <v>176</v>
      </c>
      <c r="I71">
        <v>4.5</v>
      </c>
      <c r="J71">
        <v>3</v>
      </c>
      <c r="K71">
        <v>3.1</v>
      </c>
      <c r="L71">
        <v>1.8</v>
      </c>
      <c r="M71" s="8">
        <f t="shared" ref="M71:M136" si="1">(K71*L71)</f>
        <v>5.58</v>
      </c>
    </row>
    <row r="72" spans="1:13" x14ac:dyDescent="0.2">
      <c r="G72">
        <v>1</v>
      </c>
      <c r="H72" t="s">
        <v>302</v>
      </c>
      <c r="I72">
        <v>5.4</v>
      </c>
      <c r="J72">
        <v>4.2</v>
      </c>
      <c r="K72">
        <v>3.8</v>
      </c>
      <c r="L72">
        <v>2.2999999999999998</v>
      </c>
      <c r="M72" s="8">
        <f t="shared" si="1"/>
        <v>8.7399999999999984</v>
      </c>
    </row>
    <row r="73" spans="1:13" x14ac:dyDescent="0.2">
      <c r="G73">
        <v>1</v>
      </c>
      <c r="H73" t="s">
        <v>247</v>
      </c>
      <c r="I73">
        <v>7.6</v>
      </c>
      <c r="J73">
        <v>5.5</v>
      </c>
      <c r="K73">
        <v>4</v>
      </c>
      <c r="L73">
        <v>5.7</v>
      </c>
      <c r="M73" s="8">
        <f t="shared" si="1"/>
        <v>22.8</v>
      </c>
    </row>
    <row r="74" spans="1:13" x14ac:dyDescent="0.2">
      <c r="G74">
        <v>1</v>
      </c>
      <c r="H74" t="s">
        <v>248</v>
      </c>
      <c r="I74">
        <v>4</v>
      </c>
      <c r="J74">
        <v>3</v>
      </c>
      <c r="K74">
        <v>2.8</v>
      </c>
      <c r="L74">
        <v>3.3</v>
      </c>
      <c r="M74" s="8">
        <f t="shared" si="1"/>
        <v>9.2399999999999984</v>
      </c>
    </row>
    <row r="75" spans="1:13" x14ac:dyDescent="0.2">
      <c r="G75">
        <v>1</v>
      </c>
      <c r="H75" t="s">
        <v>249</v>
      </c>
      <c r="I75">
        <v>3.7</v>
      </c>
      <c r="J75">
        <v>3.1</v>
      </c>
      <c r="K75">
        <v>2.8</v>
      </c>
      <c r="L75">
        <v>2.2999999999999998</v>
      </c>
      <c r="M75" s="8">
        <f t="shared" si="1"/>
        <v>6.4399999999999995</v>
      </c>
    </row>
    <row r="76" spans="1:13" x14ac:dyDescent="0.2">
      <c r="G76">
        <v>1</v>
      </c>
      <c r="H76" t="s">
        <v>250</v>
      </c>
      <c r="I76">
        <v>3.3</v>
      </c>
      <c r="J76">
        <v>2.4</v>
      </c>
      <c r="K76">
        <v>1.9</v>
      </c>
      <c r="L76">
        <v>4</v>
      </c>
      <c r="M76" s="8">
        <f t="shared" si="1"/>
        <v>7.6</v>
      </c>
    </row>
    <row r="77" spans="1:13" x14ac:dyDescent="0.2">
      <c r="G77">
        <v>1</v>
      </c>
      <c r="H77" t="s">
        <v>218</v>
      </c>
      <c r="I77">
        <v>3.8</v>
      </c>
      <c r="J77">
        <v>2.8</v>
      </c>
      <c r="K77">
        <v>2.2000000000000002</v>
      </c>
      <c r="L77">
        <v>8.5</v>
      </c>
      <c r="M77" s="8">
        <f t="shared" si="1"/>
        <v>18.700000000000003</v>
      </c>
    </row>
    <row r="78" spans="1:13" x14ac:dyDescent="0.2">
      <c r="M78" s="8"/>
    </row>
    <row r="79" spans="1:13" x14ac:dyDescent="0.2">
      <c r="M79" s="8"/>
    </row>
    <row r="80" spans="1:13" x14ac:dyDescent="0.2">
      <c r="A80">
        <v>7</v>
      </c>
      <c r="B80" s="7" t="s">
        <v>31</v>
      </c>
      <c r="C80" s="1">
        <v>23467</v>
      </c>
      <c r="D80" s="1">
        <v>43472</v>
      </c>
      <c r="E80" s="10">
        <v>54</v>
      </c>
      <c r="F80" t="s">
        <v>32</v>
      </c>
      <c r="G80">
        <v>1</v>
      </c>
      <c r="H80" t="s">
        <v>216</v>
      </c>
      <c r="I80">
        <v>4.8</v>
      </c>
      <c r="J80">
        <v>3.2</v>
      </c>
      <c r="K80">
        <v>2.9</v>
      </c>
      <c r="L80">
        <v>2.5</v>
      </c>
      <c r="M80" s="8">
        <f t="shared" si="1"/>
        <v>7.25</v>
      </c>
    </row>
    <row r="81" spans="1:13" x14ac:dyDescent="0.2">
      <c r="G81">
        <v>1</v>
      </c>
      <c r="H81" t="s">
        <v>255</v>
      </c>
      <c r="I81">
        <v>4.5999999999999996</v>
      </c>
      <c r="J81">
        <v>3.1</v>
      </c>
      <c r="K81">
        <v>2.9</v>
      </c>
      <c r="L81">
        <v>3.1</v>
      </c>
      <c r="M81" s="8">
        <f t="shared" si="1"/>
        <v>8.99</v>
      </c>
    </row>
    <row r="82" spans="1:13" x14ac:dyDescent="0.2">
      <c r="G82">
        <v>1</v>
      </c>
      <c r="H82" t="s">
        <v>256</v>
      </c>
      <c r="I82">
        <v>7</v>
      </c>
      <c r="J82">
        <v>4.4000000000000004</v>
      </c>
      <c r="K82">
        <v>4</v>
      </c>
      <c r="L82">
        <v>3.8</v>
      </c>
      <c r="M82" s="8">
        <f t="shared" si="1"/>
        <v>15.2</v>
      </c>
    </row>
    <row r="83" spans="1:13" x14ac:dyDescent="0.2">
      <c r="G83">
        <v>1</v>
      </c>
      <c r="H83" t="s">
        <v>264</v>
      </c>
      <c r="I83">
        <v>3.5</v>
      </c>
      <c r="J83">
        <v>2.2999999999999998</v>
      </c>
      <c r="K83">
        <v>2.4</v>
      </c>
      <c r="L83">
        <v>2.8</v>
      </c>
      <c r="M83" s="8">
        <f t="shared" si="1"/>
        <v>6.72</v>
      </c>
    </row>
    <row r="84" spans="1:13" x14ac:dyDescent="0.2">
      <c r="G84">
        <v>1</v>
      </c>
      <c r="H84" t="s">
        <v>242</v>
      </c>
      <c r="I84">
        <v>4.3</v>
      </c>
      <c r="J84">
        <v>2.7</v>
      </c>
      <c r="K84">
        <v>2.2000000000000002</v>
      </c>
      <c r="L84">
        <v>10.3</v>
      </c>
      <c r="M84" s="8">
        <f t="shared" si="1"/>
        <v>22.660000000000004</v>
      </c>
    </row>
    <row r="85" spans="1:13" x14ac:dyDescent="0.2">
      <c r="G85">
        <v>1</v>
      </c>
      <c r="H85" t="s">
        <v>257</v>
      </c>
      <c r="I85">
        <v>3.4</v>
      </c>
      <c r="J85">
        <v>1.8</v>
      </c>
      <c r="K85">
        <v>2.1</v>
      </c>
      <c r="L85">
        <v>2.2000000000000002</v>
      </c>
      <c r="M85" s="8">
        <f t="shared" si="1"/>
        <v>4.620000000000001</v>
      </c>
    </row>
    <row r="86" spans="1:13" x14ac:dyDescent="0.2">
      <c r="G86">
        <v>1</v>
      </c>
      <c r="H86" t="s">
        <v>286</v>
      </c>
      <c r="I86">
        <v>3.6</v>
      </c>
      <c r="J86">
        <v>2</v>
      </c>
      <c r="K86">
        <v>2.7</v>
      </c>
      <c r="L86">
        <v>2.1</v>
      </c>
      <c r="M86" s="8">
        <f t="shared" si="1"/>
        <v>5.6700000000000008</v>
      </c>
    </row>
    <row r="87" spans="1:13" x14ac:dyDescent="0.2">
      <c r="G87">
        <v>1</v>
      </c>
      <c r="H87" t="s">
        <v>289</v>
      </c>
      <c r="I87">
        <v>4.3</v>
      </c>
      <c r="J87">
        <v>2.7</v>
      </c>
      <c r="K87">
        <v>2.2999999999999998</v>
      </c>
      <c r="L87">
        <v>5</v>
      </c>
      <c r="M87" s="8">
        <f t="shared" si="1"/>
        <v>11.5</v>
      </c>
    </row>
    <row r="88" spans="1:13" x14ac:dyDescent="0.2">
      <c r="M88" s="8"/>
    </row>
    <row r="89" spans="1:13" x14ac:dyDescent="0.2">
      <c r="A89">
        <v>8</v>
      </c>
      <c r="B89" t="s">
        <v>34</v>
      </c>
      <c r="C89" s="1">
        <v>20776</v>
      </c>
      <c r="D89" s="1">
        <v>43479</v>
      </c>
      <c r="E89" s="10">
        <v>62</v>
      </c>
      <c r="F89" t="s">
        <v>35</v>
      </c>
      <c r="G89">
        <v>1</v>
      </c>
      <c r="H89" t="s">
        <v>106</v>
      </c>
      <c r="I89">
        <v>3.4</v>
      </c>
      <c r="J89">
        <v>2.5</v>
      </c>
      <c r="K89">
        <v>1.7</v>
      </c>
      <c r="L89">
        <v>54.8</v>
      </c>
      <c r="M89" s="8">
        <f t="shared" si="1"/>
        <v>93.16</v>
      </c>
    </row>
    <row r="90" spans="1:13" x14ac:dyDescent="0.2">
      <c r="C90" s="1"/>
      <c r="D90" s="1"/>
      <c r="G90">
        <v>1</v>
      </c>
      <c r="H90" t="s">
        <v>301</v>
      </c>
      <c r="I90">
        <v>8.6</v>
      </c>
      <c r="J90">
        <v>5</v>
      </c>
      <c r="K90">
        <v>4.9000000000000004</v>
      </c>
      <c r="L90">
        <v>1.3</v>
      </c>
      <c r="M90" s="8">
        <f t="shared" si="1"/>
        <v>6.370000000000001</v>
      </c>
    </row>
    <row r="91" spans="1:13" x14ac:dyDescent="0.2">
      <c r="C91" s="1"/>
      <c r="D91" s="1"/>
      <c r="G91">
        <v>1</v>
      </c>
      <c r="H91" t="s">
        <v>300</v>
      </c>
      <c r="I91">
        <v>5.4</v>
      </c>
      <c r="J91">
        <v>3.9</v>
      </c>
      <c r="K91">
        <v>3</v>
      </c>
      <c r="L91">
        <v>4.8</v>
      </c>
      <c r="M91" s="8">
        <f>(K91*L91)</f>
        <v>14.399999999999999</v>
      </c>
    </row>
    <row r="92" spans="1:13" x14ac:dyDescent="0.2">
      <c r="G92">
        <v>1</v>
      </c>
      <c r="H92" t="s">
        <v>108</v>
      </c>
      <c r="I92">
        <v>4.2</v>
      </c>
      <c r="J92">
        <v>2.8</v>
      </c>
      <c r="K92">
        <v>2.2999999999999998</v>
      </c>
      <c r="L92">
        <v>7.7</v>
      </c>
      <c r="M92" s="8">
        <f t="shared" si="1"/>
        <v>17.709999999999997</v>
      </c>
    </row>
    <row r="93" spans="1:13" x14ac:dyDescent="0.2">
      <c r="G93">
        <v>1</v>
      </c>
      <c r="H93" t="s">
        <v>303</v>
      </c>
      <c r="I93">
        <v>6.2</v>
      </c>
      <c r="J93">
        <v>4</v>
      </c>
      <c r="K93">
        <v>3.4</v>
      </c>
      <c r="L93">
        <v>6.4</v>
      </c>
      <c r="M93" s="8">
        <f t="shared" si="1"/>
        <v>21.76</v>
      </c>
    </row>
    <row r="94" spans="1:13" x14ac:dyDescent="0.2">
      <c r="G94">
        <v>1</v>
      </c>
      <c r="H94" t="s">
        <v>304</v>
      </c>
      <c r="I94">
        <v>3.4</v>
      </c>
      <c r="J94">
        <v>2.4</v>
      </c>
      <c r="K94">
        <v>2</v>
      </c>
      <c r="L94">
        <v>4.8</v>
      </c>
      <c r="M94" s="8">
        <f t="shared" si="1"/>
        <v>9.6</v>
      </c>
    </row>
    <row r="95" spans="1:13" x14ac:dyDescent="0.2">
      <c r="G95">
        <v>1</v>
      </c>
      <c r="H95" t="s">
        <v>268</v>
      </c>
      <c r="I95">
        <v>7.3</v>
      </c>
      <c r="J95">
        <v>4</v>
      </c>
      <c r="K95">
        <v>4.3</v>
      </c>
      <c r="L95">
        <v>3.4</v>
      </c>
      <c r="M95" s="8">
        <f t="shared" si="1"/>
        <v>14.62</v>
      </c>
    </row>
    <row r="96" spans="1:13" x14ac:dyDescent="0.2">
      <c r="G96">
        <v>1</v>
      </c>
      <c r="H96" t="s">
        <v>258</v>
      </c>
      <c r="I96">
        <v>3.4</v>
      </c>
      <c r="J96">
        <v>2.5</v>
      </c>
      <c r="K96">
        <v>2.2999999999999998</v>
      </c>
      <c r="L96">
        <v>2.4</v>
      </c>
      <c r="M96" s="8">
        <f t="shared" si="1"/>
        <v>5.52</v>
      </c>
    </row>
    <row r="97" spans="1:13" x14ac:dyDescent="0.2">
      <c r="G97">
        <v>1</v>
      </c>
      <c r="H97" t="s">
        <v>259</v>
      </c>
      <c r="I97">
        <v>3.1</v>
      </c>
      <c r="J97">
        <v>1.6</v>
      </c>
      <c r="K97">
        <v>1.7</v>
      </c>
      <c r="L97">
        <v>1.6</v>
      </c>
      <c r="M97" s="8">
        <f t="shared" si="1"/>
        <v>2.72</v>
      </c>
    </row>
    <row r="98" spans="1:13" x14ac:dyDescent="0.2">
      <c r="G98">
        <v>1</v>
      </c>
      <c r="H98" t="s">
        <v>158</v>
      </c>
      <c r="I98">
        <v>4.9000000000000004</v>
      </c>
      <c r="J98">
        <v>3.1</v>
      </c>
      <c r="K98">
        <v>3.2</v>
      </c>
      <c r="L98">
        <v>4.2</v>
      </c>
      <c r="M98" s="8">
        <f t="shared" si="1"/>
        <v>13.440000000000001</v>
      </c>
    </row>
    <row r="99" spans="1:13" x14ac:dyDescent="0.2">
      <c r="G99">
        <v>1</v>
      </c>
      <c r="H99" t="s">
        <v>267</v>
      </c>
      <c r="I99">
        <v>4.9000000000000004</v>
      </c>
      <c r="J99">
        <v>3.1</v>
      </c>
      <c r="K99">
        <v>2.9</v>
      </c>
      <c r="L99">
        <v>3.1</v>
      </c>
      <c r="M99" s="8">
        <f t="shared" si="1"/>
        <v>8.99</v>
      </c>
    </row>
    <row r="100" spans="1:13" x14ac:dyDescent="0.2">
      <c r="G100">
        <v>1</v>
      </c>
      <c r="H100" t="s">
        <v>260</v>
      </c>
      <c r="I100">
        <v>6.7</v>
      </c>
      <c r="J100">
        <v>3.3</v>
      </c>
      <c r="K100">
        <v>3.8</v>
      </c>
      <c r="L100">
        <v>1.9</v>
      </c>
      <c r="M100" s="8">
        <f t="shared" si="1"/>
        <v>7.22</v>
      </c>
    </row>
    <row r="101" spans="1:13" x14ac:dyDescent="0.2">
      <c r="G101">
        <v>1</v>
      </c>
      <c r="H101" t="s">
        <v>261</v>
      </c>
      <c r="I101">
        <v>3.1</v>
      </c>
      <c r="J101">
        <v>2</v>
      </c>
      <c r="K101">
        <v>1.8</v>
      </c>
      <c r="L101">
        <v>2.6</v>
      </c>
      <c r="M101" s="8">
        <f t="shared" si="1"/>
        <v>4.6800000000000006</v>
      </c>
    </row>
    <row r="102" spans="1:13" x14ac:dyDescent="0.2">
      <c r="G102">
        <v>1</v>
      </c>
      <c r="H102" t="s">
        <v>262</v>
      </c>
      <c r="I102">
        <v>4.9000000000000004</v>
      </c>
      <c r="J102">
        <v>3</v>
      </c>
      <c r="K102">
        <v>3</v>
      </c>
      <c r="L102">
        <v>2.4</v>
      </c>
      <c r="M102" s="8">
        <f t="shared" si="1"/>
        <v>7.1999999999999993</v>
      </c>
    </row>
    <row r="103" spans="1:13" x14ac:dyDescent="0.2">
      <c r="M103" s="8"/>
    </row>
    <row r="104" spans="1:13" x14ac:dyDescent="0.2">
      <c r="A104">
        <v>9</v>
      </c>
      <c r="B104" t="s">
        <v>36</v>
      </c>
      <c r="C104" s="1">
        <v>21637</v>
      </c>
      <c r="D104" s="1">
        <v>43486</v>
      </c>
      <c r="E104" s="10">
        <v>59</v>
      </c>
      <c r="F104" t="s">
        <v>13</v>
      </c>
      <c r="G104">
        <v>1</v>
      </c>
      <c r="H104" t="s">
        <v>217</v>
      </c>
      <c r="I104">
        <v>4.8</v>
      </c>
      <c r="J104">
        <v>3.4</v>
      </c>
      <c r="K104">
        <v>2.8</v>
      </c>
      <c r="L104">
        <v>3.9</v>
      </c>
      <c r="M104" s="8">
        <f t="shared" si="1"/>
        <v>10.92</v>
      </c>
    </row>
    <row r="105" spans="1:13" x14ac:dyDescent="0.2">
      <c r="G105">
        <v>1</v>
      </c>
      <c r="H105" t="s">
        <v>179</v>
      </c>
      <c r="I105">
        <v>5.2</v>
      </c>
      <c r="J105">
        <v>3.4</v>
      </c>
      <c r="K105">
        <v>3.1</v>
      </c>
      <c r="L105">
        <v>2</v>
      </c>
      <c r="M105" s="8">
        <f t="shared" si="1"/>
        <v>6.2</v>
      </c>
    </row>
    <row r="106" spans="1:13" x14ac:dyDescent="0.2">
      <c r="G106">
        <v>1</v>
      </c>
      <c r="H106" t="s">
        <v>235</v>
      </c>
      <c r="I106">
        <v>5.4</v>
      </c>
      <c r="J106">
        <v>3.8</v>
      </c>
      <c r="K106">
        <v>3.1</v>
      </c>
      <c r="L106">
        <v>3.7</v>
      </c>
      <c r="M106" s="8">
        <f t="shared" si="1"/>
        <v>11.47</v>
      </c>
    </row>
    <row r="107" spans="1:13" x14ac:dyDescent="0.2">
      <c r="G107">
        <v>1</v>
      </c>
      <c r="H107" t="s">
        <v>263</v>
      </c>
      <c r="I107">
        <v>8</v>
      </c>
      <c r="J107">
        <v>4.5999999999999996</v>
      </c>
      <c r="K107">
        <v>4.5</v>
      </c>
      <c r="L107">
        <v>1.8</v>
      </c>
      <c r="M107" s="8">
        <f t="shared" si="1"/>
        <v>8.1</v>
      </c>
    </row>
    <row r="108" spans="1:13" x14ac:dyDescent="0.2">
      <c r="G108">
        <v>1</v>
      </c>
      <c r="H108" t="s">
        <v>264</v>
      </c>
      <c r="I108">
        <v>11.3</v>
      </c>
      <c r="J108">
        <v>7.1</v>
      </c>
      <c r="K108">
        <v>6.4</v>
      </c>
      <c r="L108">
        <v>2.2000000000000002</v>
      </c>
      <c r="M108" s="8">
        <f t="shared" si="1"/>
        <v>14.080000000000002</v>
      </c>
    </row>
    <row r="109" spans="1:13" x14ac:dyDescent="0.2">
      <c r="G109">
        <v>1</v>
      </c>
      <c r="H109" t="s">
        <v>265</v>
      </c>
      <c r="I109">
        <v>6.4</v>
      </c>
      <c r="J109">
        <v>4.3</v>
      </c>
      <c r="K109">
        <v>3.5</v>
      </c>
      <c r="L109">
        <v>3</v>
      </c>
      <c r="M109" s="8">
        <f>(K109*L109)</f>
        <v>10.5</v>
      </c>
    </row>
    <row r="110" spans="1:13" x14ac:dyDescent="0.2">
      <c r="G110">
        <v>1</v>
      </c>
      <c r="H110" t="s">
        <v>213</v>
      </c>
      <c r="I110">
        <v>11.2</v>
      </c>
      <c r="J110">
        <v>8.5</v>
      </c>
      <c r="K110">
        <v>6.3</v>
      </c>
      <c r="L110">
        <v>5.0999999999999996</v>
      </c>
      <c r="M110" s="8">
        <f t="shared" si="1"/>
        <v>32.129999999999995</v>
      </c>
    </row>
    <row r="111" spans="1:13" x14ac:dyDescent="0.2">
      <c r="G111">
        <v>1</v>
      </c>
      <c r="H111" t="s">
        <v>266</v>
      </c>
      <c r="I111">
        <v>6.1</v>
      </c>
      <c r="J111">
        <v>4.0999999999999996</v>
      </c>
      <c r="K111">
        <v>4</v>
      </c>
      <c r="L111">
        <v>1.3</v>
      </c>
      <c r="M111" s="8">
        <f t="shared" si="1"/>
        <v>5.2</v>
      </c>
    </row>
    <row r="112" spans="1:13" x14ac:dyDescent="0.2">
      <c r="G112">
        <v>1</v>
      </c>
      <c r="H112" t="s">
        <v>180</v>
      </c>
      <c r="I112">
        <v>6</v>
      </c>
      <c r="J112">
        <v>4.3</v>
      </c>
      <c r="K112">
        <v>4.2</v>
      </c>
      <c r="L112">
        <v>1.4</v>
      </c>
      <c r="M112" s="8">
        <f t="shared" si="1"/>
        <v>5.88</v>
      </c>
    </row>
    <row r="113" spans="1:13" x14ac:dyDescent="0.2">
      <c r="G113">
        <v>1</v>
      </c>
      <c r="H113" t="s">
        <v>181</v>
      </c>
      <c r="I113">
        <v>3.6</v>
      </c>
      <c r="J113">
        <v>2.5</v>
      </c>
      <c r="K113">
        <v>2.2999999999999998</v>
      </c>
      <c r="L113">
        <v>2.2999999999999998</v>
      </c>
      <c r="M113" s="8">
        <f t="shared" si="1"/>
        <v>5.2899999999999991</v>
      </c>
    </row>
    <row r="114" spans="1:13" x14ac:dyDescent="0.2">
      <c r="G114">
        <v>1</v>
      </c>
      <c r="H114" t="s">
        <v>183</v>
      </c>
      <c r="I114">
        <v>5.2</v>
      </c>
      <c r="J114">
        <v>3.1</v>
      </c>
      <c r="K114">
        <v>3</v>
      </c>
      <c r="L114">
        <v>2.9</v>
      </c>
      <c r="M114" s="8">
        <f t="shared" si="1"/>
        <v>8.6999999999999993</v>
      </c>
    </row>
    <row r="115" spans="1:13" x14ac:dyDescent="0.2">
      <c r="G115">
        <v>1</v>
      </c>
      <c r="H115" t="s">
        <v>184</v>
      </c>
      <c r="I115">
        <v>4.8</v>
      </c>
      <c r="J115">
        <v>3.1</v>
      </c>
      <c r="K115">
        <v>3</v>
      </c>
      <c r="L115">
        <v>1.9</v>
      </c>
      <c r="M115" s="8">
        <f t="shared" si="1"/>
        <v>5.6999999999999993</v>
      </c>
    </row>
    <row r="116" spans="1:13" x14ac:dyDescent="0.2">
      <c r="G116">
        <v>1</v>
      </c>
      <c r="H116" t="s">
        <v>177</v>
      </c>
      <c r="I116">
        <v>5.0999999999999996</v>
      </c>
      <c r="J116">
        <v>3.3</v>
      </c>
      <c r="K116">
        <v>3.1</v>
      </c>
      <c r="L116">
        <v>2.2999999999999998</v>
      </c>
      <c r="M116" s="8">
        <f t="shared" si="1"/>
        <v>7.13</v>
      </c>
    </row>
    <row r="117" spans="1:13" x14ac:dyDescent="0.2">
      <c r="G117">
        <v>1</v>
      </c>
      <c r="H117" t="s">
        <v>158</v>
      </c>
      <c r="I117">
        <v>4.9000000000000004</v>
      </c>
      <c r="J117">
        <v>3.2</v>
      </c>
      <c r="K117">
        <v>3</v>
      </c>
      <c r="L117">
        <v>2.2000000000000002</v>
      </c>
      <c r="M117" s="8">
        <f t="shared" si="1"/>
        <v>6.6000000000000005</v>
      </c>
    </row>
    <row r="118" spans="1:13" x14ac:dyDescent="0.2">
      <c r="G118">
        <v>1</v>
      </c>
      <c r="H118" t="s">
        <v>178</v>
      </c>
      <c r="I118">
        <v>5</v>
      </c>
      <c r="J118">
        <v>3.3</v>
      </c>
      <c r="K118">
        <v>3.1</v>
      </c>
      <c r="L118">
        <v>2.2000000000000002</v>
      </c>
      <c r="M118" s="8">
        <f t="shared" si="1"/>
        <v>6.8200000000000012</v>
      </c>
    </row>
    <row r="119" spans="1:13" x14ac:dyDescent="0.2">
      <c r="G119">
        <v>1</v>
      </c>
      <c r="H119" t="s">
        <v>192</v>
      </c>
      <c r="I119">
        <v>3.9</v>
      </c>
      <c r="J119">
        <v>3</v>
      </c>
      <c r="K119">
        <v>2.9</v>
      </c>
      <c r="L119">
        <v>2.5</v>
      </c>
      <c r="M119" s="8">
        <f t="shared" si="1"/>
        <v>7.25</v>
      </c>
    </row>
    <row r="120" spans="1:13" x14ac:dyDescent="0.2">
      <c r="M120" s="8"/>
    </row>
    <row r="121" spans="1:13" x14ac:dyDescent="0.2">
      <c r="A121">
        <v>10</v>
      </c>
      <c r="B121" t="s">
        <v>39</v>
      </c>
      <c r="C121" s="1">
        <v>24023</v>
      </c>
      <c r="D121" s="1">
        <v>43493</v>
      </c>
      <c r="E121" s="10">
        <v>62</v>
      </c>
      <c r="F121" t="s">
        <v>16</v>
      </c>
      <c r="G121">
        <v>1</v>
      </c>
      <c r="H121" t="s">
        <v>182</v>
      </c>
      <c r="I121">
        <v>11.4</v>
      </c>
      <c r="J121">
        <v>7.8</v>
      </c>
      <c r="K121">
        <v>6.2</v>
      </c>
      <c r="L121">
        <v>13.8</v>
      </c>
      <c r="M121" s="8">
        <f t="shared" si="1"/>
        <v>85.56</v>
      </c>
    </row>
    <row r="122" spans="1:13" x14ac:dyDescent="0.2">
      <c r="G122">
        <v>1</v>
      </c>
      <c r="H122" t="s">
        <v>185</v>
      </c>
      <c r="I122">
        <v>4.5999999999999996</v>
      </c>
      <c r="J122">
        <v>2.7</v>
      </c>
      <c r="K122">
        <v>2.7</v>
      </c>
      <c r="L122">
        <v>2.6</v>
      </c>
      <c r="M122" s="8">
        <f t="shared" si="1"/>
        <v>7.0200000000000005</v>
      </c>
    </row>
    <row r="123" spans="1:13" x14ac:dyDescent="0.2">
      <c r="G123">
        <v>1</v>
      </c>
      <c r="H123" t="s">
        <v>186</v>
      </c>
      <c r="I123">
        <v>4.4000000000000004</v>
      </c>
      <c r="J123">
        <v>2.9</v>
      </c>
      <c r="K123">
        <v>2.9</v>
      </c>
      <c r="L123">
        <v>2.2999999999999998</v>
      </c>
      <c r="M123" s="8">
        <f t="shared" si="1"/>
        <v>6.669999999999999</v>
      </c>
    </row>
    <row r="124" spans="1:13" x14ac:dyDescent="0.2">
      <c r="G124">
        <v>1</v>
      </c>
      <c r="H124" t="s">
        <v>242</v>
      </c>
      <c r="I124">
        <v>3.3</v>
      </c>
      <c r="J124">
        <v>2.6</v>
      </c>
      <c r="K124">
        <v>1.8</v>
      </c>
      <c r="L124">
        <v>24.4</v>
      </c>
      <c r="M124" s="8">
        <f t="shared" si="1"/>
        <v>43.92</v>
      </c>
    </row>
    <row r="125" spans="1:13" x14ac:dyDescent="0.2">
      <c r="M125" s="8"/>
    </row>
    <row r="126" spans="1:13" x14ac:dyDescent="0.2">
      <c r="A126">
        <v>11</v>
      </c>
      <c r="B126" t="s">
        <v>40</v>
      </c>
      <c r="C126" s="1">
        <v>33096</v>
      </c>
      <c r="D126" s="1">
        <v>43493</v>
      </c>
      <c r="E126" s="10">
        <v>28</v>
      </c>
      <c r="F126" t="s">
        <v>16</v>
      </c>
      <c r="G126">
        <v>1</v>
      </c>
      <c r="H126" t="s">
        <v>107</v>
      </c>
      <c r="I126">
        <v>7.4</v>
      </c>
      <c r="J126">
        <v>4.9000000000000004</v>
      </c>
      <c r="K126">
        <v>4.2</v>
      </c>
      <c r="L126">
        <v>2.6</v>
      </c>
      <c r="M126" s="8">
        <f t="shared" si="1"/>
        <v>10.920000000000002</v>
      </c>
    </row>
    <row r="127" spans="1:13" x14ac:dyDescent="0.2">
      <c r="C127" s="1"/>
      <c r="D127" s="1"/>
      <c r="G127">
        <v>1</v>
      </c>
      <c r="H127" t="s">
        <v>269</v>
      </c>
      <c r="I127">
        <v>5.4</v>
      </c>
      <c r="J127">
        <v>3.5</v>
      </c>
      <c r="K127">
        <v>3.2</v>
      </c>
      <c r="L127">
        <v>2.1</v>
      </c>
      <c r="M127" s="8">
        <f t="shared" si="1"/>
        <v>6.7200000000000006</v>
      </c>
    </row>
    <row r="128" spans="1:13" x14ac:dyDescent="0.2">
      <c r="C128" s="1"/>
      <c r="D128" s="1"/>
      <c r="G128">
        <v>1</v>
      </c>
      <c r="H128" t="s">
        <v>270</v>
      </c>
      <c r="I128">
        <v>7.4</v>
      </c>
      <c r="J128">
        <v>4.9000000000000004</v>
      </c>
      <c r="K128">
        <v>4</v>
      </c>
      <c r="L128">
        <v>3</v>
      </c>
      <c r="M128" s="8">
        <f t="shared" si="1"/>
        <v>12</v>
      </c>
    </row>
    <row r="129" spans="1:13" x14ac:dyDescent="0.2">
      <c r="G129">
        <v>1</v>
      </c>
      <c r="H129" t="s">
        <v>219</v>
      </c>
      <c r="I129">
        <v>9.1999999999999993</v>
      </c>
      <c r="J129">
        <v>5.6</v>
      </c>
      <c r="K129">
        <v>5.3</v>
      </c>
      <c r="L129">
        <v>1.9</v>
      </c>
      <c r="M129" s="8">
        <f t="shared" si="1"/>
        <v>10.069999999999999</v>
      </c>
    </row>
    <row r="130" spans="1:13" x14ac:dyDescent="0.2">
      <c r="M130" s="8"/>
    </row>
    <row r="131" spans="1:13" x14ac:dyDescent="0.2">
      <c r="A131">
        <v>12</v>
      </c>
      <c r="B131" t="s">
        <v>51</v>
      </c>
      <c r="C131" s="1">
        <v>23985</v>
      </c>
      <c r="D131" s="1">
        <v>43514</v>
      </c>
      <c r="E131" s="10">
        <v>53</v>
      </c>
      <c r="F131" t="s">
        <v>57</v>
      </c>
      <c r="G131">
        <v>1</v>
      </c>
      <c r="H131" t="s">
        <v>187</v>
      </c>
      <c r="I131">
        <v>4.4000000000000004</v>
      </c>
      <c r="J131">
        <v>2.9</v>
      </c>
      <c r="K131">
        <v>2.7</v>
      </c>
      <c r="L131">
        <v>1.8</v>
      </c>
      <c r="M131" s="8">
        <f t="shared" si="1"/>
        <v>4.8600000000000003</v>
      </c>
    </row>
    <row r="132" spans="1:13" x14ac:dyDescent="0.2">
      <c r="G132">
        <v>1</v>
      </c>
      <c r="H132" t="s">
        <v>305</v>
      </c>
      <c r="I132">
        <v>4.3</v>
      </c>
      <c r="J132">
        <v>2.6</v>
      </c>
      <c r="K132">
        <v>2.5</v>
      </c>
      <c r="L132">
        <v>2</v>
      </c>
      <c r="M132" s="8">
        <f t="shared" si="1"/>
        <v>5</v>
      </c>
    </row>
    <row r="133" spans="1:13" x14ac:dyDescent="0.2">
      <c r="G133">
        <v>1</v>
      </c>
      <c r="H133" t="s">
        <v>306</v>
      </c>
      <c r="I133">
        <v>4.5999999999999996</v>
      </c>
      <c r="J133">
        <v>2.6</v>
      </c>
      <c r="K133">
        <v>2.8</v>
      </c>
      <c r="L133">
        <v>2.1</v>
      </c>
      <c r="M133" s="8">
        <f t="shared" si="1"/>
        <v>5.88</v>
      </c>
    </row>
    <row r="134" spans="1:13" x14ac:dyDescent="0.2">
      <c r="M134" s="8"/>
    </row>
    <row r="135" spans="1:13" x14ac:dyDescent="0.2">
      <c r="A135">
        <v>13</v>
      </c>
      <c r="B135" t="s">
        <v>54</v>
      </c>
      <c r="C135" s="1">
        <v>24436</v>
      </c>
      <c r="D135" s="1">
        <v>43521</v>
      </c>
      <c r="E135" s="10">
        <v>52</v>
      </c>
      <c r="F135" t="s">
        <v>35</v>
      </c>
      <c r="G135">
        <v>1</v>
      </c>
      <c r="H135" t="s">
        <v>169</v>
      </c>
      <c r="I135">
        <v>5.4</v>
      </c>
      <c r="J135">
        <v>3.6</v>
      </c>
      <c r="K135">
        <v>2.7</v>
      </c>
      <c r="L135">
        <v>33.9</v>
      </c>
      <c r="M135" s="8">
        <f>(K135*L135)</f>
        <v>91.53</v>
      </c>
    </row>
    <row r="136" spans="1:13" x14ac:dyDescent="0.2">
      <c r="G136">
        <v>1</v>
      </c>
      <c r="H136" t="s">
        <v>170</v>
      </c>
      <c r="I136">
        <v>4.7</v>
      </c>
      <c r="J136">
        <v>3.6</v>
      </c>
      <c r="K136">
        <v>2.4</v>
      </c>
      <c r="L136">
        <v>68.099999999999994</v>
      </c>
      <c r="M136" s="8">
        <f t="shared" si="1"/>
        <v>163.43999999999997</v>
      </c>
    </row>
    <row r="137" spans="1:13" x14ac:dyDescent="0.2">
      <c r="G137">
        <v>1</v>
      </c>
      <c r="H137" t="s">
        <v>271</v>
      </c>
      <c r="I137">
        <v>4.8</v>
      </c>
      <c r="J137">
        <v>3.8</v>
      </c>
      <c r="K137">
        <v>3.7</v>
      </c>
      <c r="L137">
        <v>2.1</v>
      </c>
      <c r="M137" s="8">
        <f t="shared" ref="M137:M202" si="2">(K137*L137)</f>
        <v>7.7700000000000005</v>
      </c>
    </row>
    <row r="138" spans="1:13" x14ac:dyDescent="0.2">
      <c r="G138">
        <v>1</v>
      </c>
      <c r="H138" t="s">
        <v>258</v>
      </c>
      <c r="I138">
        <v>4.7</v>
      </c>
      <c r="J138">
        <v>3.6</v>
      </c>
      <c r="K138">
        <v>3.5</v>
      </c>
      <c r="L138">
        <v>2.2000000000000002</v>
      </c>
      <c r="M138" s="8">
        <f t="shared" si="2"/>
        <v>7.7000000000000011</v>
      </c>
    </row>
    <row r="139" spans="1:13" x14ac:dyDescent="0.2">
      <c r="G139">
        <v>1</v>
      </c>
      <c r="H139" t="s">
        <v>219</v>
      </c>
      <c r="I139">
        <v>5.0999999999999996</v>
      </c>
      <c r="J139">
        <v>4</v>
      </c>
      <c r="K139">
        <v>3.9</v>
      </c>
      <c r="L139">
        <v>2.1</v>
      </c>
      <c r="M139" s="8">
        <f t="shared" si="2"/>
        <v>8.19</v>
      </c>
    </row>
    <row r="140" spans="1:13" x14ac:dyDescent="0.2">
      <c r="G140">
        <v>1</v>
      </c>
      <c r="H140" t="s">
        <v>298</v>
      </c>
      <c r="I140">
        <v>5.2</v>
      </c>
      <c r="J140">
        <v>2.9</v>
      </c>
      <c r="K140">
        <v>2.2999999999999998</v>
      </c>
      <c r="L140">
        <v>14</v>
      </c>
      <c r="M140" s="8">
        <f t="shared" si="2"/>
        <v>32.199999999999996</v>
      </c>
    </row>
    <row r="141" spans="1:13" x14ac:dyDescent="0.2">
      <c r="M141" s="8"/>
    </row>
    <row r="142" spans="1:13" x14ac:dyDescent="0.2">
      <c r="A142">
        <v>14</v>
      </c>
      <c r="B142" t="s">
        <v>55</v>
      </c>
      <c r="C142" s="1">
        <v>21899</v>
      </c>
      <c r="D142" s="1">
        <v>43521</v>
      </c>
      <c r="E142" s="10">
        <v>52</v>
      </c>
      <c r="F142" t="s">
        <v>16</v>
      </c>
      <c r="G142">
        <v>1</v>
      </c>
      <c r="H142" t="s">
        <v>188</v>
      </c>
      <c r="I142">
        <v>4.5</v>
      </c>
      <c r="J142">
        <v>2.7</v>
      </c>
      <c r="K142">
        <v>2.7</v>
      </c>
      <c r="L142">
        <v>1.9</v>
      </c>
      <c r="M142" s="8">
        <f t="shared" si="2"/>
        <v>5.13</v>
      </c>
    </row>
    <row r="143" spans="1:13" x14ac:dyDescent="0.2">
      <c r="G143">
        <v>1</v>
      </c>
      <c r="H143" t="s">
        <v>189</v>
      </c>
      <c r="I143">
        <v>6</v>
      </c>
      <c r="J143">
        <v>4.9000000000000004</v>
      </c>
      <c r="K143">
        <v>4.8</v>
      </c>
      <c r="L143">
        <v>3</v>
      </c>
      <c r="M143" s="8">
        <f t="shared" si="2"/>
        <v>14.399999999999999</v>
      </c>
    </row>
    <row r="144" spans="1:13" x14ac:dyDescent="0.2">
      <c r="G144">
        <v>1</v>
      </c>
      <c r="H144" t="s">
        <v>150</v>
      </c>
      <c r="I144">
        <v>6.2</v>
      </c>
      <c r="J144">
        <v>3.4</v>
      </c>
      <c r="K144">
        <v>3.3</v>
      </c>
      <c r="L144">
        <v>2.6</v>
      </c>
      <c r="M144" s="8">
        <f t="shared" si="2"/>
        <v>8.58</v>
      </c>
    </row>
    <row r="145" spans="1:13" x14ac:dyDescent="0.2">
      <c r="G145">
        <v>1</v>
      </c>
      <c r="H145" t="s">
        <v>307</v>
      </c>
      <c r="I145">
        <v>5.0999999999999996</v>
      </c>
      <c r="J145">
        <v>2.6</v>
      </c>
      <c r="K145">
        <v>2.2000000000000002</v>
      </c>
      <c r="L145">
        <v>5.6</v>
      </c>
      <c r="M145" s="8">
        <f t="shared" si="2"/>
        <v>12.32</v>
      </c>
    </row>
    <row r="146" spans="1:13" x14ac:dyDescent="0.2">
      <c r="G146">
        <v>1</v>
      </c>
      <c r="H146" t="s">
        <v>203</v>
      </c>
      <c r="I146">
        <v>5.0999999999999996</v>
      </c>
      <c r="J146">
        <v>2.6</v>
      </c>
      <c r="K146">
        <v>2.9</v>
      </c>
      <c r="L146">
        <v>1.8</v>
      </c>
      <c r="M146" s="8">
        <f t="shared" si="2"/>
        <v>5.22</v>
      </c>
    </row>
    <row r="147" spans="1:13" x14ac:dyDescent="0.2">
      <c r="G147">
        <v>1</v>
      </c>
      <c r="H147" t="s">
        <v>190</v>
      </c>
      <c r="I147">
        <v>5.2</v>
      </c>
      <c r="J147">
        <v>2.7</v>
      </c>
      <c r="K147">
        <v>2.9</v>
      </c>
      <c r="L147">
        <v>2.2999999999999998</v>
      </c>
      <c r="M147" s="8">
        <f t="shared" si="2"/>
        <v>6.669999999999999</v>
      </c>
    </row>
    <row r="148" spans="1:13" x14ac:dyDescent="0.2">
      <c r="G148">
        <v>1</v>
      </c>
      <c r="H148" t="s">
        <v>219</v>
      </c>
      <c r="I148">
        <v>5</v>
      </c>
      <c r="J148">
        <v>2.8</v>
      </c>
      <c r="K148">
        <v>3</v>
      </c>
      <c r="L148">
        <v>1.8</v>
      </c>
      <c r="M148" s="8">
        <f t="shared" si="2"/>
        <v>5.4</v>
      </c>
    </row>
    <row r="149" spans="1:13" x14ac:dyDescent="0.2">
      <c r="G149">
        <v>1</v>
      </c>
      <c r="H149" t="s">
        <v>298</v>
      </c>
      <c r="I149">
        <v>5.5</v>
      </c>
      <c r="J149">
        <v>3.8</v>
      </c>
      <c r="K149">
        <v>2.9</v>
      </c>
      <c r="L149">
        <v>10.5</v>
      </c>
      <c r="M149" s="8">
        <f t="shared" si="2"/>
        <v>30.45</v>
      </c>
    </row>
    <row r="150" spans="1:13" x14ac:dyDescent="0.2">
      <c r="G150">
        <v>1</v>
      </c>
      <c r="H150" t="s">
        <v>299</v>
      </c>
      <c r="I150">
        <v>5.6</v>
      </c>
      <c r="J150">
        <v>3.3</v>
      </c>
      <c r="K150">
        <v>3.2</v>
      </c>
      <c r="L150">
        <v>11.1</v>
      </c>
      <c r="M150" s="8">
        <f t="shared" si="2"/>
        <v>35.520000000000003</v>
      </c>
    </row>
    <row r="151" spans="1:13" x14ac:dyDescent="0.2">
      <c r="M151" s="8"/>
    </row>
    <row r="152" spans="1:13" x14ac:dyDescent="0.2">
      <c r="A152">
        <v>15</v>
      </c>
      <c r="B152" t="s">
        <v>66</v>
      </c>
      <c r="C152" s="1">
        <v>23354</v>
      </c>
      <c r="D152" s="1">
        <v>43563</v>
      </c>
      <c r="E152" s="10">
        <v>55</v>
      </c>
      <c r="F152" t="s">
        <v>35</v>
      </c>
      <c r="G152">
        <v>1</v>
      </c>
      <c r="H152" t="s">
        <v>147</v>
      </c>
      <c r="I152">
        <v>8.6</v>
      </c>
      <c r="J152">
        <v>6.7</v>
      </c>
      <c r="K152">
        <v>5.0999999999999996</v>
      </c>
      <c r="L152">
        <v>9.5</v>
      </c>
      <c r="M152" s="8">
        <f t="shared" si="2"/>
        <v>48.449999999999996</v>
      </c>
    </row>
    <row r="153" spans="1:13" x14ac:dyDescent="0.2">
      <c r="M153" s="8"/>
    </row>
    <row r="154" spans="1:13" x14ac:dyDescent="0.2">
      <c r="A154">
        <v>16</v>
      </c>
      <c r="B154" t="s">
        <v>72</v>
      </c>
      <c r="C154" s="1">
        <v>26463</v>
      </c>
      <c r="D154" s="1">
        <v>43605</v>
      </c>
      <c r="E154" s="10">
        <v>46</v>
      </c>
      <c r="F154" t="s">
        <v>35</v>
      </c>
      <c r="G154">
        <v>1</v>
      </c>
      <c r="H154" t="s">
        <v>191</v>
      </c>
      <c r="I154">
        <v>2.9</v>
      </c>
      <c r="J154">
        <v>1.9</v>
      </c>
      <c r="K154">
        <v>1.5</v>
      </c>
      <c r="L154">
        <v>9.6999999999999993</v>
      </c>
      <c r="M154" s="8">
        <f t="shared" si="2"/>
        <v>14.549999999999999</v>
      </c>
    </row>
    <row r="155" spans="1:13" x14ac:dyDescent="0.2">
      <c r="G155">
        <v>1</v>
      </c>
      <c r="H155" t="s">
        <v>192</v>
      </c>
      <c r="I155">
        <v>4.4000000000000004</v>
      </c>
      <c r="J155">
        <v>3.7</v>
      </c>
      <c r="K155">
        <v>3.6</v>
      </c>
      <c r="L155">
        <v>2.8</v>
      </c>
      <c r="M155" s="8">
        <f t="shared" si="2"/>
        <v>10.08</v>
      </c>
    </row>
    <row r="156" spans="1:13" x14ac:dyDescent="0.2">
      <c r="G156">
        <v>1</v>
      </c>
      <c r="H156" t="s">
        <v>193</v>
      </c>
      <c r="I156">
        <v>4.0999999999999996</v>
      </c>
      <c r="J156">
        <v>3.7</v>
      </c>
      <c r="K156">
        <v>3.1</v>
      </c>
      <c r="L156">
        <v>2</v>
      </c>
      <c r="M156" s="8">
        <f t="shared" si="2"/>
        <v>6.2</v>
      </c>
    </row>
    <row r="157" spans="1:13" x14ac:dyDescent="0.2">
      <c r="G157">
        <v>1</v>
      </c>
      <c r="H157" t="s">
        <v>222</v>
      </c>
      <c r="I157">
        <v>4.4000000000000004</v>
      </c>
      <c r="J157">
        <v>2.6</v>
      </c>
      <c r="K157">
        <v>2.5</v>
      </c>
      <c r="L157">
        <v>2.6</v>
      </c>
      <c r="M157" s="8">
        <f t="shared" si="2"/>
        <v>6.5</v>
      </c>
    </row>
    <row r="158" spans="1:13" x14ac:dyDescent="0.2">
      <c r="M158" s="8"/>
    </row>
    <row r="159" spans="1:13" x14ac:dyDescent="0.2">
      <c r="A159">
        <v>17</v>
      </c>
      <c r="B159" t="s">
        <v>74</v>
      </c>
      <c r="C159" s="1">
        <v>20147</v>
      </c>
      <c r="D159" s="1">
        <v>43619</v>
      </c>
      <c r="E159" s="10">
        <v>64</v>
      </c>
      <c r="F159" t="s">
        <v>35</v>
      </c>
      <c r="G159">
        <v>1</v>
      </c>
      <c r="H159" t="s">
        <v>194</v>
      </c>
      <c r="I159">
        <v>5.7</v>
      </c>
      <c r="J159">
        <v>3.8</v>
      </c>
      <c r="K159">
        <v>3.7</v>
      </c>
      <c r="L159">
        <v>1.4</v>
      </c>
      <c r="M159" s="8">
        <f t="shared" si="2"/>
        <v>5.18</v>
      </c>
    </row>
    <row r="160" spans="1:13" x14ac:dyDescent="0.2">
      <c r="G160">
        <v>1</v>
      </c>
      <c r="H160" t="s">
        <v>274</v>
      </c>
      <c r="I160">
        <v>3.1</v>
      </c>
      <c r="J160">
        <v>1.7</v>
      </c>
      <c r="K160">
        <v>1.8</v>
      </c>
      <c r="L160">
        <v>1.8</v>
      </c>
      <c r="M160" s="8">
        <f t="shared" si="2"/>
        <v>3.24</v>
      </c>
    </row>
    <row r="161" spans="1:13" x14ac:dyDescent="0.2">
      <c r="G161">
        <v>1</v>
      </c>
      <c r="H161" t="s">
        <v>195</v>
      </c>
      <c r="I161">
        <v>4.0999999999999996</v>
      </c>
      <c r="J161">
        <v>1.9</v>
      </c>
      <c r="K161">
        <v>2.4</v>
      </c>
      <c r="L161">
        <v>1.8</v>
      </c>
      <c r="M161" s="8">
        <f t="shared" si="2"/>
        <v>4.32</v>
      </c>
    </row>
    <row r="162" spans="1:13" x14ac:dyDescent="0.2">
      <c r="G162">
        <v>1</v>
      </c>
      <c r="H162" t="s">
        <v>260</v>
      </c>
      <c r="I162">
        <v>6</v>
      </c>
      <c r="J162">
        <v>4.2</v>
      </c>
      <c r="K162">
        <v>3.9</v>
      </c>
      <c r="L162">
        <v>3.5</v>
      </c>
      <c r="M162" s="8">
        <f t="shared" si="2"/>
        <v>13.65</v>
      </c>
    </row>
    <row r="163" spans="1:13" x14ac:dyDescent="0.2">
      <c r="G163">
        <v>1</v>
      </c>
      <c r="H163" t="s">
        <v>193</v>
      </c>
      <c r="I163">
        <v>6.2</v>
      </c>
      <c r="J163">
        <v>2.9</v>
      </c>
      <c r="K163">
        <v>3.8</v>
      </c>
      <c r="L163">
        <v>0.8</v>
      </c>
      <c r="M163" s="8">
        <f t="shared" si="2"/>
        <v>3.04</v>
      </c>
    </row>
    <row r="164" spans="1:13" x14ac:dyDescent="0.2">
      <c r="G164">
        <v>1</v>
      </c>
      <c r="H164" t="s">
        <v>275</v>
      </c>
      <c r="I164">
        <v>3.8</v>
      </c>
      <c r="J164">
        <v>2.2999999999999998</v>
      </c>
      <c r="K164">
        <v>2.5</v>
      </c>
      <c r="L164">
        <v>1.8</v>
      </c>
      <c r="M164" s="8">
        <f t="shared" si="2"/>
        <v>4.5</v>
      </c>
    </row>
    <row r="165" spans="1:13" x14ac:dyDescent="0.2">
      <c r="G165">
        <v>1</v>
      </c>
      <c r="H165" t="s">
        <v>276</v>
      </c>
      <c r="I165">
        <v>5.6</v>
      </c>
      <c r="J165">
        <v>3.4</v>
      </c>
      <c r="K165">
        <v>3.6</v>
      </c>
      <c r="L165">
        <v>1.6</v>
      </c>
      <c r="M165" s="8">
        <f t="shared" si="2"/>
        <v>5.7600000000000007</v>
      </c>
    </row>
    <row r="166" spans="1:13" x14ac:dyDescent="0.2">
      <c r="G166">
        <v>1</v>
      </c>
      <c r="H166" t="s">
        <v>258</v>
      </c>
      <c r="I166">
        <v>3.4</v>
      </c>
      <c r="J166">
        <v>2.2999999999999998</v>
      </c>
      <c r="K166">
        <v>2.2000000000000002</v>
      </c>
      <c r="L166">
        <v>2.9</v>
      </c>
      <c r="M166" s="8">
        <f t="shared" si="2"/>
        <v>6.38</v>
      </c>
    </row>
    <row r="167" spans="1:13" x14ac:dyDescent="0.2">
      <c r="G167">
        <v>1</v>
      </c>
      <c r="H167" t="s">
        <v>277</v>
      </c>
      <c r="I167">
        <v>3.8</v>
      </c>
      <c r="J167">
        <v>1.7</v>
      </c>
      <c r="K167">
        <v>2.4</v>
      </c>
      <c r="L167">
        <v>1.3</v>
      </c>
      <c r="M167" s="8">
        <f t="shared" si="2"/>
        <v>3.12</v>
      </c>
    </row>
    <row r="168" spans="1:13" x14ac:dyDescent="0.2">
      <c r="G168">
        <v>1</v>
      </c>
      <c r="H168" t="s">
        <v>196</v>
      </c>
      <c r="I168">
        <v>4.3</v>
      </c>
      <c r="J168">
        <v>2.8</v>
      </c>
      <c r="K168">
        <v>2.2999999999999998</v>
      </c>
      <c r="L168">
        <v>8.1999999999999993</v>
      </c>
      <c r="M168" s="8">
        <f t="shared" si="2"/>
        <v>18.859999999999996</v>
      </c>
    </row>
    <row r="169" spans="1:13" x14ac:dyDescent="0.2">
      <c r="G169">
        <v>1</v>
      </c>
      <c r="H169" t="s">
        <v>272</v>
      </c>
      <c r="I169">
        <v>5.7</v>
      </c>
      <c r="J169">
        <v>3.6</v>
      </c>
      <c r="K169">
        <v>3.3</v>
      </c>
      <c r="L169">
        <v>2.2999999999999998</v>
      </c>
      <c r="M169" s="8">
        <f t="shared" si="2"/>
        <v>7.589999999999999</v>
      </c>
    </row>
    <row r="170" spans="1:13" x14ac:dyDescent="0.2">
      <c r="G170">
        <v>1</v>
      </c>
      <c r="H170" t="s">
        <v>273</v>
      </c>
      <c r="I170">
        <v>3.2</v>
      </c>
      <c r="J170">
        <v>2.2000000000000002</v>
      </c>
      <c r="K170">
        <v>1.7</v>
      </c>
      <c r="L170">
        <v>5.8</v>
      </c>
      <c r="M170" s="8">
        <f t="shared" si="2"/>
        <v>9.86</v>
      </c>
    </row>
    <row r="171" spans="1:13" x14ac:dyDescent="0.2">
      <c r="G171">
        <v>1</v>
      </c>
      <c r="H171" t="s">
        <v>265</v>
      </c>
      <c r="I171">
        <v>4.4000000000000004</v>
      </c>
      <c r="J171">
        <v>3.1</v>
      </c>
      <c r="K171">
        <v>2.4</v>
      </c>
      <c r="L171">
        <v>6.5</v>
      </c>
      <c r="M171" s="8">
        <f t="shared" si="2"/>
        <v>15.6</v>
      </c>
    </row>
    <row r="172" spans="1:13" x14ac:dyDescent="0.2">
      <c r="G172">
        <v>1</v>
      </c>
      <c r="H172" t="s">
        <v>265</v>
      </c>
      <c r="I172">
        <v>3.6</v>
      </c>
      <c r="J172">
        <v>2.4</v>
      </c>
      <c r="K172">
        <v>2.1</v>
      </c>
      <c r="L172">
        <v>3.6</v>
      </c>
      <c r="M172" s="8">
        <f t="shared" si="2"/>
        <v>7.5600000000000005</v>
      </c>
    </row>
    <row r="173" spans="1:13" x14ac:dyDescent="0.2">
      <c r="M173" s="8"/>
    </row>
    <row r="174" spans="1:13" x14ac:dyDescent="0.2">
      <c r="A174">
        <v>18</v>
      </c>
      <c r="B174" t="s">
        <v>75</v>
      </c>
      <c r="C174" s="1">
        <v>22411</v>
      </c>
      <c r="D174" s="1">
        <v>43619</v>
      </c>
      <c r="E174" s="10">
        <v>58</v>
      </c>
      <c r="F174" t="s">
        <v>76</v>
      </c>
      <c r="G174">
        <v>1</v>
      </c>
      <c r="H174" t="s">
        <v>197</v>
      </c>
      <c r="I174">
        <v>5.0999999999999996</v>
      </c>
      <c r="J174">
        <v>3.7</v>
      </c>
      <c r="K174">
        <v>2.7</v>
      </c>
      <c r="L174">
        <v>11.4</v>
      </c>
      <c r="M174" s="8">
        <f t="shared" si="2"/>
        <v>30.780000000000005</v>
      </c>
    </row>
    <row r="175" spans="1:13" x14ac:dyDescent="0.2">
      <c r="M175" s="8"/>
    </row>
    <row r="176" spans="1:13" x14ac:dyDescent="0.2">
      <c r="A176">
        <v>19</v>
      </c>
      <c r="B176" t="s">
        <v>78</v>
      </c>
      <c r="C176" s="1">
        <v>18859</v>
      </c>
      <c r="D176" s="1">
        <v>43647</v>
      </c>
      <c r="E176" s="10">
        <v>67</v>
      </c>
      <c r="F176" t="s">
        <v>13</v>
      </c>
      <c r="G176">
        <v>1</v>
      </c>
      <c r="H176" t="s">
        <v>198</v>
      </c>
      <c r="I176">
        <v>7.1</v>
      </c>
      <c r="J176">
        <v>3.9</v>
      </c>
      <c r="K176">
        <v>3.5</v>
      </c>
      <c r="L176">
        <v>6.9</v>
      </c>
      <c r="M176" s="8">
        <f t="shared" si="2"/>
        <v>24.150000000000002</v>
      </c>
    </row>
    <row r="177" spans="7:13" x14ac:dyDescent="0.2">
      <c r="G177">
        <v>1</v>
      </c>
      <c r="H177" t="s">
        <v>150</v>
      </c>
      <c r="I177">
        <v>7.6</v>
      </c>
      <c r="J177">
        <v>5.2</v>
      </c>
      <c r="K177">
        <v>4.2</v>
      </c>
      <c r="L177">
        <v>14.7</v>
      </c>
      <c r="M177" s="8">
        <f t="shared" si="2"/>
        <v>61.74</v>
      </c>
    </row>
    <row r="178" spans="7:13" x14ac:dyDescent="0.2">
      <c r="G178">
        <v>1</v>
      </c>
      <c r="H178" t="s">
        <v>199</v>
      </c>
      <c r="I178">
        <v>7.2</v>
      </c>
      <c r="J178">
        <v>5.6</v>
      </c>
      <c r="K178">
        <v>4.2</v>
      </c>
      <c r="L178">
        <v>6.7</v>
      </c>
      <c r="M178" s="8">
        <f t="shared" si="2"/>
        <v>28.14</v>
      </c>
    </row>
    <row r="179" spans="7:13" x14ac:dyDescent="0.2">
      <c r="G179">
        <v>1</v>
      </c>
      <c r="H179" t="s">
        <v>189</v>
      </c>
      <c r="I179">
        <v>7.9</v>
      </c>
      <c r="J179">
        <v>5.7</v>
      </c>
      <c r="K179">
        <v>4.5</v>
      </c>
      <c r="L179">
        <v>12</v>
      </c>
      <c r="M179" s="8">
        <f t="shared" si="2"/>
        <v>54</v>
      </c>
    </row>
    <row r="180" spans="7:13" x14ac:dyDescent="0.2">
      <c r="G180">
        <v>1</v>
      </c>
      <c r="H180" t="s">
        <v>200</v>
      </c>
      <c r="I180">
        <v>5</v>
      </c>
      <c r="J180">
        <v>3.6</v>
      </c>
      <c r="K180">
        <v>2.9</v>
      </c>
      <c r="L180">
        <v>6.8</v>
      </c>
      <c r="M180" s="8">
        <f t="shared" si="2"/>
        <v>19.72</v>
      </c>
    </row>
    <row r="181" spans="7:13" x14ac:dyDescent="0.2">
      <c r="G181">
        <v>1</v>
      </c>
      <c r="H181" t="s">
        <v>201</v>
      </c>
      <c r="I181">
        <v>4.7</v>
      </c>
      <c r="J181">
        <v>3.9</v>
      </c>
      <c r="K181">
        <v>3</v>
      </c>
      <c r="L181">
        <v>7.2</v>
      </c>
      <c r="M181" s="8">
        <f t="shared" si="2"/>
        <v>21.6</v>
      </c>
    </row>
    <row r="182" spans="7:13" x14ac:dyDescent="0.2">
      <c r="G182">
        <v>1</v>
      </c>
      <c r="H182" t="s">
        <v>202</v>
      </c>
      <c r="I182">
        <v>9.4</v>
      </c>
      <c r="J182">
        <v>6</v>
      </c>
      <c r="K182">
        <v>5.6</v>
      </c>
      <c r="L182">
        <v>4.5999999999999996</v>
      </c>
      <c r="M182" s="8">
        <f t="shared" si="2"/>
        <v>25.759999999999998</v>
      </c>
    </row>
    <row r="183" spans="7:13" x14ac:dyDescent="0.2">
      <c r="G183">
        <v>1</v>
      </c>
      <c r="H183" t="s">
        <v>203</v>
      </c>
      <c r="I183">
        <v>4.4000000000000004</v>
      </c>
      <c r="J183">
        <v>2.6</v>
      </c>
      <c r="K183">
        <v>3.1</v>
      </c>
      <c r="L183">
        <v>1.4</v>
      </c>
      <c r="M183" s="8">
        <f t="shared" si="2"/>
        <v>4.34</v>
      </c>
    </row>
    <row r="184" spans="7:13" x14ac:dyDescent="0.2">
      <c r="G184">
        <v>1</v>
      </c>
      <c r="H184" t="s">
        <v>186</v>
      </c>
      <c r="I184">
        <v>7.7</v>
      </c>
      <c r="J184">
        <v>5</v>
      </c>
      <c r="K184">
        <v>4.3</v>
      </c>
      <c r="L184">
        <v>3.9</v>
      </c>
      <c r="M184" s="8">
        <f t="shared" si="2"/>
        <v>16.77</v>
      </c>
    </row>
    <row r="185" spans="7:13" x14ac:dyDescent="0.2">
      <c r="G185">
        <v>1</v>
      </c>
      <c r="H185" t="s">
        <v>278</v>
      </c>
      <c r="I185">
        <v>5</v>
      </c>
      <c r="J185">
        <v>2.1</v>
      </c>
      <c r="K185">
        <v>3.1</v>
      </c>
      <c r="L185">
        <v>1.1000000000000001</v>
      </c>
      <c r="M185" s="8">
        <f t="shared" si="2"/>
        <v>3.4100000000000006</v>
      </c>
    </row>
    <row r="186" spans="7:13" x14ac:dyDescent="0.2">
      <c r="G186">
        <v>1</v>
      </c>
      <c r="H186" t="s">
        <v>204</v>
      </c>
      <c r="I186">
        <v>11.7</v>
      </c>
      <c r="J186">
        <v>7.4</v>
      </c>
      <c r="K186">
        <v>7.6</v>
      </c>
      <c r="L186">
        <v>4.5</v>
      </c>
      <c r="M186" s="8">
        <f t="shared" si="2"/>
        <v>34.199999999999996</v>
      </c>
    </row>
    <row r="187" spans="7:13" x14ac:dyDescent="0.2">
      <c r="G187">
        <v>1</v>
      </c>
      <c r="H187" t="s">
        <v>205</v>
      </c>
      <c r="I187">
        <v>12.3</v>
      </c>
      <c r="J187">
        <v>8.1999999999999993</v>
      </c>
      <c r="K187">
        <v>7.5</v>
      </c>
      <c r="L187">
        <v>2.4</v>
      </c>
      <c r="M187" s="8">
        <f t="shared" si="2"/>
        <v>18</v>
      </c>
    </row>
    <row r="188" spans="7:13" x14ac:dyDescent="0.2">
      <c r="G188">
        <v>1</v>
      </c>
      <c r="H188" t="s">
        <v>206</v>
      </c>
      <c r="I188">
        <v>10</v>
      </c>
      <c r="J188">
        <v>5.7</v>
      </c>
      <c r="K188">
        <v>6.3</v>
      </c>
      <c r="L188">
        <v>1.4</v>
      </c>
      <c r="M188" s="8">
        <f t="shared" si="2"/>
        <v>8.8199999999999985</v>
      </c>
    </row>
    <row r="189" spans="7:13" x14ac:dyDescent="0.2">
      <c r="G189">
        <v>1</v>
      </c>
      <c r="H189" t="s">
        <v>207</v>
      </c>
      <c r="I189">
        <v>7.4</v>
      </c>
      <c r="J189">
        <v>4.2</v>
      </c>
      <c r="K189">
        <v>4.4000000000000004</v>
      </c>
      <c r="L189">
        <v>4.8</v>
      </c>
      <c r="M189" s="8">
        <f t="shared" si="2"/>
        <v>21.12</v>
      </c>
    </row>
    <row r="190" spans="7:13" x14ac:dyDescent="0.2">
      <c r="G190">
        <v>1</v>
      </c>
      <c r="H190" t="s">
        <v>115</v>
      </c>
      <c r="I190">
        <v>6.5</v>
      </c>
      <c r="J190">
        <v>4</v>
      </c>
      <c r="K190">
        <v>3.4</v>
      </c>
      <c r="L190">
        <v>18.600000000000001</v>
      </c>
      <c r="M190" s="8">
        <f t="shared" si="2"/>
        <v>63.24</v>
      </c>
    </row>
    <row r="191" spans="7:13" x14ac:dyDescent="0.2">
      <c r="G191">
        <v>1</v>
      </c>
      <c r="H191" t="s">
        <v>168</v>
      </c>
      <c r="I191">
        <v>51</v>
      </c>
      <c r="J191">
        <v>3.1</v>
      </c>
      <c r="K191">
        <v>2.5</v>
      </c>
      <c r="L191">
        <v>9.3000000000000007</v>
      </c>
      <c r="M191" s="8">
        <f t="shared" si="2"/>
        <v>23.25</v>
      </c>
    </row>
    <row r="192" spans="7:13" x14ac:dyDescent="0.2">
      <c r="M192" s="8"/>
    </row>
    <row r="193" spans="1:13" x14ac:dyDescent="0.2">
      <c r="A193">
        <v>20</v>
      </c>
      <c r="B193" t="s">
        <v>208</v>
      </c>
      <c r="C193" s="1">
        <v>32078</v>
      </c>
      <c r="D193" s="1">
        <v>43745</v>
      </c>
      <c r="E193" s="10">
        <v>31</v>
      </c>
      <c r="F193" t="s">
        <v>209</v>
      </c>
      <c r="G193">
        <v>1</v>
      </c>
      <c r="H193" t="s">
        <v>279</v>
      </c>
      <c r="I193">
        <v>4.5</v>
      </c>
      <c r="J193">
        <v>3.5</v>
      </c>
      <c r="K193">
        <v>3</v>
      </c>
      <c r="L193">
        <v>9.9</v>
      </c>
      <c r="M193" s="8">
        <f t="shared" si="2"/>
        <v>29.700000000000003</v>
      </c>
    </row>
    <row r="194" spans="1:13" x14ac:dyDescent="0.2">
      <c r="C194" s="1"/>
      <c r="D194" s="1"/>
      <c r="G194">
        <v>1</v>
      </c>
      <c r="H194" t="s">
        <v>280</v>
      </c>
      <c r="I194">
        <v>4.0999999999999996</v>
      </c>
      <c r="J194">
        <v>3.3</v>
      </c>
      <c r="K194">
        <v>2.8</v>
      </c>
      <c r="L194">
        <v>6.1</v>
      </c>
      <c r="M194" s="8">
        <f t="shared" si="2"/>
        <v>17.079999999999998</v>
      </c>
    </row>
    <row r="195" spans="1:13" x14ac:dyDescent="0.2">
      <c r="G195">
        <v>1</v>
      </c>
      <c r="H195" t="s">
        <v>281</v>
      </c>
      <c r="I195">
        <v>4.5</v>
      </c>
      <c r="J195">
        <v>3.5</v>
      </c>
      <c r="K195">
        <v>3</v>
      </c>
      <c r="L195">
        <v>9</v>
      </c>
      <c r="M195" s="8">
        <f t="shared" si="2"/>
        <v>27</v>
      </c>
    </row>
    <row r="196" spans="1:13" x14ac:dyDescent="0.2">
      <c r="G196">
        <v>1</v>
      </c>
      <c r="H196" t="s">
        <v>210</v>
      </c>
      <c r="I196">
        <v>4.5</v>
      </c>
      <c r="J196">
        <v>3.3</v>
      </c>
      <c r="K196">
        <v>3.7</v>
      </c>
      <c r="L196">
        <v>2.4</v>
      </c>
      <c r="M196" s="8">
        <f t="shared" si="2"/>
        <v>8.8800000000000008</v>
      </c>
    </row>
    <row r="197" spans="1:13" x14ac:dyDescent="0.2">
      <c r="G197">
        <v>1</v>
      </c>
      <c r="H197" t="s">
        <v>300</v>
      </c>
      <c r="I197">
        <v>2.8</v>
      </c>
      <c r="J197">
        <v>1.9</v>
      </c>
      <c r="K197">
        <v>1.6</v>
      </c>
      <c r="L197">
        <v>4.3</v>
      </c>
      <c r="M197" s="8">
        <f t="shared" si="2"/>
        <v>6.88</v>
      </c>
    </row>
    <row r="199" spans="1:13" x14ac:dyDescent="0.2">
      <c r="A199">
        <v>21</v>
      </c>
      <c r="B199" t="s">
        <v>311</v>
      </c>
      <c r="C199" s="1">
        <v>25148</v>
      </c>
      <c r="D199" s="1">
        <v>43752</v>
      </c>
      <c r="E199" s="10">
        <v>50</v>
      </c>
      <c r="F199" t="s">
        <v>13</v>
      </c>
      <c r="G199">
        <v>1</v>
      </c>
      <c r="H199" t="s">
        <v>314</v>
      </c>
      <c r="I199">
        <v>7.7</v>
      </c>
      <c r="J199">
        <v>4.3</v>
      </c>
      <c r="K199">
        <v>4.7</v>
      </c>
      <c r="L199">
        <v>1.5</v>
      </c>
      <c r="M199" s="8">
        <f t="shared" si="2"/>
        <v>7.0500000000000007</v>
      </c>
    </row>
    <row r="200" spans="1:13" x14ac:dyDescent="0.2">
      <c r="G200">
        <v>1</v>
      </c>
      <c r="H200" t="s">
        <v>315</v>
      </c>
      <c r="I200">
        <v>7.9</v>
      </c>
      <c r="J200">
        <v>4.7</v>
      </c>
      <c r="K200">
        <v>4.5999999999999996</v>
      </c>
      <c r="L200">
        <v>1.9</v>
      </c>
      <c r="M200" s="8">
        <f t="shared" si="2"/>
        <v>8.7399999999999984</v>
      </c>
    </row>
    <row r="201" spans="1:13" x14ac:dyDescent="0.2">
      <c r="G201">
        <v>1</v>
      </c>
      <c r="H201" t="s">
        <v>186</v>
      </c>
      <c r="I201">
        <v>8.4</v>
      </c>
      <c r="J201">
        <v>5.0999999999999996</v>
      </c>
      <c r="K201">
        <v>4.7</v>
      </c>
      <c r="L201">
        <v>4.8</v>
      </c>
      <c r="M201" s="8">
        <f t="shared" si="2"/>
        <v>22.56</v>
      </c>
    </row>
    <row r="202" spans="1:13" x14ac:dyDescent="0.2">
      <c r="G202">
        <v>1</v>
      </c>
      <c r="H202" t="s">
        <v>158</v>
      </c>
      <c r="I202">
        <v>5.4</v>
      </c>
      <c r="J202">
        <v>3</v>
      </c>
      <c r="K202">
        <v>2.8</v>
      </c>
      <c r="L202">
        <v>5.4</v>
      </c>
      <c r="M202" s="8">
        <f t="shared" si="2"/>
        <v>15.12</v>
      </c>
    </row>
  </sheetData>
  <pageMargins left="0.7" right="0.7" top="0.78740157499999996" bottom="0.78740157499999996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G38"/>
  <sheetViews>
    <sheetView topLeftCell="T1" zoomScaleNormal="100" workbookViewId="0">
      <pane ySplit="1" topLeftCell="A2" activePane="bottomLeft" state="frozen"/>
      <selection activeCell="I1" sqref="I1"/>
      <selection pane="bottomLeft" activeCell="AE30" sqref="AE30"/>
    </sheetView>
  </sheetViews>
  <sheetFormatPr baseColWidth="10" defaultRowHeight="15" x14ac:dyDescent="0.2"/>
  <cols>
    <col min="3" max="3" width="13.6640625" bestFit="1" customWidth="1"/>
    <col min="4" max="4" width="13.33203125" bestFit="1" customWidth="1"/>
    <col min="5" max="5" width="19.5" bestFit="1" customWidth="1"/>
    <col min="6" max="6" width="19.5" customWidth="1"/>
    <col min="7" max="7" width="24" bestFit="1" customWidth="1"/>
    <col min="8" max="8" width="40.5" bestFit="1" customWidth="1"/>
    <col min="9" max="9" width="14.6640625" bestFit="1" customWidth="1"/>
    <col min="18" max="18" width="24" bestFit="1" customWidth="1"/>
    <col min="19" max="19" width="24" customWidth="1"/>
    <col min="20" max="20" width="15.1640625" bestFit="1" customWidth="1"/>
  </cols>
  <sheetData>
    <row r="1" spans="1:33" x14ac:dyDescent="0.2">
      <c r="B1" t="s">
        <v>0</v>
      </c>
      <c r="C1" t="s">
        <v>1</v>
      </c>
      <c r="D1" t="s">
        <v>124</v>
      </c>
      <c r="E1" t="s">
        <v>125</v>
      </c>
      <c r="F1" t="s">
        <v>128</v>
      </c>
      <c r="G1" s="6" t="s">
        <v>282</v>
      </c>
      <c r="H1" t="s">
        <v>96</v>
      </c>
      <c r="I1" s="6" t="s">
        <v>120</v>
      </c>
      <c r="J1" s="6" t="s">
        <v>102</v>
      </c>
      <c r="K1" s="6" t="s">
        <v>98</v>
      </c>
      <c r="L1" s="6" t="s">
        <v>99</v>
      </c>
      <c r="M1" s="6" t="s">
        <v>100</v>
      </c>
      <c r="N1" s="6"/>
      <c r="O1" s="6" t="s">
        <v>320</v>
      </c>
      <c r="P1" s="6" t="s">
        <v>321</v>
      </c>
      <c r="Q1" s="6"/>
      <c r="R1" s="6" t="s">
        <v>283</v>
      </c>
      <c r="S1" s="6" t="s">
        <v>96</v>
      </c>
      <c r="T1" t="s">
        <v>121</v>
      </c>
      <c r="U1" t="s">
        <v>102</v>
      </c>
      <c r="V1" t="s">
        <v>98</v>
      </c>
      <c r="W1" t="s">
        <v>99</v>
      </c>
      <c r="X1" t="s">
        <v>100</v>
      </c>
      <c r="Z1" s="6" t="s">
        <v>320</v>
      </c>
      <c r="AA1" s="6" t="s">
        <v>321</v>
      </c>
      <c r="AC1" t="s">
        <v>122</v>
      </c>
      <c r="AD1" t="s">
        <v>102</v>
      </c>
      <c r="AE1" t="s">
        <v>98</v>
      </c>
      <c r="AF1" t="s">
        <v>99</v>
      </c>
      <c r="AG1" t="s">
        <v>100</v>
      </c>
    </row>
    <row r="2" spans="1:33" x14ac:dyDescent="0.2">
      <c r="A2">
        <v>1</v>
      </c>
      <c r="B2" s="9" t="s">
        <v>19</v>
      </c>
      <c r="C2" s="1">
        <v>30062</v>
      </c>
      <c r="D2" s="1">
        <v>43423</v>
      </c>
      <c r="E2" s="1">
        <v>43682</v>
      </c>
      <c r="F2" s="1" t="s">
        <v>285</v>
      </c>
      <c r="G2">
        <v>1</v>
      </c>
      <c r="H2" t="s">
        <v>156</v>
      </c>
      <c r="I2">
        <v>4</v>
      </c>
      <c r="J2">
        <v>3</v>
      </c>
      <c r="K2">
        <v>2.7</v>
      </c>
      <c r="L2">
        <v>2.6</v>
      </c>
      <c r="M2" s="8">
        <f t="shared" ref="M2:M17" si="0">(K2*L2)</f>
        <v>7.0200000000000005</v>
      </c>
      <c r="N2" s="8"/>
      <c r="O2" s="8">
        <v>1</v>
      </c>
      <c r="P2" s="8">
        <v>1</v>
      </c>
      <c r="Q2" s="8"/>
      <c r="R2">
        <v>0</v>
      </c>
      <c r="S2" t="s">
        <v>156</v>
      </c>
      <c r="T2">
        <v>0</v>
      </c>
      <c r="U2">
        <v>0</v>
      </c>
      <c r="V2">
        <v>0</v>
      </c>
      <c r="W2">
        <v>0</v>
      </c>
      <c r="X2">
        <v>0</v>
      </c>
      <c r="Z2">
        <v>0.8</v>
      </c>
      <c r="AA2">
        <v>0.8</v>
      </c>
    </row>
    <row r="3" spans="1:33" x14ac:dyDescent="0.2">
      <c r="G3">
        <v>1</v>
      </c>
      <c r="H3" s="9" t="s">
        <v>236</v>
      </c>
      <c r="I3">
        <v>4.5</v>
      </c>
      <c r="J3">
        <v>3.2</v>
      </c>
      <c r="K3">
        <v>2.7</v>
      </c>
      <c r="L3">
        <v>4.0999999999999996</v>
      </c>
      <c r="M3" s="8">
        <f t="shared" si="0"/>
        <v>11.07</v>
      </c>
      <c r="N3" s="8"/>
      <c r="O3" s="8"/>
      <c r="P3" s="8"/>
      <c r="Q3" s="8"/>
      <c r="R3">
        <v>0</v>
      </c>
      <c r="S3" s="9" t="s">
        <v>236</v>
      </c>
      <c r="T3">
        <v>0</v>
      </c>
      <c r="U3">
        <v>0</v>
      </c>
      <c r="V3">
        <v>0</v>
      </c>
      <c r="W3">
        <v>0</v>
      </c>
      <c r="X3">
        <v>0</v>
      </c>
    </row>
    <row r="4" spans="1:33" x14ac:dyDescent="0.2">
      <c r="G4">
        <v>1</v>
      </c>
      <c r="H4" s="9" t="s">
        <v>237</v>
      </c>
      <c r="I4">
        <v>5</v>
      </c>
      <c r="J4">
        <v>3.9</v>
      </c>
      <c r="K4">
        <v>3.9</v>
      </c>
      <c r="L4">
        <v>2.1</v>
      </c>
      <c r="M4" s="8">
        <f t="shared" si="0"/>
        <v>8.19</v>
      </c>
      <c r="N4" s="8"/>
      <c r="O4" s="8"/>
      <c r="P4" s="8"/>
      <c r="Q4" s="8"/>
      <c r="R4">
        <v>0</v>
      </c>
      <c r="S4" s="9" t="s">
        <v>237</v>
      </c>
      <c r="T4">
        <v>0</v>
      </c>
      <c r="U4">
        <v>0</v>
      </c>
      <c r="V4">
        <v>0</v>
      </c>
      <c r="W4">
        <v>0</v>
      </c>
      <c r="X4">
        <v>0</v>
      </c>
    </row>
    <row r="5" spans="1:33" x14ac:dyDescent="0.2">
      <c r="G5">
        <v>1</v>
      </c>
      <c r="H5" s="9" t="s">
        <v>238</v>
      </c>
      <c r="I5">
        <v>7.3</v>
      </c>
      <c r="J5">
        <v>4.2</v>
      </c>
      <c r="K5">
        <v>4.2</v>
      </c>
      <c r="L5">
        <v>1.8</v>
      </c>
      <c r="M5" s="8">
        <f t="shared" si="0"/>
        <v>7.5600000000000005</v>
      </c>
      <c r="N5" s="8"/>
      <c r="O5" s="8"/>
      <c r="P5" s="8"/>
      <c r="Q5" s="8"/>
      <c r="R5">
        <v>0</v>
      </c>
      <c r="S5" s="9" t="s">
        <v>238</v>
      </c>
      <c r="T5">
        <v>0</v>
      </c>
      <c r="U5">
        <v>0</v>
      </c>
      <c r="V5">
        <v>0</v>
      </c>
      <c r="W5">
        <v>0</v>
      </c>
      <c r="X5">
        <v>0</v>
      </c>
    </row>
    <row r="6" spans="1:33" x14ac:dyDescent="0.2">
      <c r="G6">
        <v>1</v>
      </c>
      <c r="H6" s="9" t="s">
        <v>239</v>
      </c>
      <c r="I6">
        <v>7</v>
      </c>
      <c r="J6">
        <v>4.2</v>
      </c>
      <c r="K6">
        <v>3.7</v>
      </c>
      <c r="L6">
        <v>3.7</v>
      </c>
      <c r="M6" s="8">
        <f t="shared" si="0"/>
        <v>13.690000000000001</v>
      </c>
      <c r="N6" s="8"/>
      <c r="O6" s="8"/>
      <c r="P6" s="8"/>
      <c r="Q6" s="8"/>
      <c r="R6">
        <v>0</v>
      </c>
      <c r="S6" s="9" t="s">
        <v>239</v>
      </c>
      <c r="T6">
        <v>0</v>
      </c>
      <c r="U6">
        <v>0</v>
      </c>
      <c r="V6">
        <v>0</v>
      </c>
      <c r="W6">
        <v>0</v>
      </c>
      <c r="X6">
        <v>0</v>
      </c>
    </row>
    <row r="7" spans="1:33" x14ac:dyDescent="0.2">
      <c r="G7">
        <v>1</v>
      </c>
      <c r="H7" t="s">
        <v>157</v>
      </c>
      <c r="I7">
        <v>5.7</v>
      </c>
      <c r="J7">
        <v>3.7</v>
      </c>
      <c r="K7">
        <v>3.6</v>
      </c>
      <c r="L7">
        <v>2</v>
      </c>
      <c r="M7" s="8">
        <f t="shared" si="0"/>
        <v>7.2</v>
      </c>
      <c r="N7" s="8"/>
      <c r="O7" s="8"/>
      <c r="P7" s="8"/>
      <c r="Q7" s="8"/>
      <c r="R7">
        <v>0</v>
      </c>
      <c r="S7" t="s">
        <v>157</v>
      </c>
      <c r="T7">
        <v>0</v>
      </c>
      <c r="U7">
        <v>0</v>
      </c>
      <c r="V7">
        <v>0</v>
      </c>
      <c r="W7">
        <v>0</v>
      </c>
      <c r="X7">
        <v>0</v>
      </c>
    </row>
    <row r="8" spans="1:33" x14ac:dyDescent="0.2">
      <c r="G8">
        <v>1</v>
      </c>
      <c r="H8" t="s">
        <v>158</v>
      </c>
      <c r="I8">
        <v>4.2</v>
      </c>
      <c r="J8">
        <v>2.9</v>
      </c>
      <c r="K8">
        <v>2.8</v>
      </c>
      <c r="L8">
        <v>1.8</v>
      </c>
      <c r="M8" s="8">
        <f t="shared" si="0"/>
        <v>5.04</v>
      </c>
      <c r="N8" s="8"/>
      <c r="O8" s="8"/>
      <c r="P8" s="8"/>
      <c r="Q8" s="8"/>
      <c r="R8">
        <v>0</v>
      </c>
      <c r="S8" t="s">
        <v>158</v>
      </c>
      <c r="T8">
        <v>0</v>
      </c>
      <c r="U8">
        <v>0</v>
      </c>
      <c r="V8">
        <v>0</v>
      </c>
      <c r="W8">
        <v>0</v>
      </c>
      <c r="X8">
        <v>0</v>
      </c>
    </row>
    <row r="9" spans="1:33" x14ac:dyDescent="0.2">
      <c r="G9">
        <v>1</v>
      </c>
      <c r="H9" s="9" t="s">
        <v>240</v>
      </c>
      <c r="I9">
        <v>4.4000000000000004</v>
      </c>
      <c r="J9">
        <v>3.5</v>
      </c>
      <c r="K9">
        <v>3.5</v>
      </c>
      <c r="L9">
        <v>2.1</v>
      </c>
      <c r="M9" s="8">
        <f t="shared" si="0"/>
        <v>7.3500000000000005</v>
      </c>
      <c r="N9" s="8"/>
      <c r="O9" s="8"/>
      <c r="P9" s="8"/>
      <c r="Q9" s="8"/>
      <c r="R9">
        <v>0</v>
      </c>
      <c r="S9" s="9" t="s">
        <v>240</v>
      </c>
      <c r="T9">
        <v>0</v>
      </c>
      <c r="U9">
        <v>0</v>
      </c>
      <c r="V9">
        <v>0</v>
      </c>
      <c r="W9">
        <v>0</v>
      </c>
      <c r="X9">
        <v>0</v>
      </c>
    </row>
    <row r="10" spans="1:33" x14ac:dyDescent="0.2">
      <c r="G10">
        <v>1</v>
      </c>
      <c r="H10" s="9" t="s">
        <v>229</v>
      </c>
      <c r="I10">
        <v>5.3</v>
      </c>
      <c r="J10">
        <v>2.4</v>
      </c>
      <c r="K10">
        <v>2.1</v>
      </c>
      <c r="L10">
        <v>4.4000000000000004</v>
      </c>
      <c r="M10" s="8">
        <f t="shared" si="0"/>
        <v>9.240000000000002</v>
      </c>
      <c r="N10" s="8"/>
      <c r="O10" s="8"/>
      <c r="P10" s="8"/>
      <c r="Q10" s="8"/>
      <c r="R10">
        <v>0</v>
      </c>
      <c r="S10" s="9" t="s">
        <v>229</v>
      </c>
      <c r="T10">
        <v>0</v>
      </c>
      <c r="U10">
        <v>0</v>
      </c>
      <c r="V10">
        <v>0</v>
      </c>
      <c r="W10">
        <v>0</v>
      </c>
      <c r="X10">
        <v>0</v>
      </c>
    </row>
    <row r="11" spans="1:33" x14ac:dyDescent="0.2">
      <c r="G11">
        <v>1</v>
      </c>
      <c r="H11" s="9" t="s">
        <v>230</v>
      </c>
      <c r="I11">
        <v>4.0999999999999996</v>
      </c>
      <c r="J11">
        <v>3.5</v>
      </c>
      <c r="K11">
        <v>3.2</v>
      </c>
      <c r="L11">
        <v>2.9</v>
      </c>
      <c r="M11" s="8">
        <f t="shared" si="0"/>
        <v>9.2799999999999994</v>
      </c>
      <c r="N11" s="8"/>
      <c r="O11" s="8"/>
      <c r="P11" s="8"/>
      <c r="Q11" s="8"/>
      <c r="R11">
        <v>0</v>
      </c>
      <c r="S11" s="9" t="s">
        <v>230</v>
      </c>
      <c r="T11">
        <v>0</v>
      </c>
      <c r="U11">
        <v>0</v>
      </c>
      <c r="V11">
        <v>0</v>
      </c>
      <c r="W11">
        <v>0</v>
      </c>
      <c r="X11">
        <v>0</v>
      </c>
    </row>
    <row r="12" spans="1:33" x14ac:dyDescent="0.2">
      <c r="G12">
        <v>1</v>
      </c>
      <c r="H12" s="9" t="s">
        <v>231</v>
      </c>
      <c r="I12">
        <v>3.2</v>
      </c>
      <c r="J12">
        <v>2.4</v>
      </c>
      <c r="K12">
        <v>2</v>
      </c>
      <c r="L12">
        <v>3.7</v>
      </c>
      <c r="M12" s="8">
        <f t="shared" si="0"/>
        <v>7.4</v>
      </c>
      <c r="N12" s="8"/>
      <c r="O12" s="8"/>
      <c r="P12" s="8"/>
      <c r="Q12" s="8"/>
      <c r="R12">
        <v>0</v>
      </c>
      <c r="S12" s="9" t="s">
        <v>231</v>
      </c>
      <c r="T12">
        <v>0</v>
      </c>
      <c r="U12">
        <v>0</v>
      </c>
      <c r="V12">
        <v>0</v>
      </c>
      <c r="W12">
        <v>0</v>
      </c>
      <c r="X12">
        <v>0</v>
      </c>
    </row>
    <row r="13" spans="1:33" x14ac:dyDescent="0.2">
      <c r="G13">
        <v>1</v>
      </c>
      <c r="H13" s="9" t="s">
        <v>232</v>
      </c>
      <c r="I13">
        <v>4.2</v>
      </c>
      <c r="J13">
        <v>3.2</v>
      </c>
      <c r="K13">
        <v>2.9</v>
      </c>
      <c r="L13">
        <v>4.3</v>
      </c>
      <c r="M13" s="8">
        <f t="shared" si="0"/>
        <v>12.469999999999999</v>
      </c>
      <c r="N13" s="8"/>
      <c r="O13" s="8"/>
      <c r="P13" s="8"/>
      <c r="Q13" s="8"/>
      <c r="R13">
        <v>0</v>
      </c>
      <c r="S13" s="9" t="s">
        <v>232</v>
      </c>
      <c r="T13">
        <v>0</v>
      </c>
      <c r="U13">
        <v>0</v>
      </c>
      <c r="V13">
        <v>0</v>
      </c>
      <c r="W13">
        <v>0</v>
      </c>
      <c r="X13">
        <v>0</v>
      </c>
    </row>
    <row r="14" spans="1:33" x14ac:dyDescent="0.2">
      <c r="G14">
        <v>1</v>
      </c>
      <c r="H14" s="9" t="s">
        <v>233</v>
      </c>
      <c r="I14">
        <v>4.4000000000000004</v>
      </c>
      <c r="J14">
        <v>3.5</v>
      </c>
      <c r="K14">
        <v>3.5</v>
      </c>
      <c r="L14">
        <v>2.1</v>
      </c>
      <c r="M14" s="8">
        <f t="shared" si="0"/>
        <v>7.3500000000000005</v>
      </c>
      <c r="N14" s="8"/>
      <c r="O14" s="8"/>
      <c r="P14" s="8"/>
      <c r="Q14" s="8"/>
      <c r="R14">
        <v>0</v>
      </c>
      <c r="S14" s="9" t="s">
        <v>233</v>
      </c>
      <c r="T14">
        <v>0</v>
      </c>
      <c r="U14">
        <v>0</v>
      </c>
      <c r="V14">
        <v>0</v>
      </c>
      <c r="W14">
        <v>0</v>
      </c>
      <c r="X14">
        <v>0</v>
      </c>
    </row>
    <row r="15" spans="1:33" x14ac:dyDescent="0.2">
      <c r="G15">
        <v>1</v>
      </c>
      <c r="H15" s="9" t="s">
        <v>234</v>
      </c>
      <c r="I15">
        <v>4.8</v>
      </c>
      <c r="J15">
        <v>3.2</v>
      </c>
      <c r="K15">
        <v>2.7</v>
      </c>
      <c r="L15">
        <v>6.2</v>
      </c>
      <c r="M15" s="8">
        <f t="shared" si="0"/>
        <v>16.740000000000002</v>
      </c>
      <c r="N15" s="8"/>
      <c r="O15" s="8"/>
      <c r="P15" s="8"/>
      <c r="Q15" s="8"/>
      <c r="R15">
        <v>0</v>
      </c>
      <c r="S15" s="9" t="s">
        <v>234</v>
      </c>
      <c r="T15">
        <v>0</v>
      </c>
      <c r="U15">
        <v>0</v>
      </c>
      <c r="V15">
        <v>0</v>
      </c>
      <c r="W15">
        <v>0</v>
      </c>
      <c r="X15">
        <v>0</v>
      </c>
    </row>
    <row r="16" spans="1:33" x14ac:dyDescent="0.2">
      <c r="G16">
        <v>1</v>
      </c>
      <c r="H16" s="9" t="s">
        <v>235</v>
      </c>
      <c r="I16">
        <v>4.5999999999999996</v>
      </c>
      <c r="J16">
        <v>3.6</v>
      </c>
      <c r="K16">
        <v>3</v>
      </c>
      <c r="L16">
        <v>6.4</v>
      </c>
      <c r="M16" s="8">
        <f t="shared" si="0"/>
        <v>19.200000000000003</v>
      </c>
      <c r="N16" s="8"/>
      <c r="O16" s="8"/>
      <c r="P16" s="8"/>
      <c r="Q16" s="8"/>
      <c r="R16">
        <v>0</v>
      </c>
      <c r="S16" s="9" t="s">
        <v>235</v>
      </c>
      <c r="T16">
        <v>0</v>
      </c>
      <c r="U16">
        <v>0</v>
      </c>
      <c r="V16">
        <v>0</v>
      </c>
      <c r="W16">
        <v>0</v>
      </c>
      <c r="X16">
        <v>0</v>
      </c>
    </row>
    <row r="17" spans="1:27" x14ac:dyDescent="0.2">
      <c r="G17">
        <v>1</v>
      </c>
      <c r="H17" s="9" t="s">
        <v>241</v>
      </c>
      <c r="I17">
        <v>4.5999999999999996</v>
      </c>
      <c r="J17">
        <v>3.3</v>
      </c>
      <c r="K17">
        <v>2.5</v>
      </c>
      <c r="L17">
        <v>4.7</v>
      </c>
      <c r="M17" s="8">
        <f t="shared" si="0"/>
        <v>11.75</v>
      </c>
      <c r="N17" s="8"/>
      <c r="O17" s="8"/>
      <c r="P17" s="8"/>
      <c r="Q17" s="8"/>
      <c r="R17">
        <v>0</v>
      </c>
      <c r="S17" s="9" t="s">
        <v>241</v>
      </c>
      <c r="T17">
        <v>0</v>
      </c>
      <c r="U17">
        <v>0</v>
      </c>
      <c r="V17">
        <v>0</v>
      </c>
      <c r="W17">
        <v>0</v>
      </c>
      <c r="X17">
        <v>0</v>
      </c>
    </row>
    <row r="19" spans="1:27" x14ac:dyDescent="0.2">
      <c r="A19">
        <v>2</v>
      </c>
      <c r="B19" t="s">
        <v>21</v>
      </c>
      <c r="C19" s="1">
        <v>24418</v>
      </c>
      <c r="D19" s="1">
        <v>43430</v>
      </c>
      <c r="E19" s="1">
        <v>43654</v>
      </c>
      <c r="F19" s="1" t="s">
        <v>285</v>
      </c>
      <c r="G19">
        <v>1</v>
      </c>
      <c r="H19" t="s">
        <v>243</v>
      </c>
      <c r="I19">
        <v>4.3</v>
      </c>
      <c r="J19">
        <v>3.2</v>
      </c>
      <c r="K19">
        <v>2.4</v>
      </c>
      <c r="L19">
        <v>7.3</v>
      </c>
      <c r="M19" s="8">
        <f t="shared" ref="M19:M27" si="1">(K19*L19)</f>
        <v>17.52</v>
      </c>
      <c r="N19" s="8"/>
      <c r="O19" s="8">
        <v>1.3</v>
      </c>
      <c r="P19" s="8">
        <v>1</v>
      </c>
      <c r="Q19" s="8"/>
      <c r="R19">
        <v>0</v>
      </c>
      <c r="S19" t="s">
        <v>243</v>
      </c>
      <c r="T19">
        <v>0</v>
      </c>
      <c r="U19">
        <v>0</v>
      </c>
      <c r="V19">
        <v>0</v>
      </c>
      <c r="W19">
        <v>0</v>
      </c>
      <c r="X19">
        <v>0</v>
      </c>
      <c r="Z19">
        <v>0.7</v>
      </c>
      <c r="AA19">
        <v>0.7</v>
      </c>
    </row>
    <row r="20" spans="1:27" x14ac:dyDescent="0.2">
      <c r="G20">
        <v>1</v>
      </c>
      <c r="H20" t="s">
        <v>162</v>
      </c>
      <c r="I20">
        <v>4</v>
      </c>
      <c r="J20">
        <v>3.1</v>
      </c>
      <c r="K20">
        <v>2.8</v>
      </c>
      <c r="L20">
        <v>2.2999999999999998</v>
      </c>
      <c r="M20" s="8">
        <f t="shared" si="1"/>
        <v>6.4399999999999995</v>
      </c>
      <c r="N20" s="8"/>
      <c r="O20" s="8"/>
      <c r="P20" s="8"/>
      <c r="Q20" s="8"/>
      <c r="R20">
        <v>0</v>
      </c>
      <c r="S20" t="s">
        <v>162</v>
      </c>
      <c r="T20">
        <v>0</v>
      </c>
      <c r="U20">
        <v>0</v>
      </c>
      <c r="V20">
        <v>0</v>
      </c>
      <c r="W20">
        <v>0</v>
      </c>
      <c r="X20">
        <v>0</v>
      </c>
    </row>
    <row r="21" spans="1:27" x14ac:dyDescent="0.2">
      <c r="G21">
        <v>1</v>
      </c>
      <c r="H21" t="s">
        <v>244</v>
      </c>
      <c r="I21">
        <v>4.7</v>
      </c>
      <c r="J21">
        <v>3.5</v>
      </c>
      <c r="K21">
        <v>3.2</v>
      </c>
      <c r="L21">
        <v>2.7</v>
      </c>
      <c r="M21" s="8">
        <f t="shared" si="1"/>
        <v>8.64</v>
      </c>
      <c r="N21" s="8"/>
      <c r="O21" s="8"/>
      <c r="P21" s="8"/>
      <c r="Q21" s="8"/>
      <c r="R21">
        <v>0</v>
      </c>
      <c r="S21" t="s">
        <v>244</v>
      </c>
      <c r="T21">
        <v>0</v>
      </c>
      <c r="U21">
        <v>0</v>
      </c>
      <c r="V21">
        <v>0</v>
      </c>
      <c r="W21">
        <v>0</v>
      </c>
      <c r="X21">
        <v>0</v>
      </c>
    </row>
    <row r="22" spans="1:27" x14ac:dyDescent="0.2">
      <c r="G22">
        <v>1</v>
      </c>
      <c r="H22" t="s">
        <v>245</v>
      </c>
      <c r="I22">
        <v>4.4000000000000004</v>
      </c>
      <c r="J22">
        <v>3.3</v>
      </c>
      <c r="K22">
        <v>2.9</v>
      </c>
      <c r="L22">
        <v>3.2</v>
      </c>
      <c r="M22" s="8">
        <f t="shared" si="1"/>
        <v>9.2799999999999994</v>
      </c>
      <c r="N22" s="8"/>
      <c r="O22" s="8"/>
      <c r="P22" s="8"/>
      <c r="Q22" s="8"/>
      <c r="R22">
        <v>0</v>
      </c>
      <c r="S22" t="s">
        <v>245</v>
      </c>
      <c r="T22">
        <v>0</v>
      </c>
      <c r="U22">
        <v>0</v>
      </c>
      <c r="V22">
        <v>0</v>
      </c>
      <c r="W22">
        <v>0</v>
      </c>
      <c r="X22">
        <v>0</v>
      </c>
    </row>
    <row r="23" spans="1:27" x14ac:dyDescent="0.2">
      <c r="G23">
        <v>1</v>
      </c>
      <c r="H23" t="s">
        <v>163</v>
      </c>
      <c r="I23">
        <v>3.5</v>
      </c>
      <c r="J23">
        <v>2.9</v>
      </c>
      <c r="K23">
        <v>2.2999999999999998</v>
      </c>
      <c r="L23">
        <v>5.4</v>
      </c>
      <c r="M23" s="8">
        <f t="shared" si="1"/>
        <v>12.42</v>
      </c>
      <c r="N23" s="8"/>
      <c r="O23" s="8"/>
      <c r="P23" s="8"/>
      <c r="Q23" s="8"/>
      <c r="R23">
        <v>0</v>
      </c>
      <c r="S23" t="s">
        <v>163</v>
      </c>
      <c r="T23">
        <v>0</v>
      </c>
      <c r="U23">
        <v>0</v>
      </c>
      <c r="V23">
        <v>0</v>
      </c>
      <c r="W23">
        <v>0</v>
      </c>
      <c r="X23">
        <v>0</v>
      </c>
    </row>
    <row r="24" spans="1:27" x14ac:dyDescent="0.2">
      <c r="G24">
        <v>1</v>
      </c>
      <c r="H24" t="s">
        <v>228</v>
      </c>
      <c r="I24">
        <v>4.2</v>
      </c>
      <c r="J24">
        <v>3.5</v>
      </c>
      <c r="K24">
        <v>3.2</v>
      </c>
      <c r="L24">
        <v>2.7</v>
      </c>
      <c r="M24" s="8">
        <f t="shared" si="1"/>
        <v>8.64</v>
      </c>
      <c r="N24" s="8"/>
      <c r="O24" s="8"/>
      <c r="P24" s="8"/>
      <c r="Q24" s="8"/>
      <c r="R24">
        <v>0</v>
      </c>
      <c r="S24" t="s">
        <v>228</v>
      </c>
      <c r="T24">
        <v>0</v>
      </c>
      <c r="U24">
        <v>0</v>
      </c>
      <c r="V24">
        <v>0</v>
      </c>
      <c r="W24">
        <v>0</v>
      </c>
      <c r="X24">
        <v>0</v>
      </c>
    </row>
    <row r="25" spans="1:27" x14ac:dyDescent="0.2">
      <c r="G25">
        <v>1</v>
      </c>
      <c r="H25" t="s">
        <v>164</v>
      </c>
      <c r="I25">
        <v>4.2</v>
      </c>
      <c r="J25">
        <v>2.6</v>
      </c>
      <c r="K25">
        <v>2.4</v>
      </c>
      <c r="L25">
        <v>1.9</v>
      </c>
      <c r="M25" s="8">
        <f t="shared" si="1"/>
        <v>4.5599999999999996</v>
      </c>
      <c r="N25" s="8"/>
      <c r="O25" s="8"/>
      <c r="P25" s="8"/>
      <c r="Q25" s="8"/>
      <c r="R25">
        <v>1</v>
      </c>
      <c r="S25" s="2" t="s">
        <v>164</v>
      </c>
      <c r="T25">
        <v>5.4</v>
      </c>
      <c r="U25">
        <v>3.3</v>
      </c>
      <c r="V25">
        <v>3.1</v>
      </c>
      <c r="W25">
        <v>2.2000000000000002</v>
      </c>
      <c r="X25">
        <f>(V25*W25)</f>
        <v>6.8200000000000012</v>
      </c>
    </row>
    <row r="26" spans="1:27" x14ac:dyDescent="0.2">
      <c r="G26">
        <v>1</v>
      </c>
      <c r="H26" t="s">
        <v>165</v>
      </c>
      <c r="I26">
        <v>4.3</v>
      </c>
      <c r="J26">
        <v>3.1</v>
      </c>
      <c r="K26">
        <v>2.6</v>
      </c>
      <c r="L26">
        <v>3.4</v>
      </c>
      <c r="M26" s="8">
        <f t="shared" si="1"/>
        <v>8.84</v>
      </c>
      <c r="N26" s="8"/>
      <c r="O26" s="8"/>
      <c r="P26" s="8"/>
      <c r="Q26" s="8"/>
      <c r="R26">
        <v>0</v>
      </c>
      <c r="S26" t="s">
        <v>165</v>
      </c>
      <c r="T26">
        <v>0</v>
      </c>
      <c r="U26">
        <v>0</v>
      </c>
      <c r="V26">
        <v>0</v>
      </c>
      <c r="W26">
        <v>0</v>
      </c>
      <c r="X26">
        <v>0</v>
      </c>
    </row>
    <row r="27" spans="1:27" x14ac:dyDescent="0.2">
      <c r="G27">
        <v>1</v>
      </c>
      <c r="H27" t="s">
        <v>223</v>
      </c>
      <c r="I27">
        <v>4.0999999999999996</v>
      </c>
      <c r="J27">
        <v>3.3</v>
      </c>
      <c r="K27">
        <v>2.8</v>
      </c>
      <c r="L27">
        <v>7.5</v>
      </c>
      <c r="M27" s="8">
        <f t="shared" si="1"/>
        <v>21</v>
      </c>
      <c r="N27" s="8"/>
      <c r="O27" s="8"/>
      <c r="P27" s="8"/>
      <c r="Q27" s="8"/>
      <c r="R27">
        <v>0</v>
      </c>
      <c r="S27" t="s">
        <v>223</v>
      </c>
      <c r="T27">
        <v>0</v>
      </c>
      <c r="U27">
        <v>0</v>
      </c>
      <c r="V27">
        <v>0</v>
      </c>
      <c r="W27">
        <v>0</v>
      </c>
      <c r="X27">
        <v>0</v>
      </c>
    </row>
    <row r="28" spans="1:27" x14ac:dyDescent="0.2">
      <c r="R28">
        <v>1</v>
      </c>
      <c r="S28" s="4" t="s">
        <v>284</v>
      </c>
      <c r="T28">
        <v>4.5</v>
      </c>
      <c r="U28">
        <v>2.8</v>
      </c>
      <c r="V28">
        <v>2.6</v>
      </c>
      <c r="W28">
        <v>2.8</v>
      </c>
      <c r="X28">
        <f>(V28*W28)</f>
        <v>7.2799999999999994</v>
      </c>
    </row>
    <row r="29" spans="1:27" x14ac:dyDescent="0.2">
      <c r="S29" s="4"/>
    </row>
    <row r="30" spans="1:27" x14ac:dyDescent="0.2">
      <c r="A30">
        <v>3</v>
      </c>
      <c r="B30" t="s">
        <v>31</v>
      </c>
      <c r="C30" s="1">
        <v>23467</v>
      </c>
      <c r="D30" s="1">
        <v>43472</v>
      </c>
      <c r="E30" s="1">
        <v>43738</v>
      </c>
      <c r="F30" t="s">
        <v>285</v>
      </c>
      <c r="G30">
        <v>1</v>
      </c>
      <c r="H30" t="s">
        <v>216</v>
      </c>
      <c r="I30">
        <v>4.8</v>
      </c>
      <c r="J30">
        <v>3.2</v>
      </c>
      <c r="K30">
        <v>2.9</v>
      </c>
      <c r="L30">
        <v>2.5</v>
      </c>
      <c r="M30" s="8">
        <f t="shared" ref="M30:M37" si="2">(K30*L30)</f>
        <v>7.25</v>
      </c>
      <c r="N30" s="8"/>
      <c r="O30" s="8">
        <v>0.9</v>
      </c>
      <c r="P30" s="8">
        <v>0.8</v>
      </c>
      <c r="Q30" s="8"/>
      <c r="R30">
        <v>1</v>
      </c>
      <c r="S30" t="s">
        <v>216</v>
      </c>
      <c r="T30">
        <v>4</v>
      </c>
      <c r="U30">
        <v>2.5</v>
      </c>
      <c r="V30">
        <v>2.5</v>
      </c>
      <c r="W30">
        <v>1.6</v>
      </c>
      <c r="X30">
        <f>(V30*W30)</f>
        <v>4</v>
      </c>
      <c r="Z30">
        <v>0.7</v>
      </c>
      <c r="AA30">
        <v>0.9</v>
      </c>
    </row>
    <row r="31" spans="1:27" x14ac:dyDescent="0.2">
      <c r="G31">
        <v>1</v>
      </c>
      <c r="H31" t="s">
        <v>255</v>
      </c>
      <c r="I31">
        <v>4.5999999999999996</v>
      </c>
      <c r="J31">
        <v>3.1</v>
      </c>
      <c r="K31">
        <v>2.9</v>
      </c>
      <c r="L31">
        <v>3.1</v>
      </c>
      <c r="M31" s="8">
        <f t="shared" si="2"/>
        <v>8.99</v>
      </c>
      <c r="N31" s="8"/>
      <c r="O31" s="8"/>
      <c r="P31" s="8"/>
      <c r="Q31" s="8"/>
      <c r="R31">
        <v>0</v>
      </c>
      <c r="S31" t="s">
        <v>255</v>
      </c>
      <c r="T31">
        <v>0</v>
      </c>
      <c r="U31">
        <v>0</v>
      </c>
      <c r="V31">
        <v>0</v>
      </c>
      <c r="W31">
        <v>0</v>
      </c>
      <c r="X31">
        <v>0</v>
      </c>
    </row>
    <row r="32" spans="1:27" x14ac:dyDescent="0.2">
      <c r="G32">
        <v>1</v>
      </c>
      <c r="H32" t="s">
        <v>256</v>
      </c>
      <c r="I32">
        <v>7</v>
      </c>
      <c r="J32">
        <v>4.4000000000000004</v>
      </c>
      <c r="K32">
        <v>4</v>
      </c>
      <c r="L32">
        <v>3.8</v>
      </c>
      <c r="M32" s="8">
        <f t="shared" si="2"/>
        <v>15.2</v>
      </c>
      <c r="N32" s="8"/>
      <c r="O32" s="8"/>
      <c r="P32" s="8"/>
      <c r="Q32" s="8"/>
      <c r="R32">
        <v>1</v>
      </c>
      <c r="S32" t="s">
        <v>256</v>
      </c>
      <c r="T32">
        <v>4.5</v>
      </c>
      <c r="U32">
        <v>2.9</v>
      </c>
      <c r="V32">
        <v>2.5</v>
      </c>
      <c r="W32">
        <v>2.6</v>
      </c>
      <c r="X32">
        <f>(V32*W32)</f>
        <v>6.5</v>
      </c>
    </row>
    <row r="33" spans="7:27" x14ac:dyDescent="0.2">
      <c r="G33">
        <v>1</v>
      </c>
      <c r="H33" t="s">
        <v>264</v>
      </c>
      <c r="I33">
        <v>3.5</v>
      </c>
      <c r="J33">
        <v>2.2999999999999998</v>
      </c>
      <c r="K33">
        <v>2.4</v>
      </c>
      <c r="L33">
        <v>2.8</v>
      </c>
      <c r="M33" s="8">
        <f t="shared" si="2"/>
        <v>6.72</v>
      </c>
      <c r="N33" s="8"/>
      <c r="O33" s="8"/>
      <c r="P33" s="8"/>
      <c r="Q33" s="8"/>
      <c r="R33">
        <v>1</v>
      </c>
      <c r="S33" t="s">
        <v>264</v>
      </c>
      <c r="T33">
        <v>2.2999999999999998</v>
      </c>
      <c r="U33">
        <v>1.8</v>
      </c>
      <c r="V33">
        <v>1.8</v>
      </c>
      <c r="W33">
        <v>1.1000000000000001</v>
      </c>
      <c r="X33" s="8">
        <f>(V33*W33)</f>
        <v>1.9800000000000002</v>
      </c>
      <c r="Y33" s="8"/>
      <c r="Z33" s="8"/>
      <c r="AA33" s="8"/>
    </row>
    <row r="34" spans="7:27" x14ac:dyDescent="0.2">
      <c r="G34">
        <v>1</v>
      </c>
      <c r="H34" t="s">
        <v>242</v>
      </c>
      <c r="I34">
        <v>4.3</v>
      </c>
      <c r="J34">
        <v>2.7</v>
      </c>
      <c r="K34">
        <v>2.2000000000000002</v>
      </c>
      <c r="L34">
        <v>10.3</v>
      </c>
      <c r="M34" s="8">
        <f t="shared" si="2"/>
        <v>22.660000000000004</v>
      </c>
      <c r="N34" s="8"/>
      <c r="O34" s="8"/>
      <c r="P34" s="8"/>
      <c r="Q34" s="8"/>
      <c r="R34">
        <v>0</v>
      </c>
      <c r="S34" t="s">
        <v>242</v>
      </c>
      <c r="T34">
        <v>0</v>
      </c>
      <c r="U34">
        <v>0</v>
      </c>
      <c r="V34">
        <v>0</v>
      </c>
      <c r="W34">
        <v>0</v>
      </c>
      <c r="X34">
        <v>0</v>
      </c>
    </row>
    <row r="35" spans="7:27" x14ac:dyDescent="0.2">
      <c r="G35">
        <v>1</v>
      </c>
      <c r="H35" t="s">
        <v>257</v>
      </c>
      <c r="I35">
        <v>3.4</v>
      </c>
      <c r="J35">
        <v>1.8</v>
      </c>
      <c r="K35">
        <v>2.1</v>
      </c>
      <c r="L35">
        <v>2.2000000000000002</v>
      </c>
      <c r="M35" s="8">
        <f t="shared" si="2"/>
        <v>4.620000000000001</v>
      </c>
      <c r="N35" s="8"/>
      <c r="O35" s="8"/>
      <c r="P35" s="8"/>
      <c r="Q35" s="8"/>
      <c r="R35">
        <v>0</v>
      </c>
      <c r="S35" t="s">
        <v>257</v>
      </c>
      <c r="T35">
        <v>0</v>
      </c>
      <c r="U35">
        <v>0</v>
      </c>
      <c r="V35">
        <v>0</v>
      </c>
      <c r="W35">
        <v>0</v>
      </c>
      <c r="X35">
        <v>0</v>
      </c>
    </row>
    <row r="36" spans="7:27" x14ac:dyDescent="0.2">
      <c r="G36">
        <v>1</v>
      </c>
      <c r="H36" t="s">
        <v>286</v>
      </c>
      <c r="I36">
        <v>3.6</v>
      </c>
      <c r="J36">
        <v>2</v>
      </c>
      <c r="K36">
        <v>2.7</v>
      </c>
      <c r="L36">
        <v>2.1</v>
      </c>
      <c r="M36" s="8">
        <f t="shared" si="2"/>
        <v>5.6700000000000008</v>
      </c>
      <c r="N36" s="8"/>
      <c r="O36" s="8"/>
      <c r="P36" s="8"/>
      <c r="Q36" s="8"/>
      <c r="R36">
        <v>0</v>
      </c>
      <c r="S36" t="s">
        <v>286</v>
      </c>
      <c r="T36">
        <v>0</v>
      </c>
      <c r="U36">
        <v>0</v>
      </c>
      <c r="V36">
        <v>0</v>
      </c>
      <c r="W36">
        <v>0</v>
      </c>
      <c r="X36">
        <v>0</v>
      </c>
    </row>
    <row r="37" spans="7:27" x14ac:dyDescent="0.2">
      <c r="G37">
        <v>1</v>
      </c>
      <c r="H37" t="s">
        <v>289</v>
      </c>
      <c r="I37">
        <v>4.3</v>
      </c>
      <c r="J37">
        <v>2.7</v>
      </c>
      <c r="K37">
        <v>2.2999999999999998</v>
      </c>
      <c r="L37">
        <v>5</v>
      </c>
      <c r="M37" s="8">
        <f t="shared" si="2"/>
        <v>11.5</v>
      </c>
      <c r="N37" s="8"/>
      <c r="O37" s="8"/>
      <c r="P37" s="8"/>
      <c r="Q37" s="8"/>
      <c r="R37">
        <v>0</v>
      </c>
      <c r="S37" t="s">
        <v>287</v>
      </c>
      <c r="T37">
        <v>0</v>
      </c>
      <c r="U37">
        <v>0</v>
      </c>
      <c r="V37">
        <v>0</v>
      </c>
      <c r="W37">
        <v>0</v>
      </c>
      <c r="X37">
        <v>0</v>
      </c>
    </row>
    <row r="38" spans="7:27" x14ac:dyDescent="0.2">
      <c r="R38">
        <v>1</v>
      </c>
      <c r="S38" s="4" t="s">
        <v>288</v>
      </c>
      <c r="T38">
        <v>6.5</v>
      </c>
      <c r="U38">
        <v>5</v>
      </c>
      <c r="V38">
        <v>3.7</v>
      </c>
      <c r="W38">
        <v>11.4</v>
      </c>
      <c r="X38">
        <v>42.1</v>
      </c>
    </row>
  </sheetData>
  <pageMargins left="0.7" right="0.7" top="0.78740157499999996" bottom="0.78740157499999996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E2"/>
  <sheetViews>
    <sheetView topLeftCell="BD1" workbookViewId="0">
      <selection activeCell="BD2" sqref="BD2"/>
    </sheetView>
  </sheetViews>
  <sheetFormatPr baseColWidth="10" defaultRowHeight="15" x14ac:dyDescent="0.2"/>
  <cols>
    <col min="3" max="3" width="13.6640625" bestFit="1" customWidth="1"/>
    <col min="4" max="4" width="13.33203125" bestFit="1" customWidth="1"/>
    <col min="5" max="5" width="13.33203125" customWidth="1"/>
    <col min="6" max="6" width="24" bestFit="1" customWidth="1"/>
    <col min="7" max="7" width="17.33203125" bestFit="1" customWidth="1"/>
    <col min="8" max="8" width="14.6640625" bestFit="1" customWidth="1"/>
    <col min="13" max="13" width="17.83203125" bestFit="1" customWidth="1"/>
    <col min="19" max="19" width="18.5" bestFit="1" customWidth="1"/>
    <col min="46" max="46" width="24" bestFit="1" customWidth="1"/>
    <col min="47" max="47" width="17.33203125" bestFit="1" customWidth="1"/>
    <col min="48" max="48" width="14.6640625" bestFit="1" customWidth="1"/>
  </cols>
  <sheetData>
    <row r="1" spans="1:83" x14ac:dyDescent="0.2">
      <c r="B1" t="s">
        <v>0</v>
      </c>
      <c r="C1" t="s">
        <v>1</v>
      </c>
      <c r="D1" t="s">
        <v>124</v>
      </c>
      <c r="E1" t="s">
        <v>125</v>
      </c>
      <c r="F1" t="s">
        <v>291</v>
      </c>
      <c r="G1" t="s">
        <v>290</v>
      </c>
      <c r="H1" s="6" t="s">
        <v>120</v>
      </c>
      <c r="I1" s="6" t="s">
        <v>102</v>
      </c>
      <c r="J1" s="6" t="s">
        <v>98</v>
      </c>
      <c r="K1" s="6" t="s">
        <v>99</v>
      </c>
      <c r="L1" s="6" t="s">
        <v>100</v>
      </c>
      <c r="M1" s="6" t="s">
        <v>292</v>
      </c>
      <c r="N1" t="s">
        <v>97</v>
      </c>
      <c r="O1" s="6" t="s">
        <v>102</v>
      </c>
      <c r="P1" s="6" t="s">
        <v>98</v>
      </c>
      <c r="Q1" s="6" t="s">
        <v>99</v>
      </c>
      <c r="R1" s="6" t="s">
        <v>100</v>
      </c>
      <c r="S1" s="6" t="s">
        <v>293</v>
      </c>
      <c r="T1" t="s">
        <v>97</v>
      </c>
      <c r="U1" s="6" t="s">
        <v>102</v>
      </c>
      <c r="V1" s="6" t="s">
        <v>98</v>
      </c>
      <c r="W1" s="6" t="s">
        <v>99</v>
      </c>
      <c r="X1" s="6" t="s">
        <v>100</v>
      </c>
      <c r="Y1" s="6" t="s">
        <v>294</v>
      </c>
      <c r="Z1" t="s">
        <v>97</v>
      </c>
      <c r="AA1" s="6" t="s">
        <v>102</v>
      </c>
      <c r="AB1" s="6" t="s">
        <v>98</v>
      </c>
      <c r="AC1" s="6" t="s">
        <v>99</v>
      </c>
      <c r="AD1" s="6" t="s">
        <v>100</v>
      </c>
      <c r="AE1" s="6" t="s">
        <v>295</v>
      </c>
      <c r="AF1" t="s">
        <v>97</v>
      </c>
      <c r="AG1" s="6" t="s">
        <v>102</v>
      </c>
      <c r="AH1" s="6" t="s">
        <v>98</v>
      </c>
      <c r="AI1" s="6" t="s">
        <v>99</v>
      </c>
      <c r="AJ1" s="6" t="s">
        <v>100</v>
      </c>
      <c r="AK1" s="6" t="s">
        <v>308</v>
      </c>
      <c r="AL1" s="6" t="s">
        <v>290</v>
      </c>
      <c r="AM1" t="s">
        <v>97</v>
      </c>
      <c r="AN1" s="6" t="s">
        <v>102</v>
      </c>
      <c r="AO1" s="6" t="s">
        <v>98</v>
      </c>
      <c r="AP1" s="6" t="s">
        <v>99</v>
      </c>
      <c r="AQ1" s="6" t="s">
        <v>100</v>
      </c>
      <c r="AS1" s="6" t="s">
        <v>309</v>
      </c>
      <c r="AT1" t="s">
        <v>291</v>
      </c>
      <c r="AU1" t="s">
        <v>290</v>
      </c>
      <c r="AV1" s="6" t="s">
        <v>310</v>
      </c>
      <c r="AW1" s="6" t="s">
        <v>102</v>
      </c>
      <c r="AX1" s="6" t="s">
        <v>98</v>
      </c>
      <c r="AY1" s="6" t="s">
        <v>99</v>
      </c>
      <c r="AZ1" s="6" t="s">
        <v>100</v>
      </c>
      <c r="BA1" s="6" t="s">
        <v>292</v>
      </c>
      <c r="BB1" t="s">
        <v>97</v>
      </c>
      <c r="BC1" s="6" t="s">
        <v>102</v>
      </c>
      <c r="BD1" s="6" t="s">
        <v>98</v>
      </c>
      <c r="BE1" s="6" t="s">
        <v>99</v>
      </c>
      <c r="BF1" s="6" t="s">
        <v>100</v>
      </c>
      <c r="BG1" s="6" t="s">
        <v>293</v>
      </c>
      <c r="BH1" t="s">
        <v>97</v>
      </c>
      <c r="BI1" s="6" t="s">
        <v>102</v>
      </c>
      <c r="BJ1" s="6" t="s">
        <v>98</v>
      </c>
      <c r="BK1" s="6" t="s">
        <v>99</v>
      </c>
      <c r="BL1" s="6" t="s">
        <v>100</v>
      </c>
      <c r="BM1" s="6" t="s">
        <v>294</v>
      </c>
      <c r="BN1" t="s">
        <v>97</v>
      </c>
      <c r="BO1" s="6" t="s">
        <v>102</v>
      </c>
      <c r="BP1" s="6" t="s">
        <v>98</v>
      </c>
      <c r="BQ1" s="6" t="s">
        <v>99</v>
      </c>
      <c r="BR1" s="6" t="s">
        <v>100</v>
      </c>
      <c r="BS1" s="6" t="s">
        <v>295</v>
      </c>
      <c r="BT1" t="s">
        <v>97</v>
      </c>
      <c r="BU1" s="6" t="s">
        <v>102</v>
      </c>
      <c r="BV1" s="6" t="s">
        <v>98</v>
      </c>
      <c r="BW1" s="6" t="s">
        <v>99</v>
      </c>
      <c r="BX1" s="6" t="s">
        <v>100</v>
      </c>
      <c r="BY1" s="6" t="s">
        <v>308</v>
      </c>
      <c r="BZ1" s="6" t="s">
        <v>290</v>
      </c>
      <c r="CA1" t="s">
        <v>97</v>
      </c>
      <c r="CB1" s="6" t="s">
        <v>102</v>
      </c>
      <c r="CC1" s="6" t="s">
        <v>98</v>
      </c>
      <c r="CD1" s="6" t="s">
        <v>99</v>
      </c>
      <c r="CE1" s="6" t="s">
        <v>100</v>
      </c>
    </row>
    <row r="2" spans="1:83" x14ac:dyDescent="0.2">
      <c r="A2">
        <v>18</v>
      </c>
      <c r="B2" t="s">
        <v>47</v>
      </c>
      <c r="C2" s="1">
        <v>29587</v>
      </c>
      <c r="D2" s="1">
        <v>43507</v>
      </c>
      <c r="E2" s="1">
        <v>43703</v>
      </c>
      <c r="F2">
        <v>3</v>
      </c>
      <c r="G2">
        <v>1</v>
      </c>
      <c r="H2">
        <v>3</v>
      </c>
      <c r="I2">
        <v>2.2000000000000002</v>
      </c>
      <c r="J2">
        <v>1.6</v>
      </c>
      <c r="K2">
        <v>13.3</v>
      </c>
      <c r="L2">
        <f>(J2*K2)</f>
        <v>21.28</v>
      </c>
      <c r="M2">
        <v>1</v>
      </c>
      <c r="N2">
        <v>3.9</v>
      </c>
      <c r="O2">
        <v>3</v>
      </c>
      <c r="P2">
        <v>2.1</v>
      </c>
      <c r="Q2">
        <v>110.2</v>
      </c>
      <c r="R2" s="8">
        <f>(P2*Q2)</f>
        <v>231.42000000000002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1</v>
      </c>
      <c r="Z2">
        <v>4</v>
      </c>
      <c r="AA2">
        <v>3.1</v>
      </c>
      <c r="AB2">
        <v>2.1</v>
      </c>
      <c r="AC2">
        <v>105.8</v>
      </c>
      <c r="AD2">
        <f>(AB2*AC2)</f>
        <v>222.18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M2">
        <v>0.8</v>
      </c>
      <c r="AN2">
        <v>0.6</v>
      </c>
      <c r="AO2">
        <v>0.4</v>
      </c>
      <c r="AP2">
        <v>0</v>
      </c>
      <c r="AQ2">
        <v>0</v>
      </c>
      <c r="AU2">
        <v>1</v>
      </c>
      <c r="AV2">
        <v>2.5</v>
      </c>
      <c r="AW2">
        <v>2.1</v>
      </c>
      <c r="AX2">
        <v>1.7</v>
      </c>
      <c r="AY2">
        <v>3.8</v>
      </c>
      <c r="AZ2">
        <f>(AX2*AY2)</f>
        <v>6.46</v>
      </c>
      <c r="BA2">
        <v>1</v>
      </c>
      <c r="BB2">
        <v>3.3</v>
      </c>
      <c r="BC2">
        <v>2.2999999999999998</v>
      </c>
      <c r="BD2">
        <v>1.7</v>
      </c>
      <c r="BE2">
        <v>29.8</v>
      </c>
      <c r="BF2">
        <f>(BD2*BE2)</f>
        <v>50.66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1</v>
      </c>
      <c r="BN2">
        <v>3.2</v>
      </c>
      <c r="BO2">
        <v>2.2999999999999998</v>
      </c>
      <c r="BP2">
        <v>1.7</v>
      </c>
      <c r="BQ2">
        <v>28.2</v>
      </c>
      <c r="BR2">
        <f>(BP2*BQ2)</f>
        <v>47.94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CA2">
        <v>0.7</v>
      </c>
      <c r="CB2">
        <v>0.7</v>
      </c>
      <c r="CC2">
        <v>0.5</v>
      </c>
      <c r="CD2">
        <v>0</v>
      </c>
      <c r="CE2">
        <v>0</v>
      </c>
    </row>
  </sheetData>
  <pageMargins left="0.7" right="0.7" top="0.78740157499999996" bottom="0.78740157499999996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Q89"/>
  <sheetViews>
    <sheetView topLeftCell="H1" workbookViewId="0">
      <pane ySplit="1" topLeftCell="A55" activePane="bottomLeft" state="frozen"/>
      <selection pane="bottomLeft" activeCell="P1" sqref="P1:Q1"/>
    </sheetView>
  </sheetViews>
  <sheetFormatPr baseColWidth="10" defaultRowHeight="15" x14ac:dyDescent="0.2"/>
  <cols>
    <col min="6" max="6" width="20.83203125" bestFit="1" customWidth="1"/>
    <col min="7" max="7" width="20.83203125" customWidth="1"/>
  </cols>
  <sheetData>
    <row r="1" spans="1:17" x14ac:dyDescent="0.2">
      <c r="B1" t="s">
        <v>0</v>
      </c>
      <c r="C1" t="s">
        <v>1</v>
      </c>
      <c r="D1" t="s">
        <v>2</v>
      </c>
      <c r="E1" s="10" t="s">
        <v>317</v>
      </c>
      <c r="F1" t="s">
        <v>3</v>
      </c>
      <c r="H1" s="6" t="s">
        <v>95</v>
      </c>
      <c r="I1" t="s">
        <v>96</v>
      </c>
      <c r="J1" s="6" t="s">
        <v>145</v>
      </c>
      <c r="K1" s="6" t="s">
        <v>102</v>
      </c>
      <c r="L1" s="6" t="s">
        <v>98</v>
      </c>
      <c r="M1" s="6" t="s">
        <v>99</v>
      </c>
      <c r="N1" s="6" t="s">
        <v>100</v>
      </c>
      <c r="P1" s="6" t="s">
        <v>320</v>
      </c>
      <c r="Q1" s="6" t="s">
        <v>321</v>
      </c>
    </row>
    <row r="2" spans="1:17" x14ac:dyDescent="0.2">
      <c r="A2">
        <v>1</v>
      </c>
      <c r="B2" t="s">
        <v>12</v>
      </c>
      <c r="C2" s="1">
        <v>23438</v>
      </c>
      <c r="D2" s="1">
        <v>43374</v>
      </c>
      <c r="E2" s="10">
        <v>54</v>
      </c>
      <c r="F2" t="s">
        <v>13</v>
      </c>
      <c r="H2">
        <v>1</v>
      </c>
      <c r="I2" t="s">
        <v>106</v>
      </c>
      <c r="J2">
        <v>4.3</v>
      </c>
      <c r="K2">
        <v>2.6</v>
      </c>
      <c r="L2">
        <v>2.8</v>
      </c>
      <c r="M2">
        <v>14</v>
      </c>
      <c r="N2" s="8">
        <f>(L2*M2)</f>
        <v>39.199999999999996</v>
      </c>
      <c r="P2">
        <v>1</v>
      </c>
      <c r="Q2">
        <v>1</v>
      </c>
    </row>
    <row r="3" spans="1:17" x14ac:dyDescent="0.2">
      <c r="E3" s="10"/>
      <c r="H3">
        <v>1</v>
      </c>
      <c r="I3" t="s">
        <v>170</v>
      </c>
      <c r="J3">
        <v>11.6</v>
      </c>
      <c r="K3">
        <v>7.8</v>
      </c>
      <c r="L3">
        <v>6.1</v>
      </c>
      <c r="M3">
        <v>19.399999999999999</v>
      </c>
      <c r="N3" s="8">
        <f t="shared" ref="N3:N15" si="0">(L3*M3)</f>
        <v>118.33999999999999</v>
      </c>
    </row>
    <row r="4" spans="1:17" x14ac:dyDescent="0.2">
      <c r="E4" s="10"/>
      <c r="H4">
        <v>1</v>
      </c>
      <c r="I4" t="s">
        <v>146</v>
      </c>
      <c r="J4">
        <v>11</v>
      </c>
      <c r="K4">
        <v>4.5999999999999996</v>
      </c>
      <c r="L4">
        <v>6.1</v>
      </c>
      <c r="M4">
        <v>1.5</v>
      </c>
      <c r="N4" s="8">
        <f t="shared" si="0"/>
        <v>9.1499999999999986</v>
      </c>
    </row>
    <row r="5" spans="1:17" x14ac:dyDescent="0.2">
      <c r="E5" s="10"/>
      <c r="H5">
        <v>1</v>
      </c>
      <c r="I5" t="s">
        <v>296</v>
      </c>
      <c r="J5">
        <v>8.8000000000000007</v>
      </c>
      <c r="K5">
        <v>5.5</v>
      </c>
      <c r="L5">
        <v>5.5</v>
      </c>
      <c r="M5">
        <v>2</v>
      </c>
      <c r="N5" s="8">
        <f t="shared" si="0"/>
        <v>11</v>
      </c>
    </row>
    <row r="6" spans="1:17" x14ac:dyDescent="0.2">
      <c r="E6" s="10"/>
      <c r="H6">
        <v>1</v>
      </c>
      <c r="I6" t="s">
        <v>148</v>
      </c>
      <c r="J6" s="6">
        <v>9.4</v>
      </c>
      <c r="K6" s="6">
        <v>5.3</v>
      </c>
      <c r="L6" s="6">
        <v>5.3</v>
      </c>
      <c r="M6" s="6">
        <v>2.7</v>
      </c>
      <c r="N6" s="8">
        <f t="shared" si="0"/>
        <v>14.31</v>
      </c>
    </row>
    <row r="7" spans="1:17" x14ac:dyDescent="0.2">
      <c r="E7" s="10"/>
      <c r="H7">
        <v>1</v>
      </c>
      <c r="I7" t="s">
        <v>149</v>
      </c>
      <c r="J7">
        <v>4</v>
      </c>
      <c r="K7">
        <v>3.3</v>
      </c>
      <c r="L7">
        <v>3.2</v>
      </c>
      <c r="M7">
        <v>1.4</v>
      </c>
      <c r="N7" s="8">
        <f t="shared" si="0"/>
        <v>4.4799999999999995</v>
      </c>
    </row>
    <row r="8" spans="1:17" x14ac:dyDescent="0.2">
      <c r="E8" s="10"/>
      <c r="H8">
        <v>1</v>
      </c>
      <c r="I8" t="s">
        <v>150</v>
      </c>
      <c r="J8">
        <v>8.6999999999999993</v>
      </c>
      <c r="K8">
        <v>4.5</v>
      </c>
      <c r="L8">
        <v>4.4000000000000004</v>
      </c>
      <c r="M8">
        <v>4.9000000000000004</v>
      </c>
      <c r="N8" s="8">
        <f t="shared" si="0"/>
        <v>21.560000000000002</v>
      </c>
    </row>
    <row r="9" spans="1:17" x14ac:dyDescent="0.2">
      <c r="E9" s="10"/>
      <c r="H9">
        <v>1</v>
      </c>
      <c r="I9" t="s">
        <v>151</v>
      </c>
      <c r="J9">
        <v>9.4</v>
      </c>
      <c r="K9">
        <v>5.2</v>
      </c>
      <c r="L9">
        <v>5.0999999999999996</v>
      </c>
      <c r="M9">
        <v>4.9000000000000004</v>
      </c>
      <c r="N9" s="8">
        <f t="shared" si="0"/>
        <v>24.99</v>
      </c>
    </row>
    <row r="10" spans="1:17" x14ac:dyDescent="0.2">
      <c r="E10" s="10"/>
      <c r="H10">
        <v>1</v>
      </c>
      <c r="I10" t="s">
        <v>151</v>
      </c>
      <c r="J10">
        <v>7.2</v>
      </c>
      <c r="K10">
        <v>4.7</v>
      </c>
      <c r="L10">
        <v>4</v>
      </c>
      <c r="M10">
        <v>8.1</v>
      </c>
      <c r="N10" s="8">
        <f t="shared" si="0"/>
        <v>32.4</v>
      </c>
    </row>
    <row r="11" spans="1:17" x14ac:dyDescent="0.2">
      <c r="E11" s="10"/>
      <c r="H11">
        <v>1</v>
      </c>
      <c r="I11" t="s">
        <v>151</v>
      </c>
      <c r="J11">
        <v>5.0999999999999996</v>
      </c>
      <c r="K11">
        <v>2.8</v>
      </c>
      <c r="L11">
        <v>3</v>
      </c>
      <c r="M11">
        <v>2.4</v>
      </c>
      <c r="N11" s="8">
        <f t="shared" si="0"/>
        <v>7.1999999999999993</v>
      </c>
    </row>
    <row r="12" spans="1:17" x14ac:dyDescent="0.2">
      <c r="E12" s="10"/>
      <c r="H12">
        <v>1</v>
      </c>
      <c r="I12" t="s">
        <v>152</v>
      </c>
      <c r="J12">
        <v>6.1</v>
      </c>
      <c r="K12">
        <v>4.0999999999999996</v>
      </c>
      <c r="L12">
        <v>3.6</v>
      </c>
      <c r="M12">
        <v>5.7</v>
      </c>
      <c r="N12" s="8">
        <f t="shared" si="0"/>
        <v>20.52</v>
      </c>
    </row>
    <row r="13" spans="1:17" x14ac:dyDescent="0.2">
      <c r="E13" s="10"/>
      <c r="H13">
        <v>1</v>
      </c>
      <c r="I13" t="s">
        <v>153</v>
      </c>
      <c r="J13">
        <v>7.7</v>
      </c>
      <c r="K13">
        <v>4</v>
      </c>
      <c r="L13">
        <v>4.4000000000000004</v>
      </c>
      <c r="M13">
        <v>1.4</v>
      </c>
      <c r="N13" s="8">
        <f t="shared" si="0"/>
        <v>6.16</v>
      </c>
    </row>
    <row r="14" spans="1:17" x14ac:dyDescent="0.2">
      <c r="E14" s="10"/>
      <c r="H14">
        <v>1</v>
      </c>
      <c r="I14" t="s">
        <v>154</v>
      </c>
      <c r="J14">
        <v>8.4</v>
      </c>
      <c r="K14">
        <v>5.5</v>
      </c>
      <c r="L14">
        <v>4.9000000000000004</v>
      </c>
      <c r="M14">
        <v>2.2999999999999998</v>
      </c>
      <c r="N14" s="8">
        <f t="shared" si="0"/>
        <v>11.27</v>
      </c>
    </row>
    <row r="15" spans="1:17" x14ac:dyDescent="0.2">
      <c r="E15" s="10"/>
      <c r="G15">
        <v>14</v>
      </c>
      <c r="H15">
        <v>1</v>
      </c>
      <c r="I15" t="s">
        <v>155</v>
      </c>
      <c r="J15">
        <v>5.7</v>
      </c>
      <c r="K15">
        <v>2.7</v>
      </c>
      <c r="L15">
        <v>3.4</v>
      </c>
      <c r="M15">
        <v>1.2</v>
      </c>
      <c r="N15" s="8">
        <f t="shared" si="0"/>
        <v>4.08</v>
      </c>
    </row>
    <row r="17" spans="1:17" x14ac:dyDescent="0.2">
      <c r="A17">
        <v>3</v>
      </c>
      <c r="B17" t="s">
        <v>20</v>
      </c>
      <c r="C17" s="1">
        <v>27932</v>
      </c>
      <c r="D17" s="1">
        <v>43423</v>
      </c>
      <c r="E17" s="10">
        <v>42</v>
      </c>
      <c r="F17" t="s">
        <v>13</v>
      </c>
      <c r="H17">
        <v>1</v>
      </c>
      <c r="I17" t="s">
        <v>159</v>
      </c>
      <c r="J17">
        <v>12.2</v>
      </c>
      <c r="K17">
        <v>8.4</v>
      </c>
      <c r="L17">
        <v>6.7</v>
      </c>
      <c r="M17">
        <v>5.3</v>
      </c>
      <c r="N17" s="8">
        <f>(L17*M17)</f>
        <v>35.51</v>
      </c>
      <c r="P17">
        <v>0.7</v>
      </c>
      <c r="Q17">
        <v>0.7</v>
      </c>
    </row>
    <row r="18" spans="1:17" x14ac:dyDescent="0.2">
      <c r="C18" s="1"/>
      <c r="D18" s="1"/>
      <c r="E18" s="10"/>
      <c r="H18">
        <v>1</v>
      </c>
      <c r="I18" s="9" t="s">
        <v>298</v>
      </c>
      <c r="J18">
        <v>4.0999999999999996</v>
      </c>
      <c r="K18">
        <v>2.6</v>
      </c>
      <c r="L18">
        <v>2.4</v>
      </c>
      <c r="M18">
        <v>2.8</v>
      </c>
      <c r="N18" s="8">
        <f>(L18*M18)</f>
        <v>6.72</v>
      </c>
    </row>
    <row r="19" spans="1:17" x14ac:dyDescent="0.2">
      <c r="E19" s="10"/>
      <c r="H19">
        <v>1</v>
      </c>
      <c r="I19" t="s">
        <v>160</v>
      </c>
      <c r="J19">
        <v>5</v>
      </c>
      <c r="K19">
        <v>3.4</v>
      </c>
      <c r="L19">
        <v>2.8</v>
      </c>
      <c r="M19">
        <v>6.2</v>
      </c>
      <c r="N19" s="8">
        <f>(L19*M19)</f>
        <v>17.36</v>
      </c>
    </row>
    <row r="20" spans="1:17" x14ac:dyDescent="0.2">
      <c r="E20" s="10"/>
      <c r="G20">
        <v>4</v>
      </c>
      <c r="H20">
        <v>1</v>
      </c>
      <c r="I20" t="s">
        <v>161</v>
      </c>
      <c r="J20">
        <v>11.4</v>
      </c>
      <c r="K20">
        <v>6.1</v>
      </c>
      <c r="L20">
        <v>6.3</v>
      </c>
      <c r="M20">
        <v>1.9</v>
      </c>
      <c r="N20" s="8">
        <f>(L20*M20)</f>
        <v>11.969999999999999</v>
      </c>
    </row>
    <row r="21" spans="1:17" x14ac:dyDescent="0.2">
      <c r="E21" s="10"/>
      <c r="N21" s="8"/>
    </row>
    <row r="22" spans="1:17" x14ac:dyDescent="0.2">
      <c r="A22">
        <v>6</v>
      </c>
      <c r="B22" t="s">
        <v>30</v>
      </c>
      <c r="C22" s="1">
        <v>18099</v>
      </c>
      <c r="D22" s="1">
        <v>43472</v>
      </c>
      <c r="E22" s="10">
        <v>59</v>
      </c>
      <c r="F22" t="s">
        <v>13</v>
      </c>
      <c r="H22">
        <v>1</v>
      </c>
      <c r="I22" t="s">
        <v>105</v>
      </c>
      <c r="J22">
        <v>7.6</v>
      </c>
      <c r="K22">
        <v>5.5</v>
      </c>
      <c r="L22">
        <v>4.0999999999999996</v>
      </c>
      <c r="M22">
        <v>26.28</v>
      </c>
      <c r="N22" s="8">
        <f t="shared" ref="N22:N46" si="1">(L22*M22)</f>
        <v>107.74799999999999</v>
      </c>
      <c r="P22">
        <v>1</v>
      </c>
      <c r="Q22">
        <v>1</v>
      </c>
    </row>
    <row r="23" spans="1:17" x14ac:dyDescent="0.2">
      <c r="E23" s="10"/>
      <c r="H23">
        <v>1</v>
      </c>
      <c r="I23" t="s">
        <v>106</v>
      </c>
      <c r="J23">
        <v>9.4</v>
      </c>
      <c r="K23">
        <v>6.9</v>
      </c>
      <c r="L23">
        <v>5.5</v>
      </c>
      <c r="M23">
        <v>8.1</v>
      </c>
      <c r="N23" s="8">
        <f t="shared" si="1"/>
        <v>44.55</v>
      </c>
    </row>
    <row r="24" spans="1:17" x14ac:dyDescent="0.2">
      <c r="E24" s="10"/>
      <c r="H24">
        <v>1</v>
      </c>
      <c r="I24" t="s">
        <v>115</v>
      </c>
      <c r="J24">
        <v>11</v>
      </c>
      <c r="K24">
        <v>8.3000000000000007</v>
      </c>
      <c r="L24">
        <v>6.2</v>
      </c>
      <c r="M24">
        <v>7.9</v>
      </c>
      <c r="N24" s="8">
        <f t="shared" si="1"/>
        <v>48.980000000000004</v>
      </c>
    </row>
    <row r="25" spans="1:17" x14ac:dyDescent="0.2">
      <c r="E25" s="10"/>
      <c r="H25">
        <v>1</v>
      </c>
      <c r="I25" t="s">
        <v>168</v>
      </c>
      <c r="J25">
        <v>5.3</v>
      </c>
      <c r="K25">
        <v>3.7</v>
      </c>
      <c r="L25">
        <v>2.8</v>
      </c>
      <c r="M25">
        <v>15.6</v>
      </c>
      <c r="N25" s="8">
        <f t="shared" si="1"/>
        <v>43.68</v>
      </c>
    </row>
    <row r="26" spans="1:17" x14ac:dyDescent="0.2">
      <c r="E26" s="10"/>
      <c r="H26">
        <v>1</v>
      </c>
      <c r="I26" t="s">
        <v>300</v>
      </c>
      <c r="J26">
        <v>5.5</v>
      </c>
      <c r="K26">
        <v>4.5</v>
      </c>
      <c r="L26">
        <v>3.5</v>
      </c>
      <c r="M26">
        <v>6.5</v>
      </c>
      <c r="N26" s="8">
        <f t="shared" si="1"/>
        <v>22.75</v>
      </c>
    </row>
    <row r="27" spans="1:17" x14ac:dyDescent="0.2">
      <c r="E27" s="10"/>
      <c r="H27">
        <v>1</v>
      </c>
      <c r="I27" t="s">
        <v>301</v>
      </c>
      <c r="J27">
        <v>4</v>
      </c>
      <c r="K27">
        <v>3</v>
      </c>
      <c r="L27">
        <v>2.4</v>
      </c>
      <c r="M27">
        <v>5</v>
      </c>
      <c r="N27" s="8">
        <f t="shared" si="1"/>
        <v>12</v>
      </c>
    </row>
    <row r="28" spans="1:17" x14ac:dyDescent="0.2">
      <c r="E28" s="10"/>
      <c r="H28">
        <v>1</v>
      </c>
      <c r="I28" t="s">
        <v>167</v>
      </c>
      <c r="J28">
        <v>5.6</v>
      </c>
      <c r="K28">
        <v>3.9</v>
      </c>
      <c r="L28">
        <v>3.1</v>
      </c>
      <c r="M28">
        <v>9.3000000000000007</v>
      </c>
      <c r="N28" s="8">
        <f t="shared" si="1"/>
        <v>28.830000000000002</v>
      </c>
    </row>
    <row r="29" spans="1:17" x14ac:dyDescent="0.2">
      <c r="E29" s="10"/>
      <c r="H29">
        <v>1</v>
      </c>
      <c r="I29" t="s">
        <v>169</v>
      </c>
      <c r="J29">
        <v>11.6</v>
      </c>
      <c r="K29">
        <v>7</v>
      </c>
      <c r="L29">
        <v>5.8</v>
      </c>
      <c r="M29">
        <v>17.100000000000001</v>
      </c>
      <c r="N29" s="8">
        <f t="shared" si="1"/>
        <v>99.18</v>
      </c>
    </row>
    <row r="30" spans="1:17" x14ac:dyDescent="0.2">
      <c r="E30" s="10"/>
      <c r="H30">
        <v>1</v>
      </c>
      <c r="I30" t="s">
        <v>170</v>
      </c>
      <c r="J30">
        <v>8.9</v>
      </c>
      <c r="K30">
        <v>4.9000000000000004</v>
      </c>
      <c r="L30">
        <v>4.7</v>
      </c>
      <c r="M30">
        <v>3.2</v>
      </c>
      <c r="N30" s="8">
        <f t="shared" si="1"/>
        <v>15.040000000000001</v>
      </c>
    </row>
    <row r="31" spans="1:17" x14ac:dyDescent="0.2">
      <c r="E31" s="10"/>
      <c r="H31">
        <v>1</v>
      </c>
      <c r="I31" t="s">
        <v>251</v>
      </c>
      <c r="J31">
        <v>6</v>
      </c>
      <c r="K31">
        <v>4.5999999999999996</v>
      </c>
      <c r="L31">
        <v>3.6</v>
      </c>
      <c r="M31">
        <v>4.5999999999999996</v>
      </c>
      <c r="N31" s="8">
        <f t="shared" si="1"/>
        <v>16.559999999999999</v>
      </c>
    </row>
    <row r="32" spans="1:17" x14ac:dyDescent="0.2">
      <c r="E32" s="10"/>
      <c r="H32">
        <v>1</v>
      </c>
      <c r="I32" t="s">
        <v>252</v>
      </c>
      <c r="J32">
        <v>5.7</v>
      </c>
      <c r="K32">
        <v>4.3</v>
      </c>
      <c r="L32">
        <v>3.2</v>
      </c>
      <c r="M32">
        <v>8.3000000000000007</v>
      </c>
      <c r="N32" s="8">
        <f t="shared" si="1"/>
        <v>26.560000000000002</v>
      </c>
    </row>
    <row r="33" spans="1:17" x14ac:dyDescent="0.2">
      <c r="E33" s="10"/>
      <c r="H33">
        <v>1</v>
      </c>
      <c r="I33" t="s">
        <v>254</v>
      </c>
      <c r="J33">
        <v>4.2</v>
      </c>
      <c r="K33">
        <v>2.9</v>
      </c>
      <c r="L33">
        <v>3</v>
      </c>
      <c r="M33">
        <v>2.2999999999999998</v>
      </c>
      <c r="N33" s="8">
        <f t="shared" si="1"/>
        <v>6.8999999999999995</v>
      </c>
    </row>
    <row r="34" spans="1:17" x14ac:dyDescent="0.2">
      <c r="E34" s="10"/>
      <c r="H34">
        <v>1</v>
      </c>
      <c r="I34" t="s">
        <v>253</v>
      </c>
      <c r="J34">
        <v>4.3</v>
      </c>
      <c r="K34">
        <v>2.7</v>
      </c>
      <c r="L34">
        <v>2.2999999999999998</v>
      </c>
      <c r="M34">
        <v>4.9000000000000004</v>
      </c>
      <c r="N34" s="8">
        <f t="shared" si="1"/>
        <v>11.27</v>
      </c>
    </row>
    <row r="35" spans="1:17" x14ac:dyDescent="0.2">
      <c r="E35" s="10"/>
      <c r="H35">
        <v>1</v>
      </c>
      <c r="I35" t="s">
        <v>171</v>
      </c>
      <c r="J35">
        <v>6.2</v>
      </c>
      <c r="K35">
        <v>4</v>
      </c>
      <c r="L35">
        <v>3.6</v>
      </c>
      <c r="M35">
        <v>3.2</v>
      </c>
      <c r="N35" s="8">
        <f t="shared" si="1"/>
        <v>11.520000000000001</v>
      </c>
    </row>
    <row r="36" spans="1:17" x14ac:dyDescent="0.2">
      <c r="E36" s="10"/>
      <c r="H36">
        <v>1</v>
      </c>
      <c r="I36" t="s">
        <v>172</v>
      </c>
      <c r="J36">
        <v>5.9</v>
      </c>
      <c r="K36">
        <v>4.0999999999999996</v>
      </c>
      <c r="L36">
        <v>3.8</v>
      </c>
      <c r="M36">
        <v>4.0999999999999996</v>
      </c>
      <c r="N36" s="8">
        <f t="shared" si="1"/>
        <v>15.579999999999998</v>
      </c>
    </row>
    <row r="37" spans="1:17" x14ac:dyDescent="0.2">
      <c r="E37" s="10"/>
      <c r="H37">
        <v>1</v>
      </c>
      <c r="I37" t="s">
        <v>173</v>
      </c>
      <c r="J37">
        <v>7.7</v>
      </c>
      <c r="K37">
        <v>4.4000000000000004</v>
      </c>
      <c r="L37">
        <v>5.3</v>
      </c>
      <c r="M37">
        <v>1.1000000000000001</v>
      </c>
      <c r="N37" s="8">
        <f t="shared" si="1"/>
        <v>5.83</v>
      </c>
    </row>
    <row r="38" spans="1:17" x14ac:dyDescent="0.2">
      <c r="E38" s="10"/>
      <c r="H38">
        <v>1</v>
      </c>
      <c r="I38" t="s">
        <v>174</v>
      </c>
      <c r="J38">
        <v>5.6</v>
      </c>
      <c r="K38">
        <v>4.0999999999999996</v>
      </c>
      <c r="L38">
        <v>3.5</v>
      </c>
      <c r="M38">
        <v>5.5</v>
      </c>
      <c r="N38" s="8">
        <f t="shared" si="1"/>
        <v>19.25</v>
      </c>
    </row>
    <row r="39" spans="1:17" x14ac:dyDescent="0.2">
      <c r="E39" s="10"/>
      <c r="H39">
        <v>1</v>
      </c>
      <c r="I39" t="s">
        <v>175</v>
      </c>
      <c r="J39">
        <v>6.1</v>
      </c>
      <c r="K39">
        <v>4.5</v>
      </c>
      <c r="L39">
        <v>3.9</v>
      </c>
      <c r="M39">
        <v>4.8</v>
      </c>
      <c r="N39" s="8">
        <f t="shared" si="1"/>
        <v>18.72</v>
      </c>
    </row>
    <row r="40" spans="1:17" x14ac:dyDescent="0.2">
      <c r="E40" s="10"/>
      <c r="H40">
        <v>1</v>
      </c>
      <c r="I40" t="s">
        <v>176</v>
      </c>
      <c r="J40">
        <v>4.5</v>
      </c>
      <c r="K40">
        <v>3</v>
      </c>
      <c r="L40">
        <v>3.1</v>
      </c>
      <c r="M40">
        <v>1.8</v>
      </c>
      <c r="N40" s="8">
        <f t="shared" si="1"/>
        <v>5.58</v>
      </c>
    </row>
    <row r="41" spans="1:17" x14ac:dyDescent="0.2">
      <c r="E41" s="10"/>
      <c r="H41">
        <v>1</v>
      </c>
      <c r="I41" t="s">
        <v>302</v>
      </c>
      <c r="J41">
        <v>5.4</v>
      </c>
      <c r="K41">
        <v>4.2</v>
      </c>
      <c r="L41">
        <v>3.8</v>
      </c>
      <c r="M41">
        <v>2.2999999999999998</v>
      </c>
      <c r="N41" s="8">
        <f t="shared" si="1"/>
        <v>8.7399999999999984</v>
      </c>
    </row>
    <row r="42" spans="1:17" x14ac:dyDescent="0.2">
      <c r="E42" s="10"/>
      <c r="H42">
        <v>1</v>
      </c>
      <c r="I42" t="s">
        <v>247</v>
      </c>
      <c r="J42">
        <v>7.6</v>
      </c>
      <c r="K42">
        <v>5.5</v>
      </c>
      <c r="L42">
        <v>4</v>
      </c>
      <c r="M42">
        <v>5.7</v>
      </c>
      <c r="N42" s="8">
        <f t="shared" si="1"/>
        <v>22.8</v>
      </c>
    </row>
    <row r="43" spans="1:17" x14ac:dyDescent="0.2">
      <c r="E43" s="10"/>
      <c r="H43">
        <v>1</v>
      </c>
      <c r="I43" t="s">
        <v>248</v>
      </c>
      <c r="J43">
        <v>4</v>
      </c>
      <c r="K43">
        <v>3</v>
      </c>
      <c r="L43">
        <v>2.8</v>
      </c>
      <c r="M43">
        <v>3.3</v>
      </c>
      <c r="N43" s="8">
        <f t="shared" si="1"/>
        <v>9.2399999999999984</v>
      </c>
    </row>
    <row r="44" spans="1:17" x14ac:dyDescent="0.2">
      <c r="E44" s="10"/>
      <c r="H44">
        <v>1</v>
      </c>
      <c r="I44" t="s">
        <v>249</v>
      </c>
      <c r="J44">
        <v>3.7</v>
      </c>
      <c r="K44">
        <v>3.1</v>
      </c>
      <c r="L44">
        <v>2.8</v>
      </c>
      <c r="M44">
        <v>2.2999999999999998</v>
      </c>
      <c r="N44" s="8">
        <f t="shared" si="1"/>
        <v>6.4399999999999995</v>
      </c>
    </row>
    <row r="45" spans="1:17" x14ac:dyDescent="0.2">
      <c r="E45" s="10"/>
      <c r="H45">
        <v>1</v>
      </c>
      <c r="I45" t="s">
        <v>250</v>
      </c>
      <c r="J45">
        <v>3.3</v>
      </c>
      <c r="K45">
        <v>2.4</v>
      </c>
      <c r="L45">
        <v>1.9</v>
      </c>
      <c r="M45">
        <v>4</v>
      </c>
      <c r="N45" s="8">
        <f t="shared" si="1"/>
        <v>7.6</v>
      </c>
    </row>
    <row r="46" spans="1:17" x14ac:dyDescent="0.2">
      <c r="E46" s="10"/>
      <c r="G46">
        <v>25</v>
      </c>
      <c r="H46">
        <v>1</v>
      </c>
      <c r="I46" t="s">
        <v>218</v>
      </c>
      <c r="J46">
        <v>3.8</v>
      </c>
      <c r="K46">
        <v>2.8</v>
      </c>
      <c r="L46">
        <v>2.2000000000000002</v>
      </c>
      <c r="M46">
        <v>8.5</v>
      </c>
      <c r="N46" s="8">
        <f t="shared" si="1"/>
        <v>18.700000000000003</v>
      </c>
    </row>
    <row r="48" spans="1:17" x14ac:dyDescent="0.2">
      <c r="A48">
        <v>9</v>
      </c>
      <c r="B48" t="s">
        <v>36</v>
      </c>
      <c r="C48" s="1">
        <v>21637</v>
      </c>
      <c r="D48" s="1">
        <v>43486</v>
      </c>
      <c r="E48" s="10">
        <v>59</v>
      </c>
      <c r="F48" t="s">
        <v>13</v>
      </c>
      <c r="H48">
        <v>1</v>
      </c>
      <c r="I48" t="s">
        <v>217</v>
      </c>
      <c r="J48">
        <v>4.8</v>
      </c>
      <c r="K48">
        <v>3.4</v>
      </c>
      <c r="L48">
        <v>2.8</v>
      </c>
      <c r="M48">
        <v>3.9</v>
      </c>
      <c r="N48" s="8">
        <f t="shared" ref="N48:N63" si="2">(L48*M48)</f>
        <v>10.92</v>
      </c>
      <c r="P48">
        <v>1.3</v>
      </c>
      <c r="Q48">
        <v>1.3</v>
      </c>
    </row>
    <row r="49" spans="5:14" x14ac:dyDescent="0.2">
      <c r="E49" s="10"/>
      <c r="H49">
        <v>1</v>
      </c>
      <c r="I49" t="s">
        <v>179</v>
      </c>
      <c r="J49">
        <v>5.2</v>
      </c>
      <c r="K49">
        <v>3.4</v>
      </c>
      <c r="L49">
        <v>3.1</v>
      </c>
      <c r="M49">
        <v>2</v>
      </c>
      <c r="N49" s="8">
        <f t="shared" si="2"/>
        <v>6.2</v>
      </c>
    </row>
    <row r="50" spans="5:14" x14ac:dyDescent="0.2">
      <c r="E50" s="10"/>
      <c r="H50">
        <v>1</v>
      </c>
      <c r="I50" t="s">
        <v>235</v>
      </c>
      <c r="J50">
        <v>5.4</v>
      </c>
      <c r="K50">
        <v>3.8</v>
      </c>
      <c r="L50">
        <v>3.1</v>
      </c>
      <c r="M50">
        <v>3.7</v>
      </c>
      <c r="N50" s="8">
        <f t="shared" si="2"/>
        <v>11.47</v>
      </c>
    </row>
    <row r="51" spans="5:14" x14ac:dyDescent="0.2">
      <c r="E51" s="10"/>
      <c r="H51">
        <v>1</v>
      </c>
      <c r="I51" t="s">
        <v>263</v>
      </c>
      <c r="J51">
        <v>8</v>
      </c>
      <c r="K51">
        <v>4.5999999999999996</v>
      </c>
      <c r="L51">
        <v>4.5</v>
      </c>
      <c r="M51">
        <v>1.8</v>
      </c>
      <c r="N51" s="8">
        <f t="shared" si="2"/>
        <v>8.1</v>
      </c>
    </row>
    <row r="52" spans="5:14" x14ac:dyDescent="0.2">
      <c r="E52" s="10"/>
      <c r="H52">
        <v>1</v>
      </c>
      <c r="I52" t="s">
        <v>264</v>
      </c>
      <c r="J52">
        <v>11.3</v>
      </c>
      <c r="K52">
        <v>7.1</v>
      </c>
      <c r="L52">
        <v>6.4</v>
      </c>
      <c r="M52">
        <v>2.2000000000000002</v>
      </c>
      <c r="N52" s="8">
        <f t="shared" si="2"/>
        <v>14.080000000000002</v>
      </c>
    </row>
    <row r="53" spans="5:14" x14ac:dyDescent="0.2">
      <c r="E53" s="10"/>
      <c r="H53">
        <v>1</v>
      </c>
      <c r="I53" t="s">
        <v>265</v>
      </c>
      <c r="J53">
        <v>6.4</v>
      </c>
      <c r="K53">
        <v>4.3</v>
      </c>
      <c r="L53">
        <v>3.5</v>
      </c>
      <c r="M53">
        <v>3</v>
      </c>
      <c r="N53" s="8">
        <f>(L53*M53)</f>
        <v>10.5</v>
      </c>
    </row>
    <row r="54" spans="5:14" x14ac:dyDescent="0.2">
      <c r="E54" s="10"/>
      <c r="H54">
        <v>1</v>
      </c>
      <c r="I54" t="s">
        <v>213</v>
      </c>
      <c r="J54">
        <v>11.2</v>
      </c>
      <c r="K54">
        <v>8.5</v>
      </c>
      <c r="L54">
        <v>6.3</v>
      </c>
      <c r="M54">
        <v>5.0999999999999996</v>
      </c>
      <c r="N54" s="8">
        <f t="shared" si="2"/>
        <v>32.129999999999995</v>
      </c>
    </row>
    <row r="55" spans="5:14" x14ac:dyDescent="0.2">
      <c r="E55" s="10"/>
      <c r="H55">
        <v>1</v>
      </c>
      <c r="I55" t="s">
        <v>266</v>
      </c>
      <c r="J55">
        <v>6.1</v>
      </c>
      <c r="K55">
        <v>4.0999999999999996</v>
      </c>
      <c r="L55">
        <v>4</v>
      </c>
      <c r="M55">
        <v>1.3</v>
      </c>
      <c r="N55" s="8">
        <f t="shared" si="2"/>
        <v>5.2</v>
      </c>
    </row>
    <row r="56" spans="5:14" x14ac:dyDescent="0.2">
      <c r="E56" s="10"/>
      <c r="H56">
        <v>1</v>
      </c>
      <c r="I56" t="s">
        <v>180</v>
      </c>
      <c r="J56">
        <v>6</v>
      </c>
      <c r="K56">
        <v>4.3</v>
      </c>
      <c r="L56">
        <v>4.2</v>
      </c>
      <c r="M56">
        <v>1.4</v>
      </c>
      <c r="N56" s="8">
        <f t="shared" si="2"/>
        <v>5.88</v>
      </c>
    </row>
    <row r="57" spans="5:14" x14ac:dyDescent="0.2">
      <c r="E57" s="10"/>
      <c r="H57">
        <v>1</v>
      </c>
      <c r="I57" t="s">
        <v>181</v>
      </c>
      <c r="J57">
        <v>3.6</v>
      </c>
      <c r="K57">
        <v>2.5</v>
      </c>
      <c r="L57">
        <v>2.2999999999999998</v>
      </c>
      <c r="M57">
        <v>2.2999999999999998</v>
      </c>
      <c r="N57" s="8">
        <f t="shared" si="2"/>
        <v>5.2899999999999991</v>
      </c>
    </row>
    <row r="58" spans="5:14" x14ac:dyDescent="0.2">
      <c r="E58" s="10"/>
      <c r="H58">
        <v>1</v>
      </c>
      <c r="I58" t="s">
        <v>183</v>
      </c>
      <c r="J58">
        <v>5.2</v>
      </c>
      <c r="K58">
        <v>3.1</v>
      </c>
      <c r="L58">
        <v>3</v>
      </c>
      <c r="M58">
        <v>2.9</v>
      </c>
      <c r="N58" s="8">
        <f t="shared" si="2"/>
        <v>8.6999999999999993</v>
      </c>
    </row>
    <row r="59" spans="5:14" x14ac:dyDescent="0.2">
      <c r="E59" s="10"/>
      <c r="H59">
        <v>1</v>
      </c>
      <c r="I59" t="s">
        <v>184</v>
      </c>
      <c r="J59">
        <v>4.8</v>
      </c>
      <c r="K59">
        <v>3.1</v>
      </c>
      <c r="L59">
        <v>3</v>
      </c>
      <c r="M59">
        <v>1.9</v>
      </c>
      <c r="N59" s="8">
        <f t="shared" si="2"/>
        <v>5.6999999999999993</v>
      </c>
    </row>
    <row r="60" spans="5:14" x14ac:dyDescent="0.2">
      <c r="E60" s="10"/>
      <c r="H60">
        <v>1</v>
      </c>
      <c r="I60" t="s">
        <v>177</v>
      </c>
      <c r="J60">
        <v>5.0999999999999996</v>
      </c>
      <c r="K60">
        <v>3.3</v>
      </c>
      <c r="L60">
        <v>3.1</v>
      </c>
      <c r="M60">
        <v>2.2999999999999998</v>
      </c>
      <c r="N60" s="8">
        <f t="shared" si="2"/>
        <v>7.13</v>
      </c>
    </row>
    <row r="61" spans="5:14" x14ac:dyDescent="0.2">
      <c r="E61" s="10"/>
      <c r="H61">
        <v>1</v>
      </c>
      <c r="I61" t="s">
        <v>158</v>
      </c>
      <c r="J61">
        <v>4.9000000000000004</v>
      </c>
      <c r="K61">
        <v>3.2</v>
      </c>
      <c r="L61">
        <v>3</v>
      </c>
      <c r="M61">
        <v>2.2000000000000002</v>
      </c>
      <c r="N61" s="8">
        <f t="shared" si="2"/>
        <v>6.6000000000000005</v>
      </c>
    </row>
    <row r="62" spans="5:14" x14ac:dyDescent="0.2">
      <c r="E62" s="10"/>
      <c r="H62">
        <v>1</v>
      </c>
      <c r="I62" t="s">
        <v>178</v>
      </c>
      <c r="J62">
        <v>5</v>
      </c>
      <c r="K62">
        <v>3.3</v>
      </c>
      <c r="L62">
        <v>3.1</v>
      </c>
      <c r="M62">
        <v>2.2000000000000002</v>
      </c>
      <c r="N62" s="8">
        <f t="shared" si="2"/>
        <v>6.8200000000000012</v>
      </c>
    </row>
    <row r="63" spans="5:14" x14ac:dyDescent="0.2">
      <c r="E63" s="10"/>
      <c r="G63">
        <v>16</v>
      </c>
      <c r="H63">
        <v>1</v>
      </c>
      <c r="I63" t="s">
        <v>192</v>
      </c>
      <c r="J63">
        <v>3.9</v>
      </c>
      <c r="K63">
        <v>3</v>
      </c>
      <c r="L63">
        <v>2.9</v>
      </c>
      <c r="M63">
        <v>2.5</v>
      </c>
      <c r="N63" s="8">
        <f t="shared" si="2"/>
        <v>7.25</v>
      </c>
    </row>
    <row r="65" spans="1:17" x14ac:dyDescent="0.2">
      <c r="A65">
        <v>12</v>
      </c>
      <c r="B65" t="s">
        <v>51</v>
      </c>
      <c r="C65" s="1">
        <v>23985</v>
      </c>
      <c r="D65" s="1">
        <v>43514</v>
      </c>
      <c r="E65" s="10">
        <v>53</v>
      </c>
      <c r="F65" t="s">
        <v>57</v>
      </c>
      <c r="H65">
        <v>1</v>
      </c>
      <c r="I65" t="s">
        <v>187</v>
      </c>
      <c r="J65">
        <v>4.4000000000000004</v>
      </c>
      <c r="K65">
        <v>2.9</v>
      </c>
      <c r="L65">
        <v>2.7</v>
      </c>
      <c r="M65">
        <v>1.8</v>
      </c>
      <c r="N65" s="8">
        <f>(L65*M65)</f>
        <v>4.8600000000000003</v>
      </c>
      <c r="P65">
        <v>1.2</v>
      </c>
      <c r="Q65">
        <v>1.3</v>
      </c>
    </row>
    <row r="66" spans="1:17" x14ac:dyDescent="0.2">
      <c r="E66" s="10"/>
      <c r="H66">
        <v>1</v>
      </c>
      <c r="I66" t="s">
        <v>305</v>
      </c>
      <c r="J66">
        <v>4.3</v>
      </c>
      <c r="K66">
        <v>2.6</v>
      </c>
      <c r="L66">
        <v>2.5</v>
      </c>
      <c r="M66">
        <v>2</v>
      </c>
      <c r="N66" s="8">
        <f>(L66*M66)</f>
        <v>5</v>
      </c>
    </row>
    <row r="67" spans="1:17" x14ac:dyDescent="0.2">
      <c r="E67" s="10"/>
      <c r="G67">
        <v>3</v>
      </c>
      <c r="H67">
        <v>1</v>
      </c>
      <c r="I67" t="s">
        <v>306</v>
      </c>
      <c r="J67">
        <v>4.5999999999999996</v>
      </c>
      <c r="K67">
        <v>2.6</v>
      </c>
      <c r="L67">
        <v>2.8</v>
      </c>
      <c r="M67">
        <v>2.1</v>
      </c>
      <c r="N67" s="8">
        <f>(L67*M67)</f>
        <v>5.88</v>
      </c>
    </row>
    <row r="69" spans="1:17" x14ac:dyDescent="0.2">
      <c r="A69">
        <v>19</v>
      </c>
      <c r="B69" t="s">
        <v>78</v>
      </c>
      <c r="C69" s="1">
        <v>18859</v>
      </c>
      <c r="D69" s="1">
        <v>43647</v>
      </c>
      <c r="E69" s="10">
        <v>67</v>
      </c>
      <c r="F69" t="s">
        <v>13</v>
      </c>
      <c r="H69">
        <v>1</v>
      </c>
      <c r="I69" t="s">
        <v>198</v>
      </c>
      <c r="J69">
        <v>7.1</v>
      </c>
      <c r="K69">
        <v>3.9</v>
      </c>
      <c r="L69">
        <v>3.5</v>
      </c>
      <c r="M69">
        <v>6.9</v>
      </c>
      <c r="N69" s="8">
        <f t="shared" ref="N69:N84" si="3">(L69*M69)</f>
        <v>24.150000000000002</v>
      </c>
      <c r="P69">
        <v>1</v>
      </c>
      <c r="Q69">
        <v>1</v>
      </c>
    </row>
    <row r="70" spans="1:17" x14ac:dyDescent="0.2">
      <c r="E70" s="10"/>
      <c r="H70">
        <v>1</v>
      </c>
      <c r="I70" t="s">
        <v>150</v>
      </c>
      <c r="J70">
        <v>7.6</v>
      </c>
      <c r="K70">
        <v>5.2</v>
      </c>
      <c r="L70">
        <v>4.2</v>
      </c>
      <c r="M70">
        <v>14.7</v>
      </c>
      <c r="N70" s="8">
        <f t="shared" si="3"/>
        <v>61.74</v>
      </c>
    </row>
    <row r="71" spans="1:17" x14ac:dyDescent="0.2">
      <c r="E71" s="10"/>
      <c r="H71">
        <v>1</v>
      </c>
      <c r="I71" t="s">
        <v>199</v>
      </c>
      <c r="J71">
        <v>7.2</v>
      </c>
      <c r="K71">
        <v>5.6</v>
      </c>
      <c r="L71">
        <v>4.2</v>
      </c>
      <c r="M71">
        <v>6.7</v>
      </c>
      <c r="N71" s="8">
        <f t="shared" si="3"/>
        <v>28.14</v>
      </c>
    </row>
    <row r="72" spans="1:17" x14ac:dyDescent="0.2">
      <c r="E72" s="10"/>
      <c r="H72">
        <v>1</v>
      </c>
      <c r="I72" t="s">
        <v>189</v>
      </c>
      <c r="J72">
        <v>7.9</v>
      </c>
      <c r="K72">
        <v>5.7</v>
      </c>
      <c r="L72">
        <v>4.5</v>
      </c>
      <c r="M72">
        <v>12</v>
      </c>
      <c r="N72" s="8">
        <f t="shared" si="3"/>
        <v>54</v>
      </c>
    </row>
    <row r="73" spans="1:17" x14ac:dyDescent="0.2">
      <c r="E73" s="10"/>
      <c r="H73">
        <v>1</v>
      </c>
      <c r="I73" t="s">
        <v>200</v>
      </c>
      <c r="J73">
        <v>5</v>
      </c>
      <c r="K73">
        <v>3.6</v>
      </c>
      <c r="L73">
        <v>2.9</v>
      </c>
      <c r="M73">
        <v>6.8</v>
      </c>
      <c r="N73" s="8">
        <f t="shared" si="3"/>
        <v>19.72</v>
      </c>
    </row>
    <row r="74" spans="1:17" x14ac:dyDescent="0.2">
      <c r="E74" s="10"/>
      <c r="H74">
        <v>1</v>
      </c>
      <c r="I74" t="s">
        <v>201</v>
      </c>
      <c r="J74">
        <v>4.7</v>
      </c>
      <c r="K74">
        <v>3.9</v>
      </c>
      <c r="L74">
        <v>3</v>
      </c>
      <c r="M74">
        <v>7.2</v>
      </c>
      <c r="N74" s="8">
        <f t="shared" si="3"/>
        <v>21.6</v>
      </c>
    </row>
    <row r="75" spans="1:17" x14ac:dyDescent="0.2">
      <c r="E75" s="10"/>
      <c r="H75">
        <v>1</v>
      </c>
      <c r="I75" t="s">
        <v>202</v>
      </c>
      <c r="J75">
        <v>9.4</v>
      </c>
      <c r="K75">
        <v>6</v>
      </c>
      <c r="L75">
        <v>5.6</v>
      </c>
      <c r="M75">
        <v>4.5999999999999996</v>
      </c>
      <c r="N75" s="8">
        <f t="shared" si="3"/>
        <v>25.759999999999998</v>
      </c>
    </row>
    <row r="76" spans="1:17" x14ac:dyDescent="0.2">
      <c r="E76" s="10"/>
      <c r="H76">
        <v>1</v>
      </c>
      <c r="I76" t="s">
        <v>203</v>
      </c>
      <c r="J76">
        <v>4.4000000000000004</v>
      </c>
      <c r="K76">
        <v>2.6</v>
      </c>
      <c r="L76">
        <v>3.1</v>
      </c>
      <c r="M76">
        <v>1.4</v>
      </c>
      <c r="N76" s="8">
        <f t="shared" si="3"/>
        <v>4.34</v>
      </c>
    </row>
    <row r="77" spans="1:17" x14ac:dyDescent="0.2">
      <c r="E77" s="10"/>
      <c r="H77">
        <v>1</v>
      </c>
      <c r="I77" t="s">
        <v>186</v>
      </c>
      <c r="J77">
        <v>7.7</v>
      </c>
      <c r="K77">
        <v>5</v>
      </c>
      <c r="L77">
        <v>4.3</v>
      </c>
      <c r="M77">
        <v>3.9</v>
      </c>
      <c r="N77" s="8">
        <f t="shared" si="3"/>
        <v>16.77</v>
      </c>
    </row>
    <row r="78" spans="1:17" x14ac:dyDescent="0.2">
      <c r="E78" s="10"/>
      <c r="H78">
        <v>1</v>
      </c>
      <c r="I78" t="s">
        <v>278</v>
      </c>
      <c r="J78">
        <v>5</v>
      </c>
      <c r="K78">
        <v>2.1</v>
      </c>
      <c r="L78">
        <v>3.1</v>
      </c>
      <c r="M78">
        <v>1.1000000000000001</v>
      </c>
      <c r="N78" s="8">
        <f t="shared" si="3"/>
        <v>3.4100000000000006</v>
      </c>
    </row>
    <row r="79" spans="1:17" x14ac:dyDescent="0.2">
      <c r="E79" s="10"/>
      <c r="H79">
        <v>1</v>
      </c>
      <c r="I79" t="s">
        <v>204</v>
      </c>
      <c r="J79">
        <v>11.7</v>
      </c>
      <c r="K79">
        <v>7.4</v>
      </c>
      <c r="L79">
        <v>7.6</v>
      </c>
      <c r="M79">
        <v>4.5</v>
      </c>
      <c r="N79" s="8">
        <f t="shared" si="3"/>
        <v>34.199999999999996</v>
      </c>
    </row>
    <row r="80" spans="1:17" x14ac:dyDescent="0.2">
      <c r="E80" s="10"/>
      <c r="H80">
        <v>1</v>
      </c>
      <c r="I80" t="s">
        <v>205</v>
      </c>
      <c r="J80">
        <v>12.3</v>
      </c>
      <c r="K80">
        <v>8.1999999999999993</v>
      </c>
      <c r="L80">
        <v>7.5</v>
      </c>
      <c r="M80">
        <v>2.4</v>
      </c>
      <c r="N80" s="8">
        <f t="shared" si="3"/>
        <v>18</v>
      </c>
    </row>
    <row r="81" spans="1:17" x14ac:dyDescent="0.2">
      <c r="E81" s="10"/>
      <c r="H81">
        <v>1</v>
      </c>
      <c r="I81" t="s">
        <v>206</v>
      </c>
      <c r="J81">
        <v>10</v>
      </c>
      <c r="K81">
        <v>5.7</v>
      </c>
      <c r="L81">
        <v>6.3</v>
      </c>
      <c r="M81">
        <v>1.4</v>
      </c>
      <c r="N81" s="8">
        <f t="shared" si="3"/>
        <v>8.8199999999999985</v>
      </c>
    </row>
    <row r="82" spans="1:17" x14ac:dyDescent="0.2">
      <c r="E82" s="10"/>
      <c r="H82">
        <v>1</v>
      </c>
      <c r="I82" t="s">
        <v>207</v>
      </c>
      <c r="J82">
        <v>7.4</v>
      </c>
      <c r="K82">
        <v>4.2</v>
      </c>
      <c r="L82">
        <v>4.4000000000000004</v>
      </c>
      <c r="M82">
        <v>4.8</v>
      </c>
      <c r="N82" s="8">
        <f t="shared" si="3"/>
        <v>21.12</v>
      </c>
    </row>
    <row r="83" spans="1:17" x14ac:dyDescent="0.2">
      <c r="E83" s="10"/>
      <c r="H83">
        <v>1</v>
      </c>
      <c r="I83" t="s">
        <v>115</v>
      </c>
      <c r="J83">
        <v>6.5</v>
      </c>
      <c r="K83">
        <v>4</v>
      </c>
      <c r="L83">
        <v>3.4</v>
      </c>
      <c r="M83">
        <v>18.600000000000001</v>
      </c>
      <c r="N83" s="8">
        <f t="shared" si="3"/>
        <v>63.24</v>
      </c>
    </row>
    <row r="84" spans="1:17" x14ac:dyDescent="0.2">
      <c r="E84" s="10"/>
      <c r="G84">
        <v>16</v>
      </c>
      <c r="H84">
        <v>1</v>
      </c>
      <c r="I84" t="s">
        <v>168</v>
      </c>
      <c r="J84">
        <v>51</v>
      </c>
      <c r="K84">
        <v>3.1</v>
      </c>
      <c r="L84">
        <v>2.5</v>
      </c>
      <c r="M84">
        <v>9.3000000000000007</v>
      </c>
      <c r="N84" s="8">
        <f t="shared" si="3"/>
        <v>23.25</v>
      </c>
    </row>
    <row r="86" spans="1:17" x14ac:dyDescent="0.2">
      <c r="A86">
        <v>21</v>
      </c>
      <c r="B86" t="s">
        <v>311</v>
      </c>
      <c r="C86" s="1">
        <v>25148</v>
      </c>
      <c r="D86" s="1">
        <v>43752</v>
      </c>
      <c r="E86" s="10">
        <v>50</v>
      </c>
      <c r="F86" t="s">
        <v>13</v>
      </c>
      <c r="H86">
        <v>1</v>
      </c>
      <c r="I86" t="s">
        <v>314</v>
      </c>
      <c r="J86">
        <v>7.7</v>
      </c>
      <c r="K86">
        <v>4.3</v>
      </c>
      <c r="L86">
        <v>4.7</v>
      </c>
      <c r="M86">
        <v>1.5</v>
      </c>
      <c r="N86" s="8">
        <f>(L86*M86)</f>
        <v>7.0500000000000007</v>
      </c>
      <c r="P86">
        <v>0.8</v>
      </c>
      <c r="Q86">
        <v>0.8</v>
      </c>
    </row>
    <row r="87" spans="1:17" x14ac:dyDescent="0.2">
      <c r="E87" s="10"/>
      <c r="H87">
        <v>1</v>
      </c>
      <c r="I87" t="s">
        <v>315</v>
      </c>
      <c r="J87">
        <v>7.9</v>
      </c>
      <c r="K87">
        <v>4.7</v>
      </c>
      <c r="L87">
        <v>4.5999999999999996</v>
      </c>
      <c r="M87">
        <v>1.9</v>
      </c>
      <c r="N87" s="8">
        <f>(L87*M87)</f>
        <v>8.7399999999999984</v>
      </c>
    </row>
    <row r="88" spans="1:17" x14ac:dyDescent="0.2">
      <c r="E88" s="10"/>
      <c r="H88">
        <v>1</v>
      </c>
      <c r="I88" t="s">
        <v>186</v>
      </c>
      <c r="J88">
        <v>8.4</v>
      </c>
      <c r="K88">
        <v>5.0999999999999996</v>
      </c>
      <c r="L88">
        <v>4.7</v>
      </c>
      <c r="M88">
        <v>4.8</v>
      </c>
      <c r="N88" s="8">
        <f>(L88*M88)</f>
        <v>22.56</v>
      </c>
    </row>
    <row r="89" spans="1:17" x14ac:dyDescent="0.2">
      <c r="E89" s="10"/>
      <c r="G89">
        <v>4</v>
      </c>
      <c r="H89">
        <v>1</v>
      </c>
      <c r="I89" t="s">
        <v>158</v>
      </c>
      <c r="J89">
        <v>5.4</v>
      </c>
      <c r="K89">
        <v>3</v>
      </c>
      <c r="L89">
        <v>2.8</v>
      </c>
      <c r="M89">
        <v>5.4</v>
      </c>
      <c r="N89" s="8">
        <f>(L89*M89)</f>
        <v>15.12</v>
      </c>
    </row>
  </sheetData>
  <pageMargins left="0.7" right="0.7" top="0.78740157499999996" bottom="0.78740157499999996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Q112"/>
  <sheetViews>
    <sheetView workbookViewId="0">
      <pane ySplit="1" topLeftCell="A2" activePane="bottomLeft" state="frozen"/>
      <selection activeCell="E1" sqref="E1"/>
      <selection pane="bottomLeft" activeCell="E112" sqref="E112"/>
    </sheetView>
  </sheetViews>
  <sheetFormatPr baseColWidth="10" defaultRowHeight="15" x14ac:dyDescent="0.2"/>
  <sheetData>
    <row r="1" spans="1:17" x14ac:dyDescent="0.2">
      <c r="B1" t="s">
        <v>0</v>
      </c>
      <c r="C1" t="s">
        <v>1</v>
      </c>
      <c r="D1" t="s">
        <v>2</v>
      </c>
      <c r="E1" s="10" t="s">
        <v>317</v>
      </c>
      <c r="F1" t="s">
        <v>3</v>
      </c>
      <c r="H1" s="6" t="s">
        <v>95</v>
      </c>
      <c r="I1" t="s">
        <v>96</v>
      </c>
      <c r="J1" s="6" t="s">
        <v>145</v>
      </c>
      <c r="K1" s="6" t="s">
        <v>102</v>
      </c>
      <c r="L1" s="6" t="s">
        <v>98</v>
      </c>
      <c r="M1" s="6" t="s">
        <v>99</v>
      </c>
      <c r="N1" s="6" t="s">
        <v>100</v>
      </c>
      <c r="P1" s="6" t="s">
        <v>320</v>
      </c>
      <c r="Q1" s="6" t="s">
        <v>321</v>
      </c>
    </row>
    <row r="2" spans="1:17" x14ac:dyDescent="0.2">
      <c r="A2">
        <v>2</v>
      </c>
      <c r="B2" s="7" t="s">
        <v>19</v>
      </c>
      <c r="C2" s="1">
        <v>30062</v>
      </c>
      <c r="D2" s="1">
        <v>43423</v>
      </c>
      <c r="E2" s="10">
        <v>36</v>
      </c>
      <c r="F2" t="s">
        <v>16</v>
      </c>
      <c r="H2">
        <v>1</v>
      </c>
      <c r="I2" t="s">
        <v>156</v>
      </c>
      <c r="J2">
        <v>4</v>
      </c>
      <c r="K2">
        <v>3</v>
      </c>
      <c r="L2">
        <v>2.7</v>
      </c>
      <c r="M2">
        <v>2.6</v>
      </c>
      <c r="N2" s="8">
        <f t="shared" ref="N2:N17" si="0">(L2*M2)</f>
        <v>7.0200000000000005</v>
      </c>
      <c r="P2">
        <v>1</v>
      </c>
      <c r="Q2">
        <v>1</v>
      </c>
    </row>
    <row r="3" spans="1:17" x14ac:dyDescent="0.2">
      <c r="E3" s="10"/>
      <c r="H3">
        <v>1</v>
      </c>
      <c r="I3" s="9" t="s">
        <v>236</v>
      </c>
      <c r="J3">
        <v>4.5</v>
      </c>
      <c r="K3">
        <v>3.2</v>
      </c>
      <c r="L3">
        <v>2.7</v>
      </c>
      <c r="M3">
        <v>4.0999999999999996</v>
      </c>
      <c r="N3" s="8">
        <f t="shared" si="0"/>
        <v>11.07</v>
      </c>
    </row>
    <row r="4" spans="1:17" x14ac:dyDescent="0.2">
      <c r="E4" s="10"/>
      <c r="H4">
        <v>1</v>
      </c>
      <c r="I4" s="9" t="s">
        <v>237</v>
      </c>
      <c r="J4">
        <v>5</v>
      </c>
      <c r="K4">
        <v>3.9</v>
      </c>
      <c r="L4">
        <v>3.9</v>
      </c>
      <c r="M4">
        <v>2.1</v>
      </c>
      <c r="N4" s="8">
        <f t="shared" si="0"/>
        <v>8.19</v>
      </c>
    </row>
    <row r="5" spans="1:17" x14ac:dyDescent="0.2">
      <c r="E5" s="10"/>
      <c r="H5">
        <v>1</v>
      </c>
      <c r="I5" s="9" t="s">
        <v>238</v>
      </c>
      <c r="J5">
        <v>7.3</v>
      </c>
      <c r="K5">
        <v>4.2</v>
      </c>
      <c r="L5">
        <v>4.2</v>
      </c>
      <c r="M5">
        <v>1.8</v>
      </c>
      <c r="N5" s="8">
        <f t="shared" si="0"/>
        <v>7.5600000000000005</v>
      </c>
    </row>
    <row r="6" spans="1:17" x14ac:dyDescent="0.2">
      <c r="E6" s="10"/>
      <c r="H6">
        <v>1</v>
      </c>
      <c r="I6" s="9" t="s">
        <v>239</v>
      </c>
      <c r="J6">
        <v>7</v>
      </c>
      <c r="K6">
        <v>4.2</v>
      </c>
      <c r="L6">
        <v>3.7</v>
      </c>
      <c r="M6">
        <v>3.7</v>
      </c>
      <c r="N6" s="8">
        <f t="shared" si="0"/>
        <v>13.690000000000001</v>
      </c>
    </row>
    <row r="7" spans="1:17" x14ac:dyDescent="0.2">
      <c r="E7" s="10"/>
      <c r="H7">
        <v>1</v>
      </c>
      <c r="I7" t="s">
        <v>157</v>
      </c>
      <c r="J7">
        <v>5.7</v>
      </c>
      <c r="K7">
        <v>3.7</v>
      </c>
      <c r="L7">
        <v>3.6</v>
      </c>
      <c r="M7">
        <v>2</v>
      </c>
      <c r="N7" s="8">
        <f t="shared" si="0"/>
        <v>7.2</v>
      </c>
    </row>
    <row r="8" spans="1:17" x14ac:dyDescent="0.2">
      <c r="E8" s="10"/>
      <c r="H8">
        <v>1</v>
      </c>
      <c r="I8" t="s">
        <v>158</v>
      </c>
      <c r="J8">
        <v>4.2</v>
      </c>
      <c r="K8">
        <v>2.9</v>
      </c>
      <c r="L8">
        <v>2.8</v>
      </c>
      <c r="M8">
        <v>1.8</v>
      </c>
      <c r="N8" s="8">
        <f t="shared" si="0"/>
        <v>5.04</v>
      </c>
    </row>
    <row r="9" spans="1:17" x14ac:dyDescent="0.2">
      <c r="E9" s="10"/>
      <c r="H9">
        <v>1</v>
      </c>
      <c r="I9" s="9" t="s">
        <v>240</v>
      </c>
      <c r="J9">
        <v>4.4000000000000004</v>
      </c>
      <c r="K9">
        <v>3.5</v>
      </c>
      <c r="L9">
        <v>3.5</v>
      </c>
      <c r="M9">
        <v>2.1</v>
      </c>
      <c r="N9" s="8">
        <f t="shared" si="0"/>
        <v>7.3500000000000005</v>
      </c>
    </row>
    <row r="10" spans="1:17" x14ac:dyDescent="0.2">
      <c r="E10" s="10"/>
      <c r="H10">
        <v>1</v>
      </c>
      <c r="I10" s="9" t="s">
        <v>229</v>
      </c>
      <c r="J10">
        <v>5.3</v>
      </c>
      <c r="K10">
        <v>2.4</v>
      </c>
      <c r="L10">
        <v>2.1</v>
      </c>
      <c r="M10">
        <v>4.4000000000000004</v>
      </c>
      <c r="N10" s="8">
        <f t="shared" si="0"/>
        <v>9.240000000000002</v>
      </c>
    </row>
    <row r="11" spans="1:17" x14ac:dyDescent="0.2">
      <c r="E11" s="10"/>
      <c r="H11">
        <v>1</v>
      </c>
      <c r="I11" s="9" t="s">
        <v>230</v>
      </c>
      <c r="J11">
        <v>4.0999999999999996</v>
      </c>
      <c r="K11">
        <v>3.5</v>
      </c>
      <c r="L11">
        <v>3.2</v>
      </c>
      <c r="M11">
        <v>2.9</v>
      </c>
      <c r="N11" s="8">
        <f t="shared" si="0"/>
        <v>9.2799999999999994</v>
      </c>
    </row>
    <row r="12" spans="1:17" x14ac:dyDescent="0.2">
      <c r="E12" s="10"/>
      <c r="H12">
        <v>1</v>
      </c>
      <c r="I12" s="9" t="s">
        <v>231</v>
      </c>
      <c r="J12">
        <v>3.2</v>
      </c>
      <c r="K12">
        <v>2.4</v>
      </c>
      <c r="L12">
        <v>2</v>
      </c>
      <c r="M12">
        <v>3.7</v>
      </c>
      <c r="N12" s="8">
        <f t="shared" si="0"/>
        <v>7.4</v>
      </c>
    </row>
    <row r="13" spans="1:17" x14ac:dyDescent="0.2">
      <c r="E13" s="10"/>
      <c r="H13">
        <v>1</v>
      </c>
      <c r="I13" s="9" t="s">
        <v>232</v>
      </c>
      <c r="J13">
        <v>4.2</v>
      </c>
      <c r="K13">
        <v>3.2</v>
      </c>
      <c r="L13">
        <v>2.9</v>
      </c>
      <c r="M13">
        <v>4.3</v>
      </c>
      <c r="N13" s="8">
        <f t="shared" si="0"/>
        <v>12.469999999999999</v>
      </c>
    </row>
    <row r="14" spans="1:17" x14ac:dyDescent="0.2">
      <c r="E14" s="10"/>
      <c r="H14">
        <v>1</v>
      </c>
      <c r="I14" s="9" t="s">
        <v>233</v>
      </c>
      <c r="J14">
        <v>4.4000000000000004</v>
      </c>
      <c r="K14">
        <v>3.5</v>
      </c>
      <c r="L14">
        <v>3.5</v>
      </c>
      <c r="M14">
        <v>2.1</v>
      </c>
      <c r="N14" s="8">
        <f t="shared" si="0"/>
        <v>7.3500000000000005</v>
      </c>
    </row>
    <row r="15" spans="1:17" x14ac:dyDescent="0.2">
      <c r="E15" s="10"/>
      <c r="H15">
        <v>1</v>
      </c>
      <c r="I15" s="9" t="s">
        <v>234</v>
      </c>
      <c r="J15">
        <v>4.8</v>
      </c>
      <c r="K15">
        <v>3.2</v>
      </c>
      <c r="L15">
        <v>2.7</v>
      </c>
      <c r="M15">
        <v>6.2</v>
      </c>
      <c r="N15" s="8">
        <f t="shared" si="0"/>
        <v>16.740000000000002</v>
      </c>
    </row>
    <row r="16" spans="1:17" x14ac:dyDescent="0.2">
      <c r="E16" s="10"/>
      <c r="H16">
        <v>1</v>
      </c>
      <c r="I16" s="9" t="s">
        <v>235</v>
      </c>
      <c r="J16">
        <v>4.5999999999999996</v>
      </c>
      <c r="K16">
        <v>3.6</v>
      </c>
      <c r="L16">
        <v>3</v>
      </c>
      <c r="M16">
        <v>6.4</v>
      </c>
      <c r="N16" s="8">
        <f t="shared" si="0"/>
        <v>19.200000000000003</v>
      </c>
    </row>
    <row r="17" spans="1:17" x14ac:dyDescent="0.2">
      <c r="E17" s="10"/>
      <c r="G17">
        <v>16</v>
      </c>
      <c r="H17">
        <v>1</v>
      </c>
      <c r="I17" s="9" t="s">
        <v>297</v>
      </c>
      <c r="J17">
        <v>4.5999999999999996</v>
      </c>
      <c r="K17">
        <v>3.3</v>
      </c>
      <c r="L17">
        <v>2.5</v>
      </c>
      <c r="M17">
        <v>4.7</v>
      </c>
      <c r="N17" s="8">
        <f t="shared" si="0"/>
        <v>11.75</v>
      </c>
    </row>
    <row r="19" spans="1:17" x14ac:dyDescent="0.2">
      <c r="A19">
        <v>4</v>
      </c>
      <c r="B19" s="7" t="s">
        <v>21</v>
      </c>
      <c r="C19" s="1">
        <v>24418</v>
      </c>
      <c r="D19" s="1">
        <v>43430</v>
      </c>
      <c r="E19" s="10">
        <v>52</v>
      </c>
      <c r="F19" t="s">
        <v>16</v>
      </c>
      <c r="H19">
        <v>1</v>
      </c>
      <c r="I19" t="s">
        <v>243</v>
      </c>
      <c r="J19">
        <v>4.3</v>
      </c>
      <c r="K19">
        <v>3.2</v>
      </c>
      <c r="L19">
        <v>2.4</v>
      </c>
      <c r="M19">
        <v>7.3</v>
      </c>
      <c r="N19" s="8">
        <f t="shared" ref="N19:N27" si="1">(L19*M19)</f>
        <v>17.52</v>
      </c>
      <c r="P19">
        <v>1.3</v>
      </c>
      <c r="Q19">
        <v>1</v>
      </c>
    </row>
    <row r="20" spans="1:17" x14ac:dyDescent="0.2">
      <c r="E20" s="10"/>
      <c r="H20">
        <v>1</v>
      </c>
      <c r="I20" t="s">
        <v>162</v>
      </c>
      <c r="J20">
        <v>4</v>
      </c>
      <c r="K20">
        <v>3.1</v>
      </c>
      <c r="L20">
        <v>2.8</v>
      </c>
      <c r="M20">
        <v>2.2999999999999998</v>
      </c>
      <c r="N20" s="8">
        <f t="shared" si="1"/>
        <v>6.4399999999999995</v>
      </c>
    </row>
    <row r="21" spans="1:17" x14ac:dyDescent="0.2">
      <c r="E21" s="10"/>
      <c r="H21">
        <v>1</v>
      </c>
      <c r="I21" t="s">
        <v>244</v>
      </c>
      <c r="J21">
        <v>4.7</v>
      </c>
      <c r="K21">
        <v>3.5</v>
      </c>
      <c r="L21">
        <v>3.2</v>
      </c>
      <c r="M21">
        <v>2.7</v>
      </c>
      <c r="N21" s="8">
        <f t="shared" si="1"/>
        <v>8.64</v>
      </c>
    </row>
    <row r="22" spans="1:17" x14ac:dyDescent="0.2">
      <c r="E22" s="10"/>
      <c r="H22">
        <v>1</v>
      </c>
      <c r="I22" t="s">
        <v>245</v>
      </c>
      <c r="J22">
        <v>4.4000000000000004</v>
      </c>
      <c r="K22">
        <v>3.3</v>
      </c>
      <c r="L22">
        <v>2.9</v>
      </c>
      <c r="M22">
        <v>3.2</v>
      </c>
      <c r="N22" s="8">
        <f t="shared" si="1"/>
        <v>9.2799999999999994</v>
      </c>
    </row>
    <row r="23" spans="1:17" x14ac:dyDescent="0.2">
      <c r="E23" s="10"/>
      <c r="H23">
        <v>1</v>
      </c>
      <c r="I23" t="s">
        <v>163</v>
      </c>
      <c r="J23">
        <v>3.5</v>
      </c>
      <c r="K23">
        <v>2.9</v>
      </c>
      <c r="L23">
        <v>2.2999999999999998</v>
      </c>
      <c r="M23">
        <v>5.4</v>
      </c>
      <c r="N23" s="8">
        <f t="shared" si="1"/>
        <v>12.42</v>
      </c>
    </row>
    <row r="24" spans="1:17" x14ac:dyDescent="0.2">
      <c r="E24" s="10"/>
      <c r="H24">
        <v>1</v>
      </c>
      <c r="I24" t="s">
        <v>228</v>
      </c>
      <c r="J24">
        <v>4.2</v>
      </c>
      <c r="K24">
        <v>3.5</v>
      </c>
      <c r="L24">
        <v>3.2</v>
      </c>
      <c r="M24">
        <v>2.7</v>
      </c>
      <c r="N24" s="8">
        <f t="shared" si="1"/>
        <v>8.64</v>
      </c>
    </row>
    <row r="25" spans="1:17" x14ac:dyDescent="0.2">
      <c r="E25" s="10"/>
      <c r="H25">
        <v>1</v>
      </c>
      <c r="I25" t="s">
        <v>164</v>
      </c>
      <c r="J25">
        <v>4.2</v>
      </c>
      <c r="K25">
        <v>2.6</v>
      </c>
      <c r="L25">
        <v>2.4</v>
      </c>
      <c r="M25">
        <v>1.9</v>
      </c>
      <c r="N25" s="8">
        <f t="shared" si="1"/>
        <v>4.5599999999999996</v>
      </c>
    </row>
    <row r="26" spans="1:17" x14ac:dyDescent="0.2">
      <c r="E26" s="10"/>
      <c r="H26">
        <v>1</v>
      </c>
      <c r="I26" t="s">
        <v>165</v>
      </c>
      <c r="J26">
        <v>4.3</v>
      </c>
      <c r="K26">
        <v>3.1</v>
      </c>
      <c r="L26">
        <v>2.6</v>
      </c>
      <c r="M26">
        <v>3.4</v>
      </c>
      <c r="N26" s="8">
        <f t="shared" si="1"/>
        <v>8.84</v>
      </c>
    </row>
    <row r="27" spans="1:17" x14ac:dyDescent="0.2">
      <c r="E27" s="10"/>
      <c r="G27">
        <v>9</v>
      </c>
      <c r="H27">
        <v>1</v>
      </c>
      <c r="I27" t="s">
        <v>299</v>
      </c>
      <c r="J27">
        <v>4.0999999999999996</v>
      </c>
      <c r="K27">
        <v>3.3</v>
      </c>
      <c r="L27">
        <v>2.8</v>
      </c>
      <c r="M27">
        <v>7.5</v>
      </c>
      <c r="N27" s="8">
        <f t="shared" si="1"/>
        <v>21</v>
      </c>
    </row>
    <row r="29" spans="1:17" x14ac:dyDescent="0.2">
      <c r="A29">
        <v>5</v>
      </c>
      <c r="B29" t="s">
        <v>26</v>
      </c>
      <c r="C29" s="1">
        <v>21589</v>
      </c>
      <c r="D29" s="1">
        <v>43444</v>
      </c>
      <c r="E29" s="10">
        <v>59</v>
      </c>
      <c r="F29" t="s">
        <v>27</v>
      </c>
      <c r="H29">
        <v>1</v>
      </c>
      <c r="I29" t="s">
        <v>246</v>
      </c>
      <c r="J29">
        <v>4.0999999999999996</v>
      </c>
      <c r="K29">
        <v>2.6</v>
      </c>
      <c r="L29">
        <v>2.6</v>
      </c>
      <c r="M29">
        <v>1.6</v>
      </c>
      <c r="N29" s="8">
        <f>(L29*M29)</f>
        <v>4.16</v>
      </c>
      <c r="P29">
        <v>1.6</v>
      </c>
      <c r="Q29">
        <v>1.3</v>
      </c>
    </row>
    <row r="30" spans="1:17" x14ac:dyDescent="0.2">
      <c r="E30" s="10"/>
      <c r="H30">
        <v>1</v>
      </c>
      <c r="I30" t="s">
        <v>166</v>
      </c>
      <c r="J30">
        <v>5.0999999999999996</v>
      </c>
      <c r="K30">
        <v>2.8</v>
      </c>
      <c r="L30">
        <v>3</v>
      </c>
      <c r="M30">
        <v>1.1000000000000001</v>
      </c>
      <c r="N30" s="8">
        <f>(L30*M30)</f>
        <v>3.3000000000000003</v>
      </c>
    </row>
    <row r="31" spans="1:17" x14ac:dyDescent="0.2">
      <c r="E31" s="10"/>
      <c r="G31">
        <v>3</v>
      </c>
      <c r="H31">
        <v>1</v>
      </c>
      <c r="I31" t="s">
        <v>298</v>
      </c>
      <c r="J31">
        <v>6.3</v>
      </c>
      <c r="K31">
        <v>4.4000000000000004</v>
      </c>
      <c r="L31">
        <v>3.7</v>
      </c>
      <c r="M31">
        <v>5.3</v>
      </c>
      <c r="N31" s="8">
        <f>(L31*M31)</f>
        <v>19.61</v>
      </c>
    </row>
    <row r="33" spans="1:17" x14ac:dyDescent="0.2">
      <c r="A33">
        <v>7</v>
      </c>
      <c r="B33" s="7" t="s">
        <v>31</v>
      </c>
      <c r="C33" s="1">
        <v>23467</v>
      </c>
      <c r="D33" s="1">
        <v>43472</v>
      </c>
      <c r="E33" s="10">
        <v>54</v>
      </c>
      <c r="F33" t="s">
        <v>32</v>
      </c>
      <c r="H33">
        <v>1</v>
      </c>
      <c r="I33" t="s">
        <v>216</v>
      </c>
      <c r="J33">
        <v>4.8</v>
      </c>
      <c r="K33">
        <v>3.2</v>
      </c>
      <c r="L33">
        <v>2.9</v>
      </c>
      <c r="M33">
        <v>2.5</v>
      </c>
      <c r="N33" s="8">
        <f t="shared" ref="N33:N40" si="2">(L33*M33)</f>
        <v>7.25</v>
      </c>
      <c r="P33">
        <v>0.9</v>
      </c>
      <c r="Q33">
        <v>0.8</v>
      </c>
    </row>
    <row r="34" spans="1:17" x14ac:dyDescent="0.2">
      <c r="E34" s="10"/>
      <c r="H34">
        <v>1</v>
      </c>
      <c r="I34" t="s">
        <v>255</v>
      </c>
      <c r="J34">
        <v>4.5999999999999996</v>
      </c>
      <c r="K34">
        <v>3.1</v>
      </c>
      <c r="L34">
        <v>2.9</v>
      </c>
      <c r="M34">
        <v>3.1</v>
      </c>
      <c r="N34" s="8">
        <f t="shared" si="2"/>
        <v>8.99</v>
      </c>
    </row>
    <row r="35" spans="1:17" x14ac:dyDescent="0.2">
      <c r="E35" s="10"/>
      <c r="H35">
        <v>1</v>
      </c>
      <c r="I35" t="s">
        <v>256</v>
      </c>
      <c r="J35">
        <v>7</v>
      </c>
      <c r="K35">
        <v>4.4000000000000004</v>
      </c>
      <c r="L35">
        <v>4</v>
      </c>
      <c r="M35">
        <v>3.8</v>
      </c>
      <c r="N35" s="8">
        <f t="shared" si="2"/>
        <v>15.2</v>
      </c>
    </row>
    <row r="36" spans="1:17" x14ac:dyDescent="0.2">
      <c r="E36" s="10"/>
      <c r="H36">
        <v>1</v>
      </c>
      <c r="I36" t="s">
        <v>264</v>
      </c>
      <c r="J36">
        <v>3.5</v>
      </c>
      <c r="K36">
        <v>2.2999999999999998</v>
      </c>
      <c r="L36">
        <v>2.4</v>
      </c>
      <c r="M36">
        <v>2.8</v>
      </c>
      <c r="N36" s="8">
        <f t="shared" si="2"/>
        <v>6.72</v>
      </c>
    </row>
    <row r="37" spans="1:17" x14ac:dyDescent="0.2">
      <c r="E37" s="10"/>
      <c r="H37">
        <v>1</v>
      </c>
      <c r="I37" t="s">
        <v>242</v>
      </c>
      <c r="J37">
        <v>4.3</v>
      </c>
      <c r="K37">
        <v>2.7</v>
      </c>
      <c r="L37">
        <v>2.2000000000000002</v>
      </c>
      <c r="M37">
        <v>10.3</v>
      </c>
      <c r="N37" s="8">
        <f t="shared" si="2"/>
        <v>22.660000000000004</v>
      </c>
    </row>
    <row r="38" spans="1:17" x14ac:dyDescent="0.2">
      <c r="E38" s="10"/>
      <c r="H38">
        <v>1</v>
      </c>
      <c r="I38" t="s">
        <v>257</v>
      </c>
      <c r="J38">
        <v>3.4</v>
      </c>
      <c r="K38">
        <v>1.8</v>
      </c>
      <c r="L38">
        <v>2.1</v>
      </c>
      <c r="M38">
        <v>2.2000000000000002</v>
      </c>
      <c r="N38" s="8">
        <f t="shared" si="2"/>
        <v>4.620000000000001</v>
      </c>
    </row>
    <row r="39" spans="1:17" x14ac:dyDescent="0.2">
      <c r="E39" s="10"/>
      <c r="H39">
        <v>1</v>
      </c>
      <c r="I39" t="s">
        <v>286</v>
      </c>
      <c r="J39">
        <v>3.6</v>
      </c>
      <c r="K39">
        <v>2</v>
      </c>
      <c r="L39">
        <v>2.7</v>
      </c>
      <c r="M39">
        <v>2.1</v>
      </c>
      <c r="N39" s="8">
        <f t="shared" si="2"/>
        <v>5.6700000000000008</v>
      </c>
    </row>
    <row r="40" spans="1:17" x14ac:dyDescent="0.2">
      <c r="E40" s="10"/>
      <c r="G40">
        <v>8</v>
      </c>
      <c r="H40">
        <v>1</v>
      </c>
      <c r="I40" t="s">
        <v>289</v>
      </c>
      <c r="J40">
        <v>4.3</v>
      </c>
      <c r="K40">
        <v>2.7</v>
      </c>
      <c r="L40">
        <v>2.2999999999999998</v>
      </c>
      <c r="M40">
        <v>5</v>
      </c>
      <c r="N40" s="8">
        <f t="shared" si="2"/>
        <v>11.5</v>
      </c>
    </row>
    <row r="42" spans="1:17" x14ac:dyDescent="0.2">
      <c r="A42">
        <v>8</v>
      </c>
      <c r="B42" t="s">
        <v>34</v>
      </c>
      <c r="C42" s="1">
        <v>20776</v>
      </c>
      <c r="D42" s="1">
        <v>43479</v>
      </c>
      <c r="E42" s="10">
        <v>62</v>
      </c>
      <c r="F42" t="s">
        <v>35</v>
      </c>
      <c r="H42">
        <v>1</v>
      </c>
      <c r="I42" t="s">
        <v>106</v>
      </c>
      <c r="J42">
        <v>3.4</v>
      </c>
      <c r="K42">
        <v>2.5</v>
      </c>
      <c r="L42">
        <v>1.7</v>
      </c>
      <c r="M42">
        <v>54.8</v>
      </c>
      <c r="N42" s="8">
        <f t="shared" ref="N42:N55" si="3">(L42*M42)</f>
        <v>93.16</v>
      </c>
      <c r="P42">
        <v>1</v>
      </c>
      <c r="Q42">
        <v>1</v>
      </c>
    </row>
    <row r="43" spans="1:17" x14ac:dyDescent="0.2">
      <c r="C43" s="1"/>
      <c r="D43" s="1"/>
      <c r="E43" s="10"/>
      <c r="H43">
        <v>1</v>
      </c>
      <c r="I43" t="s">
        <v>301</v>
      </c>
      <c r="J43">
        <v>8.6</v>
      </c>
      <c r="K43">
        <v>5</v>
      </c>
      <c r="L43">
        <v>4.9000000000000004</v>
      </c>
      <c r="M43">
        <v>1.3</v>
      </c>
      <c r="N43" s="8">
        <f t="shared" si="3"/>
        <v>6.370000000000001</v>
      </c>
    </row>
    <row r="44" spans="1:17" x14ac:dyDescent="0.2">
      <c r="C44" s="1"/>
      <c r="D44" s="1"/>
      <c r="E44" s="10"/>
      <c r="H44">
        <v>1</v>
      </c>
      <c r="I44" t="s">
        <v>300</v>
      </c>
      <c r="J44">
        <v>5.4</v>
      </c>
      <c r="K44">
        <v>3.9</v>
      </c>
      <c r="L44">
        <v>3</v>
      </c>
      <c r="M44">
        <v>4.8</v>
      </c>
      <c r="N44" s="8">
        <f>(L44*M44)</f>
        <v>14.399999999999999</v>
      </c>
    </row>
    <row r="45" spans="1:17" x14ac:dyDescent="0.2">
      <c r="E45" s="10"/>
      <c r="H45">
        <v>1</v>
      </c>
      <c r="I45" t="s">
        <v>108</v>
      </c>
      <c r="J45">
        <v>4.2</v>
      </c>
      <c r="K45">
        <v>2.8</v>
      </c>
      <c r="L45">
        <v>2.2999999999999998</v>
      </c>
      <c r="M45">
        <v>7.7</v>
      </c>
      <c r="N45" s="8">
        <f t="shared" si="3"/>
        <v>17.709999999999997</v>
      </c>
    </row>
    <row r="46" spans="1:17" x14ac:dyDescent="0.2">
      <c r="E46" s="10"/>
      <c r="H46">
        <v>1</v>
      </c>
      <c r="I46" t="s">
        <v>303</v>
      </c>
      <c r="J46">
        <v>6.2</v>
      </c>
      <c r="K46">
        <v>4</v>
      </c>
      <c r="L46">
        <v>3.4</v>
      </c>
      <c r="M46">
        <v>6.4</v>
      </c>
      <c r="N46" s="8">
        <f t="shared" si="3"/>
        <v>21.76</v>
      </c>
    </row>
    <row r="47" spans="1:17" x14ac:dyDescent="0.2">
      <c r="E47" s="10"/>
      <c r="H47">
        <v>1</v>
      </c>
      <c r="I47" t="s">
        <v>304</v>
      </c>
      <c r="J47">
        <v>3.4</v>
      </c>
      <c r="K47">
        <v>2.4</v>
      </c>
      <c r="L47">
        <v>2</v>
      </c>
      <c r="M47">
        <v>4.8</v>
      </c>
      <c r="N47" s="8">
        <f t="shared" si="3"/>
        <v>9.6</v>
      </c>
    </row>
    <row r="48" spans="1:17" x14ac:dyDescent="0.2">
      <c r="E48" s="10"/>
      <c r="H48">
        <v>1</v>
      </c>
      <c r="I48" t="s">
        <v>268</v>
      </c>
      <c r="J48">
        <v>7.3</v>
      </c>
      <c r="K48">
        <v>4</v>
      </c>
      <c r="L48">
        <v>4.3</v>
      </c>
      <c r="M48">
        <v>3.4</v>
      </c>
      <c r="N48" s="8">
        <f t="shared" si="3"/>
        <v>14.62</v>
      </c>
    </row>
    <row r="49" spans="1:17" x14ac:dyDescent="0.2">
      <c r="E49" s="10"/>
      <c r="H49">
        <v>1</v>
      </c>
      <c r="I49" t="s">
        <v>258</v>
      </c>
      <c r="J49">
        <v>3.4</v>
      </c>
      <c r="K49">
        <v>2.5</v>
      </c>
      <c r="L49">
        <v>2.2999999999999998</v>
      </c>
      <c r="M49">
        <v>2.4</v>
      </c>
      <c r="N49" s="8">
        <f t="shared" si="3"/>
        <v>5.52</v>
      </c>
    </row>
    <row r="50" spans="1:17" x14ac:dyDescent="0.2">
      <c r="E50" s="10"/>
      <c r="H50">
        <v>1</v>
      </c>
      <c r="I50" t="s">
        <v>259</v>
      </c>
      <c r="J50">
        <v>3.1</v>
      </c>
      <c r="K50">
        <v>1.6</v>
      </c>
      <c r="L50">
        <v>1.7</v>
      </c>
      <c r="M50">
        <v>1.6</v>
      </c>
      <c r="N50" s="8">
        <f t="shared" si="3"/>
        <v>2.72</v>
      </c>
    </row>
    <row r="51" spans="1:17" x14ac:dyDescent="0.2">
      <c r="E51" s="10"/>
      <c r="H51">
        <v>1</v>
      </c>
      <c r="I51" t="s">
        <v>158</v>
      </c>
      <c r="J51">
        <v>4.9000000000000004</v>
      </c>
      <c r="K51">
        <v>3.1</v>
      </c>
      <c r="L51">
        <v>3.2</v>
      </c>
      <c r="M51">
        <v>4.2</v>
      </c>
      <c r="N51" s="8">
        <f t="shared" si="3"/>
        <v>13.440000000000001</v>
      </c>
    </row>
    <row r="52" spans="1:17" x14ac:dyDescent="0.2">
      <c r="E52" s="10"/>
      <c r="H52">
        <v>1</v>
      </c>
      <c r="I52" t="s">
        <v>267</v>
      </c>
      <c r="J52">
        <v>4.9000000000000004</v>
      </c>
      <c r="K52">
        <v>3.1</v>
      </c>
      <c r="L52">
        <v>2.9</v>
      </c>
      <c r="M52">
        <v>3.1</v>
      </c>
      <c r="N52" s="8">
        <f t="shared" si="3"/>
        <v>8.99</v>
      </c>
    </row>
    <row r="53" spans="1:17" x14ac:dyDescent="0.2">
      <c r="E53" s="10"/>
      <c r="H53">
        <v>1</v>
      </c>
      <c r="I53" t="s">
        <v>260</v>
      </c>
      <c r="J53">
        <v>6.7</v>
      </c>
      <c r="K53">
        <v>3.3</v>
      </c>
      <c r="L53">
        <v>3.8</v>
      </c>
      <c r="M53">
        <v>1.9</v>
      </c>
      <c r="N53" s="8">
        <f t="shared" si="3"/>
        <v>7.22</v>
      </c>
    </row>
    <row r="54" spans="1:17" x14ac:dyDescent="0.2">
      <c r="E54" s="10"/>
      <c r="H54">
        <v>1</v>
      </c>
      <c r="I54" t="s">
        <v>261</v>
      </c>
      <c r="J54">
        <v>3.1</v>
      </c>
      <c r="K54">
        <v>2</v>
      </c>
      <c r="L54">
        <v>1.8</v>
      </c>
      <c r="M54">
        <v>2.6</v>
      </c>
      <c r="N54" s="8">
        <f t="shared" si="3"/>
        <v>4.6800000000000006</v>
      </c>
    </row>
    <row r="55" spans="1:17" x14ac:dyDescent="0.2">
      <c r="E55" s="10"/>
      <c r="G55">
        <v>14</v>
      </c>
      <c r="H55">
        <v>1</v>
      </c>
      <c r="I55" t="s">
        <v>262</v>
      </c>
      <c r="J55">
        <v>4.9000000000000004</v>
      </c>
      <c r="K55">
        <v>3</v>
      </c>
      <c r="L55">
        <v>3</v>
      </c>
      <c r="M55">
        <v>2.4</v>
      </c>
      <c r="N55" s="8">
        <f t="shared" si="3"/>
        <v>7.1999999999999993</v>
      </c>
    </row>
    <row r="57" spans="1:17" x14ac:dyDescent="0.2">
      <c r="A57">
        <v>10</v>
      </c>
      <c r="B57" t="s">
        <v>39</v>
      </c>
      <c r="C57" s="1">
        <v>24023</v>
      </c>
      <c r="D57" s="1">
        <v>43493</v>
      </c>
      <c r="E57" s="10">
        <v>62</v>
      </c>
      <c r="F57" t="s">
        <v>16</v>
      </c>
      <c r="H57">
        <v>1</v>
      </c>
      <c r="I57" t="s">
        <v>182</v>
      </c>
      <c r="J57">
        <v>11.4</v>
      </c>
      <c r="K57">
        <v>7.8</v>
      </c>
      <c r="L57">
        <v>6.2</v>
      </c>
      <c r="M57">
        <v>13.8</v>
      </c>
      <c r="N57" s="8">
        <f>(L57*M57)</f>
        <v>85.56</v>
      </c>
      <c r="P57">
        <v>1</v>
      </c>
      <c r="Q57">
        <v>1.3</v>
      </c>
    </row>
    <row r="58" spans="1:17" x14ac:dyDescent="0.2">
      <c r="E58" s="10"/>
      <c r="H58">
        <v>1</v>
      </c>
      <c r="I58" t="s">
        <v>185</v>
      </c>
      <c r="J58">
        <v>4.5999999999999996</v>
      </c>
      <c r="K58">
        <v>2.7</v>
      </c>
      <c r="L58">
        <v>2.7</v>
      </c>
      <c r="M58">
        <v>2.6</v>
      </c>
      <c r="N58" s="8">
        <f>(L58*M58)</f>
        <v>7.0200000000000005</v>
      </c>
    </row>
    <row r="59" spans="1:17" x14ac:dyDescent="0.2">
      <c r="E59" s="10"/>
      <c r="H59">
        <v>1</v>
      </c>
      <c r="I59" t="s">
        <v>186</v>
      </c>
      <c r="J59">
        <v>4.4000000000000004</v>
      </c>
      <c r="K59">
        <v>2.9</v>
      </c>
      <c r="L59">
        <v>2.9</v>
      </c>
      <c r="M59">
        <v>2.2999999999999998</v>
      </c>
      <c r="N59" s="8">
        <f>(L59*M59)</f>
        <v>6.669999999999999</v>
      </c>
    </row>
    <row r="60" spans="1:17" x14ac:dyDescent="0.2">
      <c r="E60" s="10"/>
      <c r="G60">
        <v>4</v>
      </c>
      <c r="H60">
        <v>1</v>
      </c>
      <c r="I60" t="s">
        <v>242</v>
      </c>
      <c r="J60">
        <v>3.3</v>
      </c>
      <c r="K60">
        <v>2.6</v>
      </c>
      <c r="L60">
        <v>1.8</v>
      </c>
      <c r="M60">
        <v>24.4</v>
      </c>
      <c r="N60" s="8">
        <f>(L60*M60)</f>
        <v>43.92</v>
      </c>
    </row>
    <row r="62" spans="1:17" x14ac:dyDescent="0.2">
      <c r="A62">
        <v>11</v>
      </c>
      <c r="B62" t="s">
        <v>40</v>
      </c>
      <c r="C62" s="1">
        <v>33096</v>
      </c>
      <c r="D62" s="1">
        <v>43493</v>
      </c>
      <c r="E62" s="10">
        <v>28</v>
      </c>
      <c r="F62" t="s">
        <v>16</v>
      </c>
      <c r="H62">
        <v>1</v>
      </c>
      <c r="I62" t="s">
        <v>107</v>
      </c>
      <c r="J62">
        <v>7.4</v>
      </c>
      <c r="K62">
        <v>4.9000000000000004</v>
      </c>
      <c r="L62">
        <v>4.2</v>
      </c>
      <c r="M62">
        <v>2.6</v>
      </c>
      <c r="N62" s="8">
        <f>(L62*M62)</f>
        <v>10.920000000000002</v>
      </c>
      <c r="P62">
        <v>0.7</v>
      </c>
      <c r="Q62">
        <v>0.6</v>
      </c>
    </row>
    <row r="63" spans="1:17" x14ac:dyDescent="0.2">
      <c r="C63" s="1"/>
      <c r="D63" s="1"/>
      <c r="E63" s="10"/>
      <c r="H63">
        <v>1</v>
      </c>
      <c r="I63" t="s">
        <v>269</v>
      </c>
      <c r="J63">
        <v>5.4</v>
      </c>
      <c r="K63">
        <v>3.5</v>
      </c>
      <c r="L63">
        <v>3.2</v>
      </c>
      <c r="M63">
        <v>2.1</v>
      </c>
      <c r="N63" s="8">
        <f>(L63*M63)</f>
        <v>6.7200000000000006</v>
      </c>
    </row>
    <row r="64" spans="1:17" x14ac:dyDescent="0.2">
      <c r="C64" s="1"/>
      <c r="D64" s="1"/>
      <c r="E64" s="10"/>
      <c r="H64">
        <v>1</v>
      </c>
      <c r="I64" t="s">
        <v>270</v>
      </c>
      <c r="J64">
        <v>7.4</v>
      </c>
      <c r="K64">
        <v>4.9000000000000004</v>
      </c>
      <c r="L64">
        <v>4</v>
      </c>
      <c r="M64">
        <v>3</v>
      </c>
      <c r="N64" s="8">
        <f>(L64*M64)</f>
        <v>12</v>
      </c>
    </row>
    <row r="65" spans="1:17" x14ac:dyDescent="0.2">
      <c r="E65" s="10"/>
      <c r="G65">
        <v>4</v>
      </c>
      <c r="H65">
        <v>1</v>
      </c>
      <c r="I65" t="s">
        <v>219</v>
      </c>
      <c r="J65">
        <v>9.1999999999999993</v>
      </c>
      <c r="K65">
        <v>5.6</v>
      </c>
      <c r="L65">
        <v>5.3</v>
      </c>
      <c r="M65">
        <v>1.9</v>
      </c>
      <c r="N65" s="8">
        <f>(L65*M65)</f>
        <v>10.069999999999999</v>
      </c>
    </row>
    <row r="67" spans="1:17" x14ac:dyDescent="0.2">
      <c r="A67">
        <v>13</v>
      </c>
      <c r="B67" t="s">
        <v>54</v>
      </c>
      <c r="C67" s="1">
        <v>24436</v>
      </c>
      <c r="D67" s="1">
        <v>43521</v>
      </c>
      <c r="E67" s="10">
        <v>52</v>
      </c>
      <c r="F67" t="s">
        <v>35</v>
      </c>
      <c r="H67">
        <v>1</v>
      </c>
      <c r="I67" t="s">
        <v>169</v>
      </c>
      <c r="J67">
        <v>5.4</v>
      </c>
      <c r="K67">
        <v>3.6</v>
      </c>
      <c r="L67">
        <v>2.7</v>
      </c>
      <c r="M67">
        <v>33.9</v>
      </c>
      <c r="N67" s="8">
        <f t="shared" ref="N67:N72" si="4">(L67*M67)</f>
        <v>91.53</v>
      </c>
      <c r="P67">
        <v>0.9</v>
      </c>
      <c r="Q67">
        <v>1.3</v>
      </c>
    </row>
    <row r="68" spans="1:17" x14ac:dyDescent="0.2">
      <c r="E68" s="10"/>
      <c r="H68">
        <v>1</v>
      </c>
      <c r="I68" t="s">
        <v>170</v>
      </c>
      <c r="J68">
        <v>4.7</v>
      </c>
      <c r="K68">
        <v>3.6</v>
      </c>
      <c r="L68">
        <v>2.4</v>
      </c>
      <c r="M68">
        <v>68.099999999999994</v>
      </c>
      <c r="N68" s="8">
        <f t="shared" si="4"/>
        <v>163.43999999999997</v>
      </c>
    </row>
    <row r="69" spans="1:17" x14ac:dyDescent="0.2">
      <c r="E69" s="10"/>
      <c r="H69">
        <v>1</v>
      </c>
      <c r="I69" t="s">
        <v>271</v>
      </c>
      <c r="J69">
        <v>4.8</v>
      </c>
      <c r="K69">
        <v>3.8</v>
      </c>
      <c r="L69">
        <v>3.7</v>
      </c>
      <c r="M69">
        <v>2.1</v>
      </c>
      <c r="N69" s="8">
        <f t="shared" si="4"/>
        <v>7.7700000000000005</v>
      </c>
    </row>
    <row r="70" spans="1:17" x14ac:dyDescent="0.2">
      <c r="E70" s="10"/>
      <c r="H70">
        <v>1</v>
      </c>
      <c r="I70" t="s">
        <v>258</v>
      </c>
      <c r="J70">
        <v>4.7</v>
      </c>
      <c r="K70">
        <v>3.6</v>
      </c>
      <c r="L70">
        <v>3.5</v>
      </c>
      <c r="M70">
        <v>2.2000000000000002</v>
      </c>
      <c r="N70" s="8">
        <f t="shared" si="4"/>
        <v>7.7000000000000011</v>
      </c>
    </row>
    <row r="71" spans="1:17" x14ac:dyDescent="0.2">
      <c r="E71" s="10"/>
      <c r="H71">
        <v>1</v>
      </c>
      <c r="I71" t="s">
        <v>219</v>
      </c>
      <c r="J71">
        <v>5.0999999999999996</v>
      </c>
      <c r="K71">
        <v>4</v>
      </c>
      <c r="L71">
        <v>3.9</v>
      </c>
      <c r="M71">
        <v>2.1</v>
      </c>
      <c r="N71" s="8">
        <f t="shared" si="4"/>
        <v>8.19</v>
      </c>
    </row>
    <row r="72" spans="1:17" x14ac:dyDescent="0.2">
      <c r="E72" s="10"/>
      <c r="G72">
        <v>6</v>
      </c>
      <c r="H72">
        <v>1</v>
      </c>
      <c r="I72" t="s">
        <v>298</v>
      </c>
      <c r="J72">
        <v>5.2</v>
      </c>
      <c r="K72">
        <v>2.9</v>
      </c>
      <c r="L72">
        <v>2.2999999999999998</v>
      </c>
      <c r="M72">
        <v>14</v>
      </c>
      <c r="N72" s="8">
        <f t="shared" si="4"/>
        <v>32.199999999999996</v>
      </c>
    </row>
    <row r="74" spans="1:17" x14ac:dyDescent="0.2">
      <c r="A74">
        <v>14</v>
      </c>
      <c r="B74" t="s">
        <v>55</v>
      </c>
      <c r="C74" s="1">
        <v>21899</v>
      </c>
      <c r="D74" s="1">
        <v>43521</v>
      </c>
      <c r="E74" s="10">
        <v>52</v>
      </c>
      <c r="F74" t="s">
        <v>16</v>
      </c>
      <c r="H74">
        <v>1</v>
      </c>
      <c r="I74" t="s">
        <v>188</v>
      </c>
      <c r="J74">
        <v>4.5</v>
      </c>
      <c r="K74">
        <v>2.7</v>
      </c>
      <c r="L74">
        <v>2.7</v>
      </c>
      <c r="M74">
        <v>1.9</v>
      </c>
      <c r="N74" s="8">
        <f t="shared" ref="N74:N82" si="5">(L74*M74)</f>
        <v>5.13</v>
      </c>
      <c r="P74">
        <v>0.9</v>
      </c>
      <c r="Q74">
        <v>1.1000000000000001</v>
      </c>
    </row>
    <row r="75" spans="1:17" x14ac:dyDescent="0.2">
      <c r="E75" s="10"/>
      <c r="H75">
        <v>1</v>
      </c>
      <c r="I75" t="s">
        <v>189</v>
      </c>
      <c r="J75">
        <v>6</v>
      </c>
      <c r="K75">
        <v>4.9000000000000004</v>
      </c>
      <c r="L75">
        <v>4.8</v>
      </c>
      <c r="M75">
        <v>3</v>
      </c>
      <c r="N75" s="8">
        <f t="shared" si="5"/>
        <v>14.399999999999999</v>
      </c>
    </row>
    <row r="76" spans="1:17" x14ac:dyDescent="0.2">
      <c r="E76" s="10"/>
      <c r="H76">
        <v>1</v>
      </c>
      <c r="I76" t="s">
        <v>150</v>
      </c>
      <c r="J76">
        <v>6.2</v>
      </c>
      <c r="K76">
        <v>3.4</v>
      </c>
      <c r="L76">
        <v>3.3</v>
      </c>
      <c r="M76">
        <v>2.6</v>
      </c>
      <c r="N76" s="8">
        <f t="shared" si="5"/>
        <v>8.58</v>
      </c>
    </row>
    <row r="77" spans="1:17" x14ac:dyDescent="0.2">
      <c r="E77" s="10"/>
      <c r="H77">
        <v>1</v>
      </c>
      <c r="I77" t="s">
        <v>307</v>
      </c>
      <c r="J77">
        <v>5.0999999999999996</v>
      </c>
      <c r="K77">
        <v>2.6</v>
      </c>
      <c r="L77">
        <v>2.2000000000000002</v>
      </c>
      <c r="M77">
        <v>5.6</v>
      </c>
      <c r="N77" s="8">
        <f t="shared" si="5"/>
        <v>12.32</v>
      </c>
    </row>
    <row r="78" spans="1:17" x14ac:dyDescent="0.2">
      <c r="E78" s="10"/>
      <c r="H78">
        <v>1</v>
      </c>
      <c r="I78" t="s">
        <v>203</v>
      </c>
      <c r="J78">
        <v>5.0999999999999996</v>
      </c>
      <c r="K78">
        <v>2.6</v>
      </c>
      <c r="L78">
        <v>2.9</v>
      </c>
      <c r="M78">
        <v>1.8</v>
      </c>
      <c r="N78" s="8">
        <f t="shared" si="5"/>
        <v>5.22</v>
      </c>
    </row>
    <row r="79" spans="1:17" x14ac:dyDescent="0.2">
      <c r="E79" s="10"/>
      <c r="H79">
        <v>1</v>
      </c>
      <c r="I79" t="s">
        <v>190</v>
      </c>
      <c r="J79">
        <v>5.2</v>
      </c>
      <c r="K79">
        <v>2.7</v>
      </c>
      <c r="L79">
        <v>2.9</v>
      </c>
      <c r="M79">
        <v>2.2999999999999998</v>
      </c>
      <c r="N79" s="8">
        <f t="shared" si="5"/>
        <v>6.669999999999999</v>
      </c>
    </row>
    <row r="80" spans="1:17" x14ac:dyDescent="0.2">
      <c r="E80" s="10"/>
      <c r="H80">
        <v>1</v>
      </c>
      <c r="I80" t="s">
        <v>219</v>
      </c>
      <c r="J80">
        <v>5</v>
      </c>
      <c r="K80">
        <v>2.8</v>
      </c>
      <c r="L80">
        <v>3</v>
      </c>
      <c r="M80">
        <v>1.8</v>
      </c>
      <c r="N80" s="8">
        <f t="shared" si="5"/>
        <v>5.4</v>
      </c>
    </row>
    <row r="81" spans="1:17" x14ac:dyDescent="0.2">
      <c r="E81" s="10"/>
      <c r="H81">
        <v>1</v>
      </c>
      <c r="I81" t="s">
        <v>298</v>
      </c>
      <c r="J81">
        <v>5.5</v>
      </c>
      <c r="K81">
        <v>3.8</v>
      </c>
      <c r="L81">
        <v>2.9</v>
      </c>
      <c r="M81">
        <v>10.5</v>
      </c>
      <c r="N81" s="8">
        <f t="shared" si="5"/>
        <v>30.45</v>
      </c>
    </row>
    <row r="82" spans="1:17" x14ac:dyDescent="0.2">
      <c r="E82" s="10"/>
      <c r="G82">
        <v>9</v>
      </c>
      <c r="H82">
        <v>1</v>
      </c>
      <c r="I82" t="s">
        <v>299</v>
      </c>
      <c r="J82">
        <v>5.6</v>
      </c>
      <c r="K82">
        <v>3.3</v>
      </c>
      <c r="L82">
        <v>3.2</v>
      </c>
      <c r="M82">
        <v>11.1</v>
      </c>
      <c r="N82" s="8">
        <f t="shared" si="5"/>
        <v>35.520000000000003</v>
      </c>
    </row>
    <row r="84" spans="1:17" x14ac:dyDescent="0.2">
      <c r="A84">
        <v>15</v>
      </c>
      <c r="B84" t="s">
        <v>66</v>
      </c>
      <c r="C84" s="1">
        <v>23354</v>
      </c>
      <c r="D84" s="1">
        <v>43563</v>
      </c>
      <c r="E84" s="10">
        <v>55</v>
      </c>
      <c r="F84" t="s">
        <v>35</v>
      </c>
      <c r="G84">
        <v>1</v>
      </c>
      <c r="H84">
        <v>1</v>
      </c>
      <c r="I84" t="s">
        <v>147</v>
      </c>
      <c r="J84">
        <v>8.6</v>
      </c>
      <c r="K84">
        <v>6.7</v>
      </c>
      <c r="L84">
        <v>5.0999999999999996</v>
      </c>
      <c r="M84">
        <v>9.5</v>
      </c>
      <c r="N84" s="8">
        <f t="shared" ref="N84:N106" si="6">(L84*M84)</f>
        <v>48.449999999999996</v>
      </c>
      <c r="P84">
        <v>1.4</v>
      </c>
      <c r="Q84">
        <v>1.5</v>
      </c>
    </row>
    <row r="85" spans="1:17" x14ac:dyDescent="0.2">
      <c r="E85" s="10"/>
      <c r="N85" s="8"/>
    </row>
    <row r="86" spans="1:17" x14ac:dyDescent="0.2">
      <c r="A86">
        <v>16</v>
      </c>
      <c r="B86" t="s">
        <v>72</v>
      </c>
      <c r="C86" s="1">
        <v>26463</v>
      </c>
      <c r="D86" s="1">
        <v>43605</v>
      </c>
      <c r="E86" s="10">
        <v>46</v>
      </c>
      <c r="F86" t="s">
        <v>35</v>
      </c>
      <c r="H86">
        <v>1</v>
      </c>
      <c r="I86" t="s">
        <v>191</v>
      </c>
      <c r="J86">
        <v>2.9</v>
      </c>
      <c r="K86">
        <v>1.9</v>
      </c>
      <c r="L86">
        <v>1.5</v>
      </c>
      <c r="M86">
        <v>9.6999999999999993</v>
      </c>
      <c r="N86" s="8">
        <f t="shared" si="6"/>
        <v>14.549999999999999</v>
      </c>
      <c r="P86">
        <v>1.2</v>
      </c>
      <c r="Q86">
        <v>1.3</v>
      </c>
    </row>
    <row r="87" spans="1:17" x14ac:dyDescent="0.2">
      <c r="E87" s="10"/>
      <c r="H87">
        <v>1</v>
      </c>
      <c r="I87" t="s">
        <v>192</v>
      </c>
      <c r="J87">
        <v>4.4000000000000004</v>
      </c>
      <c r="K87">
        <v>3.7</v>
      </c>
      <c r="L87">
        <v>3.6</v>
      </c>
      <c r="M87">
        <v>2.8</v>
      </c>
      <c r="N87" s="8">
        <f t="shared" si="6"/>
        <v>10.08</v>
      </c>
    </row>
    <row r="88" spans="1:17" x14ac:dyDescent="0.2">
      <c r="E88" s="10"/>
      <c r="H88">
        <v>1</v>
      </c>
      <c r="I88" t="s">
        <v>193</v>
      </c>
      <c r="J88">
        <v>4.0999999999999996</v>
      </c>
      <c r="K88">
        <v>3.7</v>
      </c>
      <c r="L88">
        <v>3.1</v>
      </c>
      <c r="M88">
        <v>2</v>
      </c>
      <c r="N88" s="8">
        <f t="shared" si="6"/>
        <v>6.2</v>
      </c>
    </row>
    <row r="89" spans="1:17" x14ac:dyDescent="0.2">
      <c r="E89" s="10"/>
      <c r="G89">
        <v>4</v>
      </c>
      <c r="H89">
        <v>1</v>
      </c>
      <c r="I89" t="s">
        <v>222</v>
      </c>
      <c r="J89">
        <v>4.4000000000000004</v>
      </c>
      <c r="K89">
        <v>2.6</v>
      </c>
      <c r="L89">
        <v>2.5</v>
      </c>
      <c r="M89">
        <v>2.6</v>
      </c>
      <c r="N89" s="8">
        <f t="shared" si="6"/>
        <v>6.5</v>
      </c>
    </row>
    <row r="90" spans="1:17" x14ac:dyDescent="0.2">
      <c r="E90" s="10"/>
      <c r="N90" s="8"/>
    </row>
    <row r="91" spans="1:17" x14ac:dyDescent="0.2">
      <c r="A91">
        <v>17</v>
      </c>
      <c r="B91" t="s">
        <v>74</v>
      </c>
      <c r="C91" s="1">
        <v>20147</v>
      </c>
      <c r="D91" s="1">
        <v>43619</v>
      </c>
      <c r="E91" s="10">
        <v>64</v>
      </c>
      <c r="F91" t="s">
        <v>35</v>
      </c>
      <c r="H91">
        <v>1</v>
      </c>
      <c r="I91" t="s">
        <v>194</v>
      </c>
      <c r="J91">
        <v>5.7</v>
      </c>
      <c r="K91">
        <v>3.8</v>
      </c>
      <c r="L91">
        <v>3.7</v>
      </c>
      <c r="M91">
        <v>1.4</v>
      </c>
      <c r="N91" s="8">
        <f t="shared" si="6"/>
        <v>5.18</v>
      </c>
      <c r="P91">
        <v>1.1000000000000001</v>
      </c>
      <c r="Q91">
        <v>1.2</v>
      </c>
    </row>
    <row r="92" spans="1:17" x14ac:dyDescent="0.2">
      <c r="E92" s="10"/>
      <c r="H92">
        <v>1</v>
      </c>
      <c r="I92" t="s">
        <v>274</v>
      </c>
      <c r="J92">
        <v>3.1</v>
      </c>
      <c r="K92">
        <v>1.7</v>
      </c>
      <c r="L92">
        <v>1.8</v>
      </c>
      <c r="M92">
        <v>1.8</v>
      </c>
      <c r="N92" s="8">
        <f t="shared" si="6"/>
        <v>3.24</v>
      </c>
    </row>
    <row r="93" spans="1:17" x14ac:dyDescent="0.2">
      <c r="E93" s="10"/>
      <c r="H93">
        <v>1</v>
      </c>
      <c r="I93" t="s">
        <v>195</v>
      </c>
      <c r="J93">
        <v>4.0999999999999996</v>
      </c>
      <c r="K93">
        <v>1.9</v>
      </c>
      <c r="L93">
        <v>2.4</v>
      </c>
      <c r="M93">
        <v>1.8</v>
      </c>
      <c r="N93" s="8">
        <f t="shared" si="6"/>
        <v>4.32</v>
      </c>
    </row>
    <row r="94" spans="1:17" x14ac:dyDescent="0.2">
      <c r="E94" s="10"/>
      <c r="H94">
        <v>1</v>
      </c>
      <c r="I94" t="s">
        <v>260</v>
      </c>
      <c r="J94">
        <v>6</v>
      </c>
      <c r="K94">
        <v>4.2</v>
      </c>
      <c r="L94">
        <v>3.9</v>
      </c>
      <c r="M94">
        <v>3.5</v>
      </c>
      <c r="N94" s="8">
        <f t="shared" si="6"/>
        <v>13.65</v>
      </c>
    </row>
    <row r="95" spans="1:17" x14ac:dyDescent="0.2">
      <c r="E95" s="10"/>
      <c r="H95">
        <v>1</v>
      </c>
      <c r="I95" t="s">
        <v>193</v>
      </c>
      <c r="J95">
        <v>6.2</v>
      </c>
      <c r="K95">
        <v>2.9</v>
      </c>
      <c r="L95">
        <v>3.8</v>
      </c>
      <c r="M95">
        <v>0.8</v>
      </c>
      <c r="N95" s="8">
        <f t="shared" si="6"/>
        <v>3.04</v>
      </c>
    </row>
    <row r="96" spans="1:17" x14ac:dyDescent="0.2">
      <c r="E96" s="10"/>
      <c r="H96">
        <v>1</v>
      </c>
      <c r="I96" t="s">
        <v>275</v>
      </c>
      <c r="J96">
        <v>3.8</v>
      </c>
      <c r="K96">
        <v>2.2999999999999998</v>
      </c>
      <c r="L96">
        <v>2.5</v>
      </c>
      <c r="M96">
        <v>1.8</v>
      </c>
      <c r="N96" s="8">
        <f t="shared" si="6"/>
        <v>4.5</v>
      </c>
    </row>
    <row r="97" spans="1:17" x14ac:dyDescent="0.2">
      <c r="E97" s="10"/>
      <c r="H97">
        <v>1</v>
      </c>
      <c r="I97" t="s">
        <v>276</v>
      </c>
      <c r="J97">
        <v>5.6</v>
      </c>
      <c r="K97">
        <v>3.4</v>
      </c>
      <c r="L97">
        <v>3.6</v>
      </c>
      <c r="M97">
        <v>1.6</v>
      </c>
      <c r="N97" s="8">
        <f t="shared" si="6"/>
        <v>5.7600000000000007</v>
      </c>
    </row>
    <row r="98" spans="1:17" x14ac:dyDescent="0.2">
      <c r="E98" s="10"/>
      <c r="H98">
        <v>1</v>
      </c>
      <c r="I98" t="s">
        <v>258</v>
      </c>
      <c r="J98">
        <v>3.4</v>
      </c>
      <c r="K98">
        <v>2.2999999999999998</v>
      </c>
      <c r="L98">
        <v>2.2000000000000002</v>
      </c>
      <c r="M98">
        <v>2.9</v>
      </c>
      <c r="N98" s="8">
        <f t="shared" si="6"/>
        <v>6.38</v>
      </c>
    </row>
    <row r="99" spans="1:17" x14ac:dyDescent="0.2">
      <c r="E99" s="10"/>
      <c r="H99">
        <v>1</v>
      </c>
      <c r="I99" t="s">
        <v>277</v>
      </c>
      <c r="J99">
        <v>3.8</v>
      </c>
      <c r="K99">
        <v>1.7</v>
      </c>
      <c r="L99">
        <v>2.4</v>
      </c>
      <c r="M99">
        <v>1.3</v>
      </c>
      <c r="N99" s="8">
        <f t="shared" si="6"/>
        <v>3.12</v>
      </c>
    </row>
    <row r="100" spans="1:17" x14ac:dyDescent="0.2">
      <c r="E100" s="10"/>
      <c r="H100">
        <v>1</v>
      </c>
      <c r="I100" t="s">
        <v>196</v>
      </c>
      <c r="J100">
        <v>4.3</v>
      </c>
      <c r="K100">
        <v>2.8</v>
      </c>
      <c r="L100">
        <v>2.2999999999999998</v>
      </c>
      <c r="M100">
        <v>8.1999999999999993</v>
      </c>
      <c r="N100" s="8">
        <f t="shared" si="6"/>
        <v>18.859999999999996</v>
      </c>
    </row>
    <row r="101" spans="1:17" x14ac:dyDescent="0.2">
      <c r="E101" s="10"/>
      <c r="H101">
        <v>1</v>
      </c>
      <c r="I101" t="s">
        <v>272</v>
      </c>
      <c r="J101">
        <v>5.7</v>
      </c>
      <c r="K101">
        <v>3.6</v>
      </c>
      <c r="L101">
        <v>3.3</v>
      </c>
      <c r="M101">
        <v>2.2999999999999998</v>
      </c>
      <c r="N101" s="8">
        <f t="shared" si="6"/>
        <v>7.589999999999999</v>
      </c>
    </row>
    <row r="102" spans="1:17" x14ac:dyDescent="0.2">
      <c r="E102" s="10"/>
      <c r="H102">
        <v>1</v>
      </c>
      <c r="I102" t="s">
        <v>273</v>
      </c>
      <c r="J102">
        <v>3.2</v>
      </c>
      <c r="K102">
        <v>2.2000000000000002</v>
      </c>
      <c r="L102">
        <v>1.7</v>
      </c>
      <c r="M102">
        <v>5.8</v>
      </c>
      <c r="N102" s="8">
        <f t="shared" si="6"/>
        <v>9.86</v>
      </c>
    </row>
    <row r="103" spans="1:17" x14ac:dyDescent="0.2">
      <c r="E103" s="10"/>
      <c r="H103">
        <v>1</v>
      </c>
      <c r="I103" t="s">
        <v>265</v>
      </c>
      <c r="J103">
        <v>4.4000000000000004</v>
      </c>
      <c r="K103">
        <v>3.1</v>
      </c>
      <c r="L103">
        <v>2.4</v>
      </c>
      <c r="M103">
        <v>6.5</v>
      </c>
      <c r="N103" s="8">
        <f t="shared" si="6"/>
        <v>15.6</v>
      </c>
    </row>
    <row r="104" spans="1:17" x14ac:dyDescent="0.2">
      <c r="E104" s="10"/>
      <c r="G104">
        <v>14</v>
      </c>
      <c r="H104">
        <v>1</v>
      </c>
      <c r="I104" t="s">
        <v>265</v>
      </c>
      <c r="J104">
        <v>3.6</v>
      </c>
      <c r="K104">
        <v>2.4</v>
      </c>
      <c r="L104">
        <v>2.1</v>
      </c>
      <c r="M104">
        <v>3.6</v>
      </c>
      <c r="N104" s="8">
        <f t="shared" si="6"/>
        <v>7.5600000000000005</v>
      </c>
    </row>
    <row r="105" spans="1:17" x14ac:dyDescent="0.2">
      <c r="E105" s="10"/>
      <c r="N105" s="8"/>
    </row>
    <row r="106" spans="1:17" x14ac:dyDescent="0.2">
      <c r="A106">
        <v>18</v>
      </c>
      <c r="B106" t="s">
        <v>75</v>
      </c>
      <c r="C106" s="1">
        <v>22411</v>
      </c>
      <c r="D106" s="1">
        <v>43619</v>
      </c>
      <c r="E106" s="10">
        <v>58</v>
      </c>
      <c r="F106" t="s">
        <v>76</v>
      </c>
      <c r="G106">
        <v>1</v>
      </c>
      <c r="H106">
        <v>1</v>
      </c>
      <c r="I106" t="s">
        <v>197</v>
      </c>
      <c r="J106">
        <v>5.0999999999999996</v>
      </c>
      <c r="K106">
        <v>3.7</v>
      </c>
      <c r="L106">
        <v>2.7</v>
      </c>
      <c r="M106">
        <v>11.4</v>
      </c>
      <c r="N106" s="8">
        <f t="shared" si="6"/>
        <v>30.780000000000005</v>
      </c>
      <c r="P106">
        <v>1</v>
      </c>
      <c r="Q106">
        <v>1</v>
      </c>
    </row>
    <row r="108" spans="1:17" x14ac:dyDescent="0.2">
      <c r="A108">
        <v>20</v>
      </c>
      <c r="B108" t="s">
        <v>208</v>
      </c>
      <c r="C108" s="1">
        <v>32078</v>
      </c>
      <c r="D108" s="1">
        <v>43745</v>
      </c>
      <c r="E108" s="10">
        <v>31</v>
      </c>
      <c r="F108" t="s">
        <v>209</v>
      </c>
      <c r="H108">
        <v>1</v>
      </c>
      <c r="I108" t="s">
        <v>279</v>
      </c>
      <c r="J108">
        <v>4.5</v>
      </c>
      <c r="K108">
        <v>3.5</v>
      </c>
      <c r="L108">
        <v>3</v>
      </c>
      <c r="M108">
        <v>9.9</v>
      </c>
      <c r="N108" s="8">
        <f>(L108*M108)</f>
        <v>29.700000000000003</v>
      </c>
      <c r="P108">
        <v>0.6</v>
      </c>
      <c r="Q108">
        <v>0.9</v>
      </c>
    </row>
    <row r="109" spans="1:17" x14ac:dyDescent="0.2">
      <c r="C109" s="1"/>
      <c r="D109" s="1"/>
      <c r="E109" s="10"/>
      <c r="H109">
        <v>1</v>
      </c>
      <c r="I109" t="s">
        <v>280</v>
      </c>
      <c r="J109">
        <v>4.0999999999999996</v>
      </c>
      <c r="K109">
        <v>3.3</v>
      </c>
      <c r="L109">
        <v>2.8</v>
      </c>
      <c r="M109">
        <v>6.1</v>
      </c>
      <c r="N109" s="8">
        <f>(L109*M109)</f>
        <v>17.079999999999998</v>
      </c>
    </row>
    <row r="110" spans="1:17" x14ac:dyDescent="0.2">
      <c r="E110" s="10"/>
      <c r="H110">
        <v>1</v>
      </c>
      <c r="I110" t="s">
        <v>281</v>
      </c>
      <c r="J110">
        <v>4.5</v>
      </c>
      <c r="K110">
        <v>3.5</v>
      </c>
      <c r="L110">
        <v>3</v>
      </c>
      <c r="M110">
        <v>9</v>
      </c>
      <c r="N110" s="8">
        <f>(L110*M110)</f>
        <v>27</v>
      </c>
    </row>
    <row r="111" spans="1:17" x14ac:dyDescent="0.2">
      <c r="E111" s="10"/>
      <c r="H111">
        <v>1</v>
      </c>
      <c r="I111" t="s">
        <v>210</v>
      </c>
      <c r="J111">
        <v>4.5</v>
      </c>
      <c r="K111">
        <v>3.3</v>
      </c>
      <c r="L111">
        <v>3.7</v>
      </c>
      <c r="M111">
        <v>2.4</v>
      </c>
      <c r="N111" s="8">
        <f>(L111*M111)</f>
        <v>8.8800000000000008</v>
      </c>
    </row>
    <row r="112" spans="1:17" x14ac:dyDescent="0.2">
      <c r="E112" s="10"/>
      <c r="G112">
        <v>5</v>
      </c>
      <c r="H112">
        <v>1</v>
      </c>
      <c r="I112" t="s">
        <v>300</v>
      </c>
      <c r="J112">
        <v>2.8</v>
      </c>
      <c r="K112">
        <v>1.9</v>
      </c>
      <c r="L112">
        <v>1.6</v>
      </c>
      <c r="M112">
        <v>4.3</v>
      </c>
      <c r="N112" s="8">
        <f>(L112*M112)</f>
        <v>6.88</v>
      </c>
    </row>
  </sheetData>
  <pageMargins left="0.7" right="0.7" top="0.78740157499999996" bottom="0.78740157499999996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P42"/>
  <sheetViews>
    <sheetView workbookViewId="0">
      <pane ySplit="1" topLeftCell="A23" activePane="bottomLeft" state="frozen"/>
      <selection activeCell="M1" sqref="M1"/>
      <selection pane="bottomLeft" activeCell="D30" sqref="D30"/>
    </sheetView>
  </sheetViews>
  <sheetFormatPr baseColWidth="10" defaultRowHeight="15" x14ac:dyDescent="0.2"/>
  <cols>
    <col min="2" max="2" width="24.33203125" bestFit="1" customWidth="1"/>
    <col min="3" max="3" width="13.6640625" bestFit="1" customWidth="1"/>
    <col min="4" max="4" width="13.33203125" bestFit="1" customWidth="1"/>
    <col min="5" max="5" width="24" bestFit="1" customWidth="1"/>
    <col min="6" max="6" width="17.33203125" bestFit="1" customWidth="1"/>
    <col min="7" max="7" width="14.6640625" bestFit="1" customWidth="1"/>
    <col min="12" max="12" width="17.83203125" bestFit="1" customWidth="1"/>
    <col min="18" max="18" width="18.5" bestFit="1" customWidth="1"/>
    <col min="24" max="24" width="19.1640625" bestFit="1" customWidth="1"/>
    <col min="30" max="30" width="12.5" bestFit="1" customWidth="1"/>
    <col min="37" max="37" width="17.33203125" bestFit="1" customWidth="1"/>
  </cols>
  <sheetData>
    <row r="1" spans="1:42" x14ac:dyDescent="0.2">
      <c r="B1" t="s">
        <v>0</v>
      </c>
      <c r="C1" t="s">
        <v>1</v>
      </c>
      <c r="D1" t="s">
        <v>124</v>
      </c>
      <c r="E1" t="s">
        <v>291</v>
      </c>
      <c r="F1" t="s">
        <v>290</v>
      </c>
      <c r="G1" s="6" t="s">
        <v>120</v>
      </c>
      <c r="H1" s="6" t="s">
        <v>102</v>
      </c>
      <c r="I1" s="6" t="s">
        <v>98</v>
      </c>
      <c r="J1" s="6" t="s">
        <v>329</v>
      </c>
      <c r="K1" s="6" t="s">
        <v>330</v>
      </c>
      <c r="L1" s="6" t="s">
        <v>292</v>
      </c>
      <c r="M1" t="s">
        <v>97</v>
      </c>
      <c r="N1" s="6" t="s">
        <v>102</v>
      </c>
      <c r="O1" s="6" t="s">
        <v>98</v>
      </c>
      <c r="P1" s="6" t="s">
        <v>329</v>
      </c>
      <c r="Q1" s="6" t="s">
        <v>330</v>
      </c>
      <c r="R1" s="6" t="s">
        <v>293</v>
      </c>
      <c r="S1" t="s">
        <v>97</v>
      </c>
      <c r="T1" s="6" t="s">
        <v>102</v>
      </c>
      <c r="U1" s="6" t="s">
        <v>98</v>
      </c>
      <c r="V1" s="6" t="s">
        <v>329</v>
      </c>
      <c r="W1" s="6" t="s">
        <v>330</v>
      </c>
      <c r="X1" s="6" t="s">
        <v>294</v>
      </c>
      <c r="Y1" t="s">
        <v>97</v>
      </c>
      <c r="Z1" s="6" t="s">
        <v>102</v>
      </c>
      <c r="AA1" s="6" t="s">
        <v>98</v>
      </c>
      <c r="AB1" s="6" t="s">
        <v>329</v>
      </c>
      <c r="AC1" s="6" t="s">
        <v>330</v>
      </c>
      <c r="AD1" s="6" t="s">
        <v>295</v>
      </c>
      <c r="AE1" t="s">
        <v>97</v>
      </c>
      <c r="AF1" s="6" t="s">
        <v>102</v>
      </c>
      <c r="AG1" s="6" t="s">
        <v>98</v>
      </c>
      <c r="AH1" s="6" t="s">
        <v>329</v>
      </c>
      <c r="AI1" s="6" t="s">
        <v>330</v>
      </c>
      <c r="AJ1" s="6" t="s">
        <v>308</v>
      </c>
      <c r="AK1" s="6" t="s">
        <v>290</v>
      </c>
      <c r="AL1" t="s">
        <v>97</v>
      </c>
      <c r="AM1" s="6" t="s">
        <v>102</v>
      </c>
      <c r="AN1" s="6" t="s">
        <v>98</v>
      </c>
      <c r="AO1" s="6" t="s">
        <v>329</v>
      </c>
      <c r="AP1" s="6" t="s">
        <v>330</v>
      </c>
    </row>
    <row r="2" spans="1:42" x14ac:dyDescent="0.2">
      <c r="A2">
        <v>1</v>
      </c>
      <c r="B2" t="s">
        <v>7</v>
      </c>
      <c r="C2" s="1">
        <v>26033</v>
      </c>
      <c r="D2" s="1">
        <v>43353</v>
      </c>
      <c r="E2">
        <v>2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</v>
      </c>
      <c r="M2">
        <v>4.4000000000000004</v>
      </c>
      <c r="N2">
        <v>3.5</v>
      </c>
      <c r="O2">
        <v>2.5</v>
      </c>
      <c r="P2">
        <v>215.3</v>
      </c>
      <c r="Q2">
        <f>(O2*P2)</f>
        <v>538.25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</v>
      </c>
      <c r="Y2">
        <v>4</v>
      </c>
      <c r="Z2">
        <v>3</v>
      </c>
      <c r="AA2">
        <v>2.1</v>
      </c>
      <c r="AB2">
        <v>165.3</v>
      </c>
      <c r="AC2">
        <f>(AA2*AB2)</f>
        <v>347.13000000000005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L2">
        <v>0.6</v>
      </c>
      <c r="AM2">
        <v>0.5</v>
      </c>
      <c r="AN2">
        <v>0.4</v>
      </c>
      <c r="AO2">
        <v>0</v>
      </c>
      <c r="AP2">
        <v>0</v>
      </c>
    </row>
    <row r="4" spans="1:42" x14ac:dyDescent="0.2">
      <c r="A4">
        <v>2</v>
      </c>
      <c r="B4" t="s">
        <v>85</v>
      </c>
      <c r="C4" s="1">
        <v>17236</v>
      </c>
      <c r="D4" s="1">
        <v>43689</v>
      </c>
      <c r="E4">
        <v>5</v>
      </c>
      <c r="F4">
        <v>1</v>
      </c>
      <c r="G4">
        <v>4.5</v>
      </c>
      <c r="H4">
        <v>3.8</v>
      </c>
      <c r="I4">
        <v>2.5</v>
      </c>
      <c r="J4">
        <v>88.2</v>
      </c>
      <c r="K4">
        <f>(I4*J4)</f>
        <v>220.5</v>
      </c>
      <c r="L4">
        <v>1</v>
      </c>
      <c r="M4">
        <v>5.5</v>
      </c>
      <c r="N4">
        <v>4.5</v>
      </c>
      <c r="O4">
        <v>3</v>
      </c>
      <c r="P4">
        <v>179.1</v>
      </c>
      <c r="Q4">
        <f>(O4*P4)</f>
        <v>537.29999999999995</v>
      </c>
      <c r="R4">
        <v>1</v>
      </c>
      <c r="S4">
        <v>3.6</v>
      </c>
      <c r="T4">
        <v>2.4</v>
      </c>
      <c r="U4">
        <v>1.8</v>
      </c>
      <c r="V4">
        <v>41</v>
      </c>
      <c r="W4">
        <f>(U4*V4)</f>
        <v>73.8</v>
      </c>
      <c r="X4">
        <v>1</v>
      </c>
      <c r="Y4">
        <v>5.9</v>
      </c>
      <c r="Z4">
        <v>4.7</v>
      </c>
      <c r="AA4">
        <v>3.2</v>
      </c>
      <c r="AB4">
        <v>198.8</v>
      </c>
      <c r="AC4">
        <f>(AA4*AB4)</f>
        <v>636.16000000000008</v>
      </c>
      <c r="AD4">
        <v>1</v>
      </c>
      <c r="AE4">
        <v>3.9</v>
      </c>
      <c r="AF4">
        <v>3.2</v>
      </c>
      <c r="AG4">
        <v>2.1</v>
      </c>
      <c r="AH4">
        <v>126.5</v>
      </c>
      <c r="AI4">
        <f>(AG4*AH4)</f>
        <v>265.65000000000003</v>
      </c>
      <c r="AL4">
        <v>0.7</v>
      </c>
      <c r="AM4">
        <v>0.6</v>
      </c>
      <c r="AN4">
        <v>0.5</v>
      </c>
      <c r="AO4">
        <v>0</v>
      </c>
      <c r="AP4">
        <v>0</v>
      </c>
    </row>
    <row r="6" spans="1:42" x14ac:dyDescent="0.2">
      <c r="A6">
        <v>3</v>
      </c>
      <c r="B6" t="s">
        <v>81</v>
      </c>
      <c r="C6" s="1">
        <v>17637</v>
      </c>
      <c r="D6" s="1">
        <v>43675</v>
      </c>
      <c r="E6">
        <v>3</v>
      </c>
      <c r="F6">
        <v>1</v>
      </c>
      <c r="G6">
        <v>3.5</v>
      </c>
      <c r="H6">
        <v>2.9</v>
      </c>
      <c r="I6">
        <v>2</v>
      </c>
      <c r="J6">
        <v>192.3</v>
      </c>
      <c r="K6">
        <f>(I6*J6)</f>
        <v>384.6</v>
      </c>
      <c r="L6">
        <v>1</v>
      </c>
      <c r="M6">
        <v>6.4</v>
      </c>
      <c r="N6">
        <v>5.2</v>
      </c>
      <c r="O6">
        <v>3.5</v>
      </c>
      <c r="P6">
        <v>212.1</v>
      </c>
      <c r="Q6">
        <f>(O6*P6)</f>
        <v>742.35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1</v>
      </c>
      <c r="Y6">
        <v>6.1</v>
      </c>
      <c r="Z6">
        <v>5.0999999999999996</v>
      </c>
      <c r="AA6">
        <v>3.3</v>
      </c>
      <c r="AB6">
        <v>169</v>
      </c>
      <c r="AC6">
        <f>(AA6*AB6)</f>
        <v>557.69999999999993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L6">
        <v>1</v>
      </c>
      <c r="AM6">
        <v>0.9</v>
      </c>
      <c r="AN6">
        <v>0.7</v>
      </c>
      <c r="AO6">
        <v>0</v>
      </c>
      <c r="AP6">
        <v>0</v>
      </c>
    </row>
    <row r="8" spans="1:42" x14ac:dyDescent="0.2">
      <c r="A8">
        <v>4</v>
      </c>
      <c r="B8" t="s">
        <v>37</v>
      </c>
      <c r="C8" s="1">
        <v>24686</v>
      </c>
      <c r="D8" s="1">
        <v>43486</v>
      </c>
      <c r="E8">
        <v>2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</v>
      </c>
      <c r="M8">
        <v>4.5999999999999996</v>
      </c>
      <c r="N8">
        <v>3.4</v>
      </c>
      <c r="O8">
        <v>2.4</v>
      </c>
      <c r="P8">
        <v>138.9</v>
      </c>
      <c r="Q8">
        <f>(O8*P8)</f>
        <v>333.36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1</v>
      </c>
      <c r="Y8">
        <v>4.5999999999999996</v>
      </c>
      <c r="Z8">
        <v>3.6</v>
      </c>
      <c r="AA8">
        <v>2.5</v>
      </c>
      <c r="AB8">
        <v>155.30000000000001</v>
      </c>
      <c r="AC8">
        <f>(AA8*AB8)</f>
        <v>388.25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L8">
        <v>0.9</v>
      </c>
      <c r="AM8">
        <v>0.7</v>
      </c>
      <c r="AN8">
        <v>0.6</v>
      </c>
      <c r="AO8">
        <v>0</v>
      </c>
      <c r="AP8">
        <v>0</v>
      </c>
    </row>
    <row r="10" spans="1:42" x14ac:dyDescent="0.2">
      <c r="A10">
        <v>5</v>
      </c>
      <c r="B10" t="s">
        <v>68</v>
      </c>
      <c r="C10" s="1">
        <v>22647</v>
      </c>
      <c r="D10" s="1">
        <v>43570</v>
      </c>
      <c r="E10">
        <v>5</v>
      </c>
      <c r="F10">
        <v>1</v>
      </c>
      <c r="G10">
        <v>3.6</v>
      </c>
      <c r="H10">
        <v>3.1</v>
      </c>
      <c r="I10">
        <v>1.9</v>
      </c>
      <c r="J10">
        <v>145.69999999999999</v>
      </c>
      <c r="K10">
        <f>(I10*J10)</f>
        <v>276.83</v>
      </c>
      <c r="L10">
        <v>1</v>
      </c>
      <c r="M10">
        <v>3.9</v>
      </c>
      <c r="N10">
        <v>3.3</v>
      </c>
      <c r="O10">
        <v>2.1</v>
      </c>
      <c r="P10">
        <v>452.5</v>
      </c>
      <c r="Q10">
        <f>(O10*P10)</f>
        <v>950.25</v>
      </c>
      <c r="R10">
        <v>1</v>
      </c>
      <c r="S10">
        <v>3.3</v>
      </c>
      <c r="T10">
        <v>2.6</v>
      </c>
      <c r="U10">
        <v>1.8</v>
      </c>
      <c r="V10">
        <v>80.3</v>
      </c>
      <c r="W10">
        <f>(U10*V10)</f>
        <v>144.54</v>
      </c>
      <c r="X10">
        <v>1</v>
      </c>
      <c r="Y10">
        <v>3.9</v>
      </c>
      <c r="Z10">
        <v>3</v>
      </c>
      <c r="AA10">
        <v>2.1</v>
      </c>
      <c r="AB10">
        <v>309</v>
      </c>
      <c r="AC10">
        <f>(AA10*AB10)</f>
        <v>648.9</v>
      </c>
      <c r="AD10">
        <v>1</v>
      </c>
      <c r="AE10">
        <v>3.2</v>
      </c>
      <c r="AF10">
        <v>2.8</v>
      </c>
      <c r="AG10">
        <v>1.7</v>
      </c>
      <c r="AH10">
        <v>112.4</v>
      </c>
      <c r="AI10">
        <f>(AG10*AH10)</f>
        <v>191.08</v>
      </c>
      <c r="AL10">
        <v>0.9</v>
      </c>
      <c r="AM10">
        <v>0.8</v>
      </c>
      <c r="AN10">
        <v>0.8</v>
      </c>
      <c r="AO10">
        <v>0</v>
      </c>
      <c r="AP10">
        <v>0</v>
      </c>
    </row>
    <row r="12" spans="1:42" x14ac:dyDescent="0.2">
      <c r="A12">
        <v>6</v>
      </c>
      <c r="B12" t="s">
        <v>64</v>
      </c>
      <c r="C12" s="1">
        <v>20975</v>
      </c>
      <c r="D12" s="1">
        <v>43556</v>
      </c>
      <c r="E12">
        <v>5</v>
      </c>
      <c r="F12">
        <v>1</v>
      </c>
      <c r="G12">
        <v>4.2</v>
      </c>
      <c r="H12">
        <v>2.7</v>
      </c>
      <c r="I12">
        <v>2.1</v>
      </c>
      <c r="J12">
        <v>64</v>
      </c>
      <c r="K12">
        <f>(I12*J12)</f>
        <v>134.4</v>
      </c>
      <c r="L12">
        <v>1</v>
      </c>
      <c r="M12">
        <v>3.8</v>
      </c>
      <c r="N12">
        <v>2.7</v>
      </c>
      <c r="O12">
        <v>2</v>
      </c>
      <c r="P12">
        <v>143</v>
      </c>
      <c r="Q12">
        <f>(O12*P12)</f>
        <v>286</v>
      </c>
      <c r="R12">
        <v>1</v>
      </c>
      <c r="S12">
        <v>3.6</v>
      </c>
      <c r="T12">
        <v>2.2000000000000002</v>
      </c>
      <c r="U12">
        <v>1.8</v>
      </c>
      <c r="V12">
        <v>45.5</v>
      </c>
      <c r="W12">
        <f>(U12*V12)</f>
        <v>81.900000000000006</v>
      </c>
      <c r="X12">
        <v>1</v>
      </c>
      <c r="Y12">
        <v>4.3</v>
      </c>
      <c r="Z12">
        <v>3</v>
      </c>
      <c r="AA12">
        <v>2.2000000000000002</v>
      </c>
      <c r="AB12">
        <v>97.4</v>
      </c>
      <c r="AC12">
        <f>(AA12*AB12)</f>
        <v>214.28000000000003</v>
      </c>
      <c r="AD12">
        <v>1</v>
      </c>
      <c r="AE12">
        <v>3.3</v>
      </c>
      <c r="AF12">
        <v>2.1</v>
      </c>
      <c r="AG12">
        <v>1.7</v>
      </c>
      <c r="AH12">
        <v>52.4</v>
      </c>
      <c r="AI12">
        <f>(AG12*AH12)</f>
        <v>89.08</v>
      </c>
      <c r="AL12">
        <v>0.8</v>
      </c>
      <c r="AM12">
        <v>0.7</v>
      </c>
      <c r="AN12">
        <v>0.5</v>
      </c>
      <c r="AO12">
        <v>0</v>
      </c>
      <c r="AP12">
        <v>0</v>
      </c>
    </row>
    <row r="14" spans="1:42" x14ac:dyDescent="0.2">
      <c r="A14">
        <v>7</v>
      </c>
      <c r="B14" t="s">
        <v>67</v>
      </c>
      <c r="C14" s="1">
        <v>24759</v>
      </c>
      <c r="D14" s="1">
        <v>43563</v>
      </c>
      <c r="E14">
        <v>2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</v>
      </c>
      <c r="M14">
        <v>5.0999999999999996</v>
      </c>
      <c r="N14">
        <v>3</v>
      </c>
      <c r="O14">
        <v>2.5</v>
      </c>
      <c r="P14">
        <v>13</v>
      </c>
      <c r="Q14">
        <f>(O14*P14)</f>
        <v>32.5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1</v>
      </c>
      <c r="Y14">
        <v>4.9000000000000004</v>
      </c>
      <c r="Z14">
        <v>2.6</v>
      </c>
      <c r="AA14">
        <v>2.5</v>
      </c>
      <c r="AB14">
        <v>9.8000000000000007</v>
      </c>
      <c r="AC14">
        <f>(AA14*AB14)</f>
        <v>24.5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L14">
        <v>0.8</v>
      </c>
      <c r="AM14">
        <v>0.7</v>
      </c>
      <c r="AN14">
        <v>0.5</v>
      </c>
      <c r="AO14">
        <v>0</v>
      </c>
      <c r="AP14">
        <v>0</v>
      </c>
    </row>
    <row r="16" spans="1:42" x14ac:dyDescent="0.2">
      <c r="A16">
        <v>8</v>
      </c>
      <c r="B16" t="s">
        <v>41</v>
      </c>
      <c r="C16" s="1">
        <v>26532</v>
      </c>
      <c r="D16" s="1">
        <v>43500</v>
      </c>
      <c r="E16">
        <v>2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1</v>
      </c>
      <c r="M16" s="8">
        <v>4.4000000000000004</v>
      </c>
      <c r="N16" s="8">
        <v>3.7</v>
      </c>
      <c r="O16" s="8">
        <v>2.5</v>
      </c>
      <c r="P16" s="8">
        <v>283.2</v>
      </c>
      <c r="Q16" s="8">
        <f>(O16*P16)</f>
        <v>708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1</v>
      </c>
      <c r="Y16" s="8">
        <v>4.0999999999999996</v>
      </c>
      <c r="Z16" s="8">
        <v>3.3</v>
      </c>
      <c r="AA16" s="8">
        <v>2.4</v>
      </c>
      <c r="AB16" s="8">
        <v>154.6</v>
      </c>
      <c r="AC16">
        <f>(AA16*AB16)</f>
        <v>371.03999999999996</v>
      </c>
      <c r="AD16">
        <v>0</v>
      </c>
      <c r="AE16">
        <v>0</v>
      </c>
      <c r="AF16">
        <v>0</v>
      </c>
      <c r="AG16">
        <v>0</v>
      </c>
      <c r="AH16">
        <v>0</v>
      </c>
      <c r="AI16" s="10">
        <v>0</v>
      </c>
      <c r="AL16" s="8">
        <v>1.1000000000000001</v>
      </c>
      <c r="AM16" s="8">
        <v>1</v>
      </c>
      <c r="AN16" s="8">
        <v>0.7</v>
      </c>
      <c r="AO16" s="8">
        <v>0</v>
      </c>
      <c r="AP16" s="8">
        <v>0</v>
      </c>
    </row>
    <row r="18" spans="1:42" x14ac:dyDescent="0.2">
      <c r="A18">
        <v>9</v>
      </c>
      <c r="B18" t="s">
        <v>24</v>
      </c>
      <c r="C18" s="1">
        <v>27806</v>
      </c>
      <c r="D18" s="1">
        <v>43437</v>
      </c>
      <c r="E18">
        <v>5</v>
      </c>
      <c r="F18">
        <v>1</v>
      </c>
      <c r="G18">
        <v>4</v>
      </c>
      <c r="H18">
        <v>3.1</v>
      </c>
      <c r="I18">
        <v>2.2000000000000002</v>
      </c>
      <c r="J18">
        <v>62.4</v>
      </c>
      <c r="K18">
        <f>(I18*J18)</f>
        <v>137.28</v>
      </c>
      <c r="L18">
        <v>1</v>
      </c>
      <c r="M18">
        <v>4</v>
      </c>
      <c r="N18">
        <v>3.3</v>
      </c>
      <c r="O18">
        <v>2.2999999999999998</v>
      </c>
      <c r="P18">
        <v>303.3</v>
      </c>
      <c r="Q18" s="8">
        <f>(O18*P18)</f>
        <v>697.58999999999992</v>
      </c>
      <c r="R18">
        <v>1</v>
      </c>
      <c r="S18">
        <v>3.4</v>
      </c>
      <c r="T18">
        <v>2.7</v>
      </c>
      <c r="U18">
        <v>2.1</v>
      </c>
      <c r="V18">
        <v>9.8000000000000007</v>
      </c>
      <c r="W18">
        <f>(U18*V18)</f>
        <v>20.580000000000002</v>
      </c>
      <c r="X18">
        <v>1</v>
      </c>
      <c r="Y18">
        <v>4.4000000000000004</v>
      </c>
      <c r="Z18">
        <v>3.5</v>
      </c>
      <c r="AA18">
        <v>2.4</v>
      </c>
      <c r="AB18">
        <v>132.5</v>
      </c>
      <c r="AC18">
        <f>(AA18*AB18)</f>
        <v>318</v>
      </c>
      <c r="AD18">
        <v>1</v>
      </c>
      <c r="AE18">
        <v>2.8</v>
      </c>
      <c r="AF18">
        <v>2.2999999999999998</v>
      </c>
      <c r="AG18">
        <v>1.8</v>
      </c>
      <c r="AH18">
        <v>21.2</v>
      </c>
      <c r="AI18">
        <f>(AG18*AH18)</f>
        <v>38.159999999999997</v>
      </c>
      <c r="AL18">
        <v>1.1000000000000001</v>
      </c>
      <c r="AM18">
        <v>0.9</v>
      </c>
      <c r="AN18">
        <v>0.7</v>
      </c>
      <c r="AO18">
        <v>0</v>
      </c>
      <c r="AP18">
        <v>0</v>
      </c>
    </row>
    <row r="20" spans="1:42" x14ac:dyDescent="0.2">
      <c r="A20">
        <v>10</v>
      </c>
      <c r="B20" t="s">
        <v>80</v>
      </c>
      <c r="C20" s="1">
        <v>17945</v>
      </c>
      <c r="D20" s="1">
        <v>43654</v>
      </c>
      <c r="E20">
        <v>2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</v>
      </c>
      <c r="M20">
        <v>3.9</v>
      </c>
      <c r="N20">
        <v>2.8</v>
      </c>
      <c r="O20">
        <v>2.1</v>
      </c>
      <c r="P20">
        <v>124.2</v>
      </c>
      <c r="Q20" s="8">
        <f>(O20*P20)</f>
        <v>260.82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1</v>
      </c>
      <c r="Y20">
        <v>4.0999999999999996</v>
      </c>
      <c r="Z20">
        <v>3.1</v>
      </c>
      <c r="AA20">
        <v>2.2000000000000002</v>
      </c>
      <c r="AB20">
        <v>133.9</v>
      </c>
      <c r="AC20">
        <f>(AA20*AB20)</f>
        <v>294.58000000000004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L20">
        <v>0.7</v>
      </c>
      <c r="AM20">
        <v>0.5</v>
      </c>
      <c r="AN20">
        <v>0.4</v>
      </c>
      <c r="AO20">
        <v>0</v>
      </c>
      <c r="AP20">
        <v>0</v>
      </c>
    </row>
    <row r="22" spans="1:42" x14ac:dyDescent="0.2">
      <c r="A22">
        <v>11</v>
      </c>
      <c r="B22" t="s">
        <v>88</v>
      </c>
      <c r="C22" s="1">
        <v>16505</v>
      </c>
      <c r="D22" s="1">
        <v>43696</v>
      </c>
      <c r="E22">
        <v>5</v>
      </c>
      <c r="F22">
        <v>1</v>
      </c>
      <c r="G22">
        <v>4.4000000000000004</v>
      </c>
      <c r="H22">
        <v>3.2</v>
      </c>
      <c r="I22">
        <v>2.2999999999999998</v>
      </c>
      <c r="J22">
        <v>281.10000000000002</v>
      </c>
      <c r="K22">
        <f>(I22*J22)</f>
        <v>646.53</v>
      </c>
      <c r="L22">
        <v>1</v>
      </c>
      <c r="M22">
        <v>5.7</v>
      </c>
      <c r="N22">
        <v>3.7</v>
      </c>
      <c r="O22">
        <v>2.8</v>
      </c>
      <c r="P22">
        <v>223.9</v>
      </c>
      <c r="Q22" s="8">
        <f>(O22*P22)</f>
        <v>626.91999999999996</v>
      </c>
      <c r="R22">
        <v>1</v>
      </c>
      <c r="S22">
        <v>4.5999999999999996</v>
      </c>
      <c r="T22">
        <v>3.5</v>
      </c>
      <c r="U22">
        <v>2.2999999999999998</v>
      </c>
      <c r="V22">
        <v>240.7</v>
      </c>
      <c r="W22">
        <f>(U22*V22)</f>
        <v>553.6099999999999</v>
      </c>
      <c r="X22">
        <v>1</v>
      </c>
      <c r="Y22">
        <v>6.1</v>
      </c>
      <c r="Z22">
        <v>4.3</v>
      </c>
      <c r="AA22">
        <v>3</v>
      </c>
      <c r="AB22">
        <v>158.1</v>
      </c>
      <c r="AC22">
        <f>(AA22*AB22)</f>
        <v>474.29999999999995</v>
      </c>
      <c r="AD22">
        <v>1</v>
      </c>
      <c r="AE22">
        <v>4.7</v>
      </c>
      <c r="AF22">
        <v>3.6</v>
      </c>
      <c r="AG22">
        <v>2.5</v>
      </c>
      <c r="AH22">
        <v>156.1</v>
      </c>
      <c r="AI22">
        <f>(AG22*AH22)</f>
        <v>390.25</v>
      </c>
      <c r="AL22">
        <v>1</v>
      </c>
      <c r="AM22">
        <v>0.8</v>
      </c>
      <c r="AN22">
        <v>0.6</v>
      </c>
      <c r="AO22">
        <v>0</v>
      </c>
      <c r="AP22">
        <v>0</v>
      </c>
    </row>
    <row r="24" spans="1:42" x14ac:dyDescent="0.2">
      <c r="A24">
        <v>12</v>
      </c>
      <c r="B24" t="s">
        <v>77</v>
      </c>
      <c r="C24" s="1">
        <v>23143</v>
      </c>
      <c r="D24" s="1">
        <v>43640</v>
      </c>
      <c r="E24">
        <v>2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1</v>
      </c>
      <c r="M24">
        <v>3.9</v>
      </c>
      <c r="N24">
        <v>3.1</v>
      </c>
      <c r="O24">
        <v>2.1</v>
      </c>
      <c r="P24">
        <v>55.8</v>
      </c>
      <c r="Q24" s="8">
        <f>(O24*P24)</f>
        <v>117.17999999999999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1</v>
      </c>
      <c r="Y24">
        <v>4</v>
      </c>
      <c r="Z24">
        <v>3.2</v>
      </c>
      <c r="AA24">
        <v>2.2000000000000002</v>
      </c>
      <c r="AB24">
        <v>110.3</v>
      </c>
      <c r="AC24">
        <f>(AA24*AB24)</f>
        <v>242.66000000000003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L24">
        <v>0.5</v>
      </c>
      <c r="AM24">
        <v>0.4</v>
      </c>
      <c r="AN24">
        <v>0.4</v>
      </c>
      <c r="AO24">
        <v>0</v>
      </c>
      <c r="AP24">
        <v>0</v>
      </c>
    </row>
    <row r="26" spans="1:42" x14ac:dyDescent="0.2">
      <c r="A26">
        <v>13</v>
      </c>
      <c r="B26" t="s">
        <v>83</v>
      </c>
      <c r="C26" s="1">
        <v>20056</v>
      </c>
      <c r="D26" s="1">
        <v>43682</v>
      </c>
      <c r="E26">
        <v>5</v>
      </c>
      <c r="F26">
        <v>1</v>
      </c>
      <c r="G26">
        <v>4.3</v>
      </c>
      <c r="H26">
        <v>3.5</v>
      </c>
      <c r="I26">
        <v>2.2999999999999998</v>
      </c>
      <c r="J26">
        <v>30.7</v>
      </c>
      <c r="K26">
        <f>(I26*J26)</f>
        <v>70.61</v>
      </c>
      <c r="L26">
        <v>1</v>
      </c>
      <c r="M26">
        <v>4.2</v>
      </c>
      <c r="N26">
        <v>3.3</v>
      </c>
      <c r="O26">
        <v>2.4</v>
      </c>
      <c r="P26">
        <v>139.30000000000001</v>
      </c>
      <c r="Q26" s="8">
        <f>(O26*P26)</f>
        <v>334.32</v>
      </c>
      <c r="R26">
        <v>1</v>
      </c>
      <c r="S26">
        <v>4.8</v>
      </c>
      <c r="T26">
        <v>3.6</v>
      </c>
      <c r="U26">
        <v>2.7</v>
      </c>
      <c r="V26">
        <v>35.700000000000003</v>
      </c>
      <c r="W26">
        <f>(U26*V26)</f>
        <v>96.390000000000015</v>
      </c>
      <c r="X26">
        <v>1</v>
      </c>
      <c r="Y26">
        <v>5.8</v>
      </c>
      <c r="Z26">
        <v>4.4000000000000004</v>
      </c>
      <c r="AA26">
        <v>3.2</v>
      </c>
      <c r="AB26">
        <v>187</v>
      </c>
      <c r="AC26">
        <f>(AA26*AB26)</f>
        <v>598.4</v>
      </c>
      <c r="AD26">
        <v>1</v>
      </c>
      <c r="AE26">
        <v>4.4000000000000004</v>
      </c>
      <c r="AF26">
        <v>3.5</v>
      </c>
      <c r="AG26">
        <v>2.5</v>
      </c>
      <c r="AH26">
        <v>54</v>
      </c>
      <c r="AI26">
        <f>(AG26*AH26)</f>
        <v>135</v>
      </c>
      <c r="AL26">
        <v>1</v>
      </c>
      <c r="AM26">
        <v>1</v>
      </c>
      <c r="AN26">
        <v>0.6</v>
      </c>
      <c r="AO26">
        <v>0</v>
      </c>
      <c r="AP26">
        <v>0</v>
      </c>
    </row>
    <row r="28" spans="1:42" x14ac:dyDescent="0.2">
      <c r="A28">
        <v>14</v>
      </c>
      <c r="B28" t="s">
        <v>94</v>
      </c>
      <c r="C28" s="1">
        <v>25657</v>
      </c>
      <c r="D28" s="1">
        <v>43738</v>
      </c>
      <c r="E28">
        <v>2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1</v>
      </c>
      <c r="M28">
        <v>4</v>
      </c>
      <c r="N28">
        <v>3</v>
      </c>
      <c r="O28">
        <v>2.1</v>
      </c>
      <c r="P28">
        <v>61.2</v>
      </c>
      <c r="Q28" s="8">
        <f>(O28*P28)</f>
        <v>128.52000000000001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1</v>
      </c>
      <c r="Y28">
        <v>4</v>
      </c>
      <c r="Z28">
        <v>3.2</v>
      </c>
      <c r="AA28">
        <v>2.2000000000000002</v>
      </c>
      <c r="AB28">
        <v>99.5</v>
      </c>
      <c r="AC28">
        <f>(AA28*AB28)</f>
        <v>218.9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L28">
        <v>0.7</v>
      </c>
      <c r="AM28">
        <v>0.7</v>
      </c>
      <c r="AN28">
        <v>0.5</v>
      </c>
      <c r="AO28">
        <v>0</v>
      </c>
      <c r="AP28">
        <v>0</v>
      </c>
    </row>
    <row r="30" spans="1:42" x14ac:dyDescent="0.2">
      <c r="A30">
        <v>15</v>
      </c>
      <c r="B30" t="s">
        <v>92</v>
      </c>
      <c r="C30" s="1">
        <v>14829</v>
      </c>
      <c r="D30" s="1">
        <v>43717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L30">
        <v>0.6</v>
      </c>
      <c r="AM30">
        <v>0.5</v>
      </c>
      <c r="AN30">
        <v>0.4</v>
      </c>
      <c r="AO30">
        <v>0</v>
      </c>
      <c r="AP30">
        <v>0</v>
      </c>
    </row>
    <row r="32" spans="1:42" x14ac:dyDescent="0.2">
      <c r="A32">
        <v>16</v>
      </c>
      <c r="B32" t="s">
        <v>44</v>
      </c>
      <c r="C32" s="1">
        <v>27243</v>
      </c>
      <c r="D32" s="1">
        <v>43500</v>
      </c>
      <c r="E32">
        <v>3</v>
      </c>
      <c r="F32">
        <v>1</v>
      </c>
      <c r="G32">
        <v>9</v>
      </c>
      <c r="H32">
        <v>6.5</v>
      </c>
      <c r="I32">
        <v>4.5999999999999996</v>
      </c>
      <c r="J32">
        <v>46</v>
      </c>
      <c r="K32">
        <f>(I32*J32)</f>
        <v>211.6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1</v>
      </c>
      <c r="S32">
        <v>8.3000000000000007</v>
      </c>
      <c r="T32">
        <v>6</v>
      </c>
      <c r="U32">
        <v>4.4000000000000004</v>
      </c>
      <c r="V32">
        <v>35</v>
      </c>
      <c r="W32">
        <f>(U32*V32)</f>
        <v>154</v>
      </c>
      <c r="X32">
        <v>1</v>
      </c>
      <c r="Y32">
        <v>3.2</v>
      </c>
      <c r="Z32">
        <v>2.5</v>
      </c>
      <c r="AA32">
        <v>1.8</v>
      </c>
      <c r="AB32">
        <v>21</v>
      </c>
      <c r="AC32">
        <f>(AA32*AB32)</f>
        <v>37.800000000000004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L32">
        <v>0.7</v>
      </c>
      <c r="AM32">
        <v>0.5</v>
      </c>
      <c r="AN32">
        <v>0.4</v>
      </c>
      <c r="AO32">
        <v>0</v>
      </c>
      <c r="AP32">
        <v>0</v>
      </c>
    </row>
    <row r="34" spans="1:42" x14ac:dyDescent="0.2">
      <c r="A34">
        <v>17</v>
      </c>
      <c r="B34" t="s">
        <v>43</v>
      </c>
      <c r="C34" s="1">
        <v>21317</v>
      </c>
      <c r="D34" s="1">
        <v>43500</v>
      </c>
      <c r="E34">
        <v>4</v>
      </c>
      <c r="F34">
        <v>1</v>
      </c>
      <c r="G34">
        <v>5</v>
      </c>
      <c r="H34">
        <v>3.7</v>
      </c>
      <c r="I34">
        <v>2.6</v>
      </c>
      <c r="J34">
        <v>61.2</v>
      </c>
      <c r="K34">
        <f>(I34*J34)</f>
        <v>159.12</v>
      </c>
      <c r="L34">
        <v>1</v>
      </c>
      <c r="M34">
        <v>6.5</v>
      </c>
      <c r="N34">
        <v>4.2</v>
      </c>
      <c r="O34">
        <v>3.2</v>
      </c>
      <c r="P34">
        <v>84.3</v>
      </c>
      <c r="Q34" s="8">
        <f>(O34*P34)</f>
        <v>269.76</v>
      </c>
      <c r="R34">
        <v>1</v>
      </c>
      <c r="S34">
        <v>3</v>
      </c>
      <c r="T34">
        <v>2.2999999999999998</v>
      </c>
      <c r="U34">
        <v>2.8</v>
      </c>
      <c r="V34">
        <v>6.7</v>
      </c>
      <c r="W34">
        <f>(U34*V34)</f>
        <v>18.759999999999998</v>
      </c>
      <c r="X34">
        <v>1</v>
      </c>
      <c r="Y34">
        <v>7.9</v>
      </c>
      <c r="Z34">
        <v>6.2</v>
      </c>
      <c r="AA34">
        <v>4.3</v>
      </c>
      <c r="AB34">
        <v>185.7</v>
      </c>
      <c r="AC34">
        <f>(AA34*AB34)</f>
        <v>798.50999999999988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L34">
        <v>0.9</v>
      </c>
      <c r="AM34">
        <v>0.7</v>
      </c>
      <c r="AN34">
        <v>0.6</v>
      </c>
      <c r="AO34">
        <v>0</v>
      </c>
      <c r="AP34">
        <v>0</v>
      </c>
    </row>
    <row r="36" spans="1:42" x14ac:dyDescent="0.2">
      <c r="A36">
        <v>18</v>
      </c>
      <c r="B36" t="s">
        <v>47</v>
      </c>
      <c r="C36" s="1">
        <v>29587</v>
      </c>
      <c r="D36" s="1">
        <v>43507</v>
      </c>
      <c r="E36">
        <v>3</v>
      </c>
      <c r="F36">
        <v>1</v>
      </c>
      <c r="G36">
        <v>3</v>
      </c>
      <c r="H36">
        <v>2.2000000000000002</v>
      </c>
      <c r="I36">
        <v>1.6</v>
      </c>
      <c r="J36">
        <v>13.3</v>
      </c>
      <c r="K36">
        <f>(I36*J36)</f>
        <v>21.28</v>
      </c>
      <c r="L36">
        <v>1</v>
      </c>
      <c r="M36">
        <v>3.9</v>
      </c>
      <c r="N36">
        <v>3</v>
      </c>
      <c r="O36">
        <v>2.1</v>
      </c>
      <c r="P36">
        <v>110.2</v>
      </c>
      <c r="Q36" s="8">
        <f>(O36*P36)</f>
        <v>231.42000000000002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1</v>
      </c>
      <c r="Y36">
        <v>4</v>
      </c>
      <c r="Z36">
        <v>3.1</v>
      </c>
      <c r="AA36">
        <v>2.1</v>
      </c>
      <c r="AB36">
        <v>105.8</v>
      </c>
      <c r="AC36">
        <f>(AA36*AB36)</f>
        <v>222.18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L36">
        <v>0.8</v>
      </c>
      <c r="AM36">
        <v>0.6</v>
      </c>
      <c r="AN36">
        <v>0.4</v>
      </c>
      <c r="AO36">
        <v>0</v>
      </c>
      <c r="AP36">
        <v>0</v>
      </c>
    </row>
    <row r="38" spans="1:42" x14ac:dyDescent="0.2">
      <c r="A38">
        <v>19</v>
      </c>
      <c r="B38" t="s">
        <v>82</v>
      </c>
      <c r="C38" s="1">
        <v>24558</v>
      </c>
      <c r="D38" s="1">
        <v>43675</v>
      </c>
      <c r="E38">
        <v>2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</v>
      </c>
      <c r="M38">
        <v>4.2</v>
      </c>
      <c r="N38">
        <v>3</v>
      </c>
      <c r="O38">
        <v>2.4</v>
      </c>
      <c r="P38">
        <v>8.3000000000000007</v>
      </c>
      <c r="Q38" s="8">
        <f>(O38*P38)</f>
        <v>19.920000000000002</v>
      </c>
      <c r="R38">
        <v>1</v>
      </c>
      <c r="S38">
        <v>4.0999999999999996</v>
      </c>
      <c r="T38">
        <v>3.2</v>
      </c>
      <c r="U38">
        <v>2.4</v>
      </c>
      <c r="V38">
        <v>13.2</v>
      </c>
      <c r="W38">
        <f>(U38*V38)</f>
        <v>31.679999999999996</v>
      </c>
      <c r="X38">
        <v>1</v>
      </c>
      <c r="Y38">
        <v>5.7</v>
      </c>
      <c r="Z38">
        <v>4</v>
      </c>
      <c r="AA38">
        <v>2.9</v>
      </c>
      <c r="AB38">
        <v>51.1</v>
      </c>
      <c r="AC38">
        <f>(AA38*AB38)</f>
        <v>148.19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L38">
        <v>1.3</v>
      </c>
      <c r="AM38">
        <v>1.1000000000000001</v>
      </c>
      <c r="AN38">
        <v>0.9</v>
      </c>
      <c r="AO38">
        <v>0</v>
      </c>
      <c r="AP38">
        <v>0</v>
      </c>
    </row>
    <row r="40" spans="1:42" x14ac:dyDescent="0.2">
      <c r="A40">
        <v>20</v>
      </c>
      <c r="B40" t="s">
        <v>90</v>
      </c>
      <c r="C40" s="1">
        <v>23451</v>
      </c>
      <c r="D40" s="1">
        <v>43703</v>
      </c>
      <c r="E40">
        <v>2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1</v>
      </c>
      <c r="M40">
        <v>2.8</v>
      </c>
      <c r="N40">
        <v>2.2999999999999998</v>
      </c>
      <c r="O40">
        <v>1.8</v>
      </c>
      <c r="P40">
        <v>6</v>
      </c>
      <c r="Q40" s="8">
        <f>(O40*P40)</f>
        <v>10.8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1</v>
      </c>
      <c r="Y40">
        <v>2.7</v>
      </c>
      <c r="Z40">
        <v>2.2000000000000002</v>
      </c>
      <c r="AA40">
        <v>1.6</v>
      </c>
      <c r="AB40">
        <v>18</v>
      </c>
      <c r="AC40">
        <f>(AA40*AB40)</f>
        <v>28.8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L40">
        <v>1</v>
      </c>
      <c r="AM40">
        <v>0.9</v>
      </c>
      <c r="AN40">
        <v>0.7</v>
      </c>
      <c r="AO40">
        <v>0</v>
      </c>
      <c r="AP40">
        <v>0</v>
      </c>
    </row>
    <row r="42" spans="1:42" x14ac:dyDescent="0.2">
      <c r="A42">
        <v>21</v>
      </c>
      <c r="B42" t="s">
        <v>312</v>
      </c>
      <c r="C42" s="1">
        <v>23291</v>
      </c>
      <c r="D42" s="1">
        <v>43752</v>
      </c>
      <c r="E42">
        <v>2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1</v>
      </c>
      <c r="M42">
        <v>3.9</v>
      </c>
      <c r="N42">
        <v>2.9</v>
      </c>
      <c r="O42">
        <v>2</v>
      </c>
      <c r="P42">
        <v>86.8</v>
      </c>
      <c r="Q42" s="8">
        <f>(O42*P42)</f>
        <v>173.6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1</v>
      </c>
      <c r="Y42">
        <v>4.7</v>
      </c>
      <c r="Z42">
        <v>3.4</v>
      </c>
      <c r="AA42">
        <v>2.4</v>
      </c>
      <c r="AB42">
        <v>158</v>
      </c>
      <c r="AC42">
        <f>(AA42*AB42)</f>
        <v>379.2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L42">
        <v>0.9</v>
      </c>
      <c r="AM42">
        <v>0.7</v>
      </c>
      <c r="AN42">
        <v>0.5</v>
      </c>
      <c r="AO42">
        <v>0</v>
      </c>
      <c r="AP42">
        <v>0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23</vt:i4>
      </vt:variant>
    </vt:vector>
  </HeadingPairs>
  <TitlesOfParts>
    <vt:vector size="23" baseType="lpstr">
      <vt:lpstr>Patientenübersicht</vt:lpstr>
      <vt:lpstr>Hayk Patienten</vt:lpstr>
      <vt:lpstr>POLARIS</vt:lpstr>
      <vt:lpstr>PET-MRT</vt:lpstr>
      <vt:lpstr>FAPI Patienten IgG4 FAPI 46</vt:lpstr>
      <vt:lpstr>IgG-4</vt:lpstr>
      <vt:lpstr>SpA</vt:lpstr>
      <vt:lpstr>PsA</vt:lpstr>
      <vt:lpstr>Rheumatoide Arthritis</vt:lpstr>
      <vt:lpstr>Dynamische Messungen</vt:lpstr>
      <vt:lpstr>DEGINF</vt:lpstr>
      <vt:lpstr>Follow-up DEGINF</vt:lpstr>
      <vt:lpstr>FAPI-MRT</vt:lpstr>
      <vt:lpstr>Histologie</vt:lpstr>
      <vt:lpstr>Auswertung IgG 4</vt:lpstr>
      <vt:lpstr>Lungenfibrose</vt:lpstr>
      <vt:lpstr>Kontrollkollektiv</vt:lpstr>
      <vt:lpstr>Auswertung ArthritisArthropathi</vt:lpstr>
      <vt:lpstr>Follow-up Spondylarthropathie</vt:lpstr>
      <vt:lpstr>Folow-up Lungenfibrose</vt:lpstr>
      <vt:lpstr>RA-Gruppe</vt:lpstr>
      <vt:lpstr>SpA-Gruppe</vt:lpstr>
      <vt:lpstr>Auswertung Lungenfibrose</vt:lpstr>
    </vt:vector>
  </TitlesOfParts>
  <Company>Universitätsklinikum Erlangen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NUK</dc:creator>
  <cp:lastModifiedBy>Gutsche, Robin</cp:lastModifiedBy>
  <dcterms:created xsi:type="dcterms:W3CDTF">2018-09-17T13:17:26Z</dcterms:created>
  <dcterms:modified xsi:type="dcterms:W3CDTF">2026-07-30T15:17:36Z</dcterms:modified>
</cp:coreProperties>
</file>